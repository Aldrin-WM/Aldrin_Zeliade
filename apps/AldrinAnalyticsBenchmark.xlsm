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ldrin\aldrin_analytics\Apps\"/>
    </mc:Choice>
  </mc:AlternateContent>
  <bookViews>
    <workbookView xWindow="-110" yWindow="-110" windowWidth="19420" windowHeight="10640" tabRatio="848" activeTab="11"/>
  </bookViews>
  <sheets>
    <sheet name="Main" sheetId="2" r:id="rId1"/>
    <sheet name="Ois" sheetId="1" r:id="rId2"/>
    <sheet name="Forward Rates" sheetId="9" r:id="rId3"/>
    <sheet name="Forex" sheetId="11" r:id="rId4"/>
    <sheet name="Single Names" sheetId="6" r:id="rId5"/>
    <sheet name="Baskets" sheetId="3" r:id="rId6"/>
    <sheet name="Div Sheets" sheetId="4" r:id="rId7"/>
    <sheet name="Repos" sheetId="5" r:id="rId8"/>
    <sheet name="Book" sheetId="8" r:id="rId9"/>
    <sheet name="Markets" sheetId="13" r:id="rId10"/>
    <sheet name="Models" sheetId="15" r:id="rId11"/>
    <sheet name="Pricing" sheetId="12" r:id="rId12"/>
    <sheet name="Codings" sheetId="16" r:id="rId13"/>
    <sheet name="Objects" sheetId="10" r:id="rId14"/>
  </sheets>
  <externalReferences>
    <externalReference r:id="rId15"/>
  </externalReferences>
  <definedNames>
    <definedName name="_xlnm._FilterDatabase" localSheetId="6" hidden="1">'Div Sheets'!$A$2:$J$24</definedName>
    <definedName name="BasketSet">Baskets!$B$1</definedName>
    <definedName name="COB">Main!$B$1</definedName>
    <definedName name="DividendEstimates">'Div Sheets'!$B$1</definedName>
    <definedName name="DividendMarket">#REF!</definedName>
    <definedName name="DividendRough">'Div Sheets'!$M$1</definedName>
    <definedName name="ForwardRatesSheets">'Forward Rates'!$B$1</definedName>
    <definedName name="FxCurveMarket">Forex!#REF!</definedName>
    <definedName name="FxSheet">Forex!$B$1</definedName>
    <definedName name="MarketSet">Markets!$B$1</definedName>
    <definedName name="MCSettings">Pricing!$F$1</definedName>
    <definedName name="ModelSet">Models!$B$1</definedName>
    <definedName name="OisMarket">Markets!#REF!</definedName>
    <definedName name="OisSheets">Ois!$B$1</definedName>
    <definedName name="PriceOutput">Pricing!$B$6</definedName>
    <definedName name="RepoMarket">Markets!$B$19</definedName>
    <definedName name="RepoSheets">Repos!$B$1</definedName>
    <definedName name="SingleNameMarket">Markets!#REF!</definedName>
    <definedName name="SingleNameSheet">'Single Names'!$B$1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2" i="10"/>
  <c r="B3" i="10" a="1"/>
  <c r="B3" i="10"/>
  <c r="C3" i="10"/>
  <c r="D3" i="10"/>
  <c r="E3" i="10"/>
  <c r="F3" i="10"/>
  <c r="G3" i="10"/>
  <c r="H3" i="10"/>
  <c r="B4" i="10"/>
  <c r="C4" i="10"/>
  <c r="D4" i="10"/>
  <c r="E4" i="10"/>
  <c r="F4" i="10"/>
  <c r="G4" i="10"/>
  <c r="H4" i="10"/>
  <c r="B5" i="10"/>
  <c r="C5" i="10"/>
  <c r="D5" i="10"/>
  <c r="E5" i="10"/>
  <c r="F5" i="10"/>
  <c r="G5" i="10"/>
  <c r="H5" i="10"/>
  <c r="B6" i="10"/>
  <c r="C6" i="10"/>
  <c r="D6" i="10"/>
  <c r="E6" i="10"/>
  <c r="F6" i="10"/>
  <c r="G6" i="10"/>
  <c r="H6" i="10"/>
  <c r="B7" i="10"/>
  <c r="C7" i="10"/>
  <c r="D7" i="10"/>
  <c r="E7" i="10"/>
  <c r="F7" i="10"/>
  <c r="G7" i="10"/>
  <c r="H7" i="10"/>
  <c r="B8" i="10"/>
  <c r="C8" i="10"/>
  <c r="D8" i="10"/>
  <c r="E8" i="10"/>
  <c r="F8" i="10"/>
  <c r="G8" i="10"/>
  <c r="H8" i="10"/>
  <c r="B9" i="10"/>
  <c r="C9" i="10"/>
  <c r="D9" i="10"/>
  <c r="E9" i="10"/>
  <c r="F9" i="10"/>
  <c r="G9" i="10"/>
  <c r="H9" i="10"/>
  <c r="B10" i="10"/>
  <c r="C10" i="10"/>
  <c r="D10" i="10"/>
  <c r="E10" i="10"/>
  <c r="F10" i="10"/>
  <c r="G10" i="10"/>
  <c r="H10" i="10"/>
  <c r="B11" i="10"/>
  <c r="C11" i="10"/>
  <c r="D11" i="10"/>
  <c r="E11" i="10"/>
  <c r="F11" i="10"/>
  <c r="G11" i="10"/>
  <c r="H11" i="10"/>
  <c r="B12" i="10"/>
  <c r="C12" i="10"/>
  <c r="D12" i="10"/>
  <c r="E12" i="10"/>
  <c r="F12" i="10"/>
  <c r="G12" i="10"/>
  <c r="H12" i="10"/>
  <c r="B13" i="10"/>
  <c r="C13" i="10"/>
  <c r="D13" i="10"/>
  <c r="E13" i="10"/>
  <c r="F13" i="10"/>
  <c r="G13" i="10"/>
  <c r="H13" i="10"/>
  <c r="B14" i="10"/>
  <c r="C14" i="10"/>
  <c r="D14" i="10"/>
  <c r="E14" i="10"/>
  <c r="F14" i="10"/>
  <c r="G14" i="10"/>
  <c r="H14" i="10"/>
  <c r="B15" i="10"/>
  <c r="C15" i="10"/>
  <c r="D15" i="10"/>
  <c r="E15" i="10"/>
  <c r="F15" i="10"/>
  <c r="G15" i="10"/>
  <c r="H15" i="10"/>
  <c r="B16" i="10"/>
  <c r="C16" i="10"/>
  <c r="D16" i="10"/>
  <c r="E16" i="10"/>
  <c r="F16" i="10"/>
  <c r="G16" i="10"/>
  <c r="H16" i="10"/>
  <c r="B17" i="10"/>
  <c r="C17" i="10"/>
  <c r="D17" i="10"/>
  <c r="E17" i="10"/>
  <c r="F17" i="10"/>
  <c r="G17" i="10"/>
  <c r="H17" i="10"/>
  <c r="B18" i="10"/>
  <c r="C18" i="10"/>
  <c r="D18" i="10"/>
  <c r="E18" i="10"/>
  <c r="F18" i="10"/>
  <c r="G18" i="10"/>
  <c r="H18" i="10"/>
  <c r="B19" i="10"/>
  <c r="C19" i="10"/>
  <c r="D19" i="10"/>
  <c r="E19" i="10"/>
  <c r="F19" i="10"/>
  <c r="G19" i="10"/>
  <c r="H19" i="10"/>
  <c r="B20" i="10"/>
  <c r="C20" i="10"/>
  <c r="D20" i="10"/>
  <c r="E20" i="10"/>
  <c r="F20" i="10"/>
  <c r="G20" i="10"/>
  <c r="H20" i="10"/>
  <c r="B21" i="10"/>
  <c r="C21" i="10"/>
  <c r="D21" i="10"/>
  <c r="E21" i="10"/>
  <c r="F21" i="10"/>
  <c r="G21" i="10"/>
  <c r="H21" i="10"/>
  <c r="B22" i="10"/>
  <c r="C22" i="10"/>
  <c r="D22" i="10"/>
  <c r="E22" i="10"/>
  <c r="F22" i="10"/>
  <c r="G22" i="10"/>
  <c r="H22" i="10"/>
  <c r="B23" i="10"/>
  <c r="C23" i="10"/>
  <c r="D23" i="10"/>
  <c r="E23" i="10"/>
  <c r="F23" i="10"/>
  <c r="G23" i="10"/>
  <c r="H23" i="10"/>
  <c r="B24" i="10"/>
  <c r="C24" i="10"/>
  <c r="D24" i="10"/>
  <c r="E24" i="10"/>
  <c r="F24" i="10"/>
  <c r="G24" i="10"/>
  <c r="H24" i="10"/>
  <c r="B25" i="10"/>
  <c r="C25" i="10"/>
  <c r="D25" i="10"/>
  <c r="E25" i="10"/>
  <c r="F25" i="10"/>
  <c r="G25" i="10"/>
  <c r="H25" i="10"/>
  <c r="B26" i="10"/>
  <c r="C26" i="10"/>
  <c r="D26" i="10"/>
  <c r="E26" i="10"/>
  <c r="F26" i="10"/>
  <c r="G26" i="10"/>
  <c r="H26" i="10"/>
  <c r="B27" i="10"/>
  <c r="C27" i="10"/>
  <c r="D27" i="10"/>
  <c r="E27" i="10"/>
  <c r="F27" i="10"/>
  <c r="G27" i="10"/>
  <c r="H27" i="10"/>
  <c r="B28" i="10"/>
  <c r="C28" i="10"/>
  <c r="D28" i="10"/>
  <c r="E28" i="10"/>
  <c r="F28" i="10"/>
  <c r="G28" i="10"/>
  <c r="H28" i="10"/>
  <c r="B29" i="10"/>
  <c r="C29" i="10"/>
  <c r="D29" i="10"/>
  <c r="E29" i="10"/>
  <c r="F29" i="10"/>
  <c r="G29" i="10"/>
  <c r="H29" i="10"/>
  <c r="B30" i="10"/>
  <c r="C30" i="10"/>
  <c r="D30" i="10"/>
  <c r="E30" i="10"/>
  <c r="F30" i="10"/>
  <c r="G30" i="10"/>
  <c r="H30" i="10"/>
  <c r="B31" i="10"/>
  <c r="C31" i="10"/>
  <c r="D31" i="10"/>
  <c r="E31" i="10"/>
  <c r="F31" i="10"/>
  <c r="G31" i="10"/>
  <c r="H31" i="10"/>
  <c r="B32" i="10"/>
  <c r="C32" i="10"/>
  <c r="D32" i="10"/>
  <c r="E32" i="10"/>
  <c r="F32" i="10"/>
  <c r="G32" i="10"/>
  <c r="H32" i="10"/>
  <c r="B33" i="10"/>
  <c r="C33" i="10"/>
  <c r="D33" i="10"/>
  <c r="E33" i="10"/>
  <c r="F33" i="10"/>
  <c r="G33" i="10"/>
  <c r="H33" i="10"/>
  <c r="B34" i="10"/>
  <c r="C34" i="10"/>
  <c r="D34" i="10"/>
  <c r="E34" i="10"/>
  <c r="F34" i="10"/>
  <c r="G34" i="10"/>
  <c r="H34" i="10"/>
  <c r="B35" i="10"/>
  <c r="C35" i="10"/>
  <c r="D35" i="10"/>
  <c r="E35" i="10"/>
  <c r="F35" i="10"/>
  <c r="G35" i="10"/>
  <c r="H35" i="10"/>
  <c r="B36" i="10"/>
  <c r="C36" i="10"/>
  <c r="D36" i="10"/>
  <c r="E36" i="10"/>
  <c r="F36" i="10"/>
  <c r="G36" i="10"/>
  <c r="H36" i="10"/>
  <c r="B37" i="10"/>
  <c r="C37" i="10"/>
  <c r="D37" i="10"/>
  <c r="E37" i="10"/>
  <c r="F37" i="10"/>
  <c r="G37" i="10"/>
  <c r="H37" i="10"/>
  <c r="B38" i="10"/>
  <c r="C38" i="10"/>
  <c r="D38" i="10"/>
  <c r="E38" i="10"/>
  <c r="F38" i="10"/>
  <c r="G38" i="10"/>
  <c r="H38" i="10"/>
  <c r="B39" i="10"/>
  <c r="C39" i="10"/>
  <c r="D39" i="10"/>
  <c r="E39" i="10"/>
  <c r="F39" i="10"/>
  <c r="G39" i="10"/>
  <c r="H39" i="10"/>
  <c r="B40" i="10"/>
  <c r="C40" i="10"/>
  <c r="D40" i="10"/>
  <c r="E40" i="10"/>
  <c r="F40" i="10"/>
  <c r="G40" i="10"/>
  <c r="H40" i="10"/>
  <c r="B41" i="10"/>
  <c r="C41" i="10"/>
  <c r="D41" i="10"/>
  <c r="E41" i="10"/>
  <c r="F41" i="10"/>
  <c r="G41" i="10"/>
  <c r="H41" i="10"/>
  <c r="B42" i="10"/>
  <c r="C42" i="10"/>
  <c r="D42" i="10"/>
  <c r="E42" i="10"/>
  <c r="F42" i="10"/>
  <c r="G42" i="10"/>
  <c r="H42" i="10"/>
  <c r="B43" i="10"/>
  <c r="C43" i="10"/>
  <c r="D43" i="10"/>
  <c r="E43" i="10"/>
  <c r="F43" i="10"/>
  <c r="G43" i="10"/>
  <c r="H43" i="10"/>
  <c r="B44" i="10"/>
  <c r="C44" i="10"/>
  <c r="D44" i="10"/>
  <c r="E44" i="10"/>
  <c r="F44" i="10"/>
  <c r="G44" i="10"/>
  <c r="H44" i="10"/>
  <c r="B45" i="10"/>
  <c r="C45" i="10"/>
  <c r="D45" i="10"/>
  <c r="E45" i="10"/>
  <c r="F45" i="10"/>
  <c r="G45" i="10"/>
  <c r="H45" i="10"/>
  <c r="B46" i="10"/>
  <c r="C46" i="10"/>
  <c r="D46" i="10"/>
  <c r="E46" i="10"/>
  <c r="F46" i="10"/>
  <c r="G46" i="10"/>
  <c r="H46" i="10"/>
  <c r="B47" i="10"/>
  <c r="C47" i="10"/>
  <c r="D47" i="10"/>
  <c r="E47" i="10"/>
  <c r="F47" i="10"/>
  <c r="G47" i="10"/>
  <c r="H47" i="10"/>
  <c r="B48" i="10"/>
  <c r="C48" i="10"/>
  <c r="D48" i="10"/>
  <c r="E48" i="10"/>
  <c r="F48" i="10"/>
  <c r="G48" i="10"/>
  <c r="H48" i="10"/>
  <c r="B49" i="10"/>
  <c r="C49" i="10"/>
  <c r="D49" i="10"/>
  <c r="E49" i="10"/>
  <c r="F49" i="10"/>
  <c r="G49" i="10"/>
  <c r="H49" i="10"/>
  <c r="B50" i="10"/>
  <c r="C50" i="10"/>
  <c r="D50" i="10"/>
  <c r="E50" i="10"/>
  <c r="F50" i="10"/>
  <c r="G50" i="10"/>
  <c r="H50" i="10"/>
  <c r="B51" i="10"/>
  <c r="C51" i="10"/>
  <c r="D51" i="10"/>
  <c r="E51" i="10"/>
  <c r="F51" i="10"/>
  <c r="G51" i="10"/>
  <c r="H51" i="10"/>
  <c r="B52" i="10"/>
  <c r="C52" i="10"/>
  <c r="D52" i="10"/>
  <c r="E52" i="10"/>
  <c r="F52" i="10"/>
  <c r="G52" i="10"/>
  <c r="H52" i="10"/>
  <c r="B53" i="10"/>
  <c r="C53" i="10"/>
  <c r="D53" i="10"/>
  <c r="E53" i="10"/>
  <c r="F53" i="10"/>
  <c r="G53" i="10"/>
  <c r="H53" i="10"/>
  <c r="B54" i="10"/>
  <c r="C54" i="10"/>
  <c r="D54" i="10"/>
  <c r="E54" i="10"/>
  <c r="F54" i="10"/>
  <c r="G54" i="10"/>
  <c r="H54" i="10"/>
  <c r="B55" i="10"/>
  <c r="C55" i="10"/>
  <c r="D55" i="10"/>
  <c r="E55" i="10"/>
  <c r="F55" i="10"/>
  <c r="G55" i="10"/>
  <c r="H55" i="10"/>
  <c r="B56" i="10"/>
  <c r="C56" i="10"/>
  <c r="D56" i="10"/>
  <c r="E56" i="10"/>
  <c r="F56" i="10"/>
  <c r="G56" i="10"/>
  <c r="H56" i="10"/>
  <c r="B57" i="10"/>
  <c r="C57" i="10"/>
  <c r="D57" i="10"/>
  <c r="E57" i="10"/>
  <c r="F57" i="10"/>
  <c r="G57" i="10"/>
  <c r="H57" i="10"/>
  <c r="B58" i="10"/>
  <c r="C58" i="10"/>
  <c r="D58" i="10"/>
  <c r="E58" i="10"/>
  <c r="F58" i="10"/>
  <c r="G58" i="10"/>
  <c r="H58" i="10"/>
  <c r="B59" i="10"/>
  <c r="C59" i="10"/>
  <c r="D59" i="10"/>
  <c r="E59" i="10"/>
  <c r="F59" i="10"/>
  <c r="G59" i="10"/>
  <c r="H59" i="10"/>
  <c r="B60" i="10"/>
  <c r="C60" i="10"/>
  <c r="D60" i="10"/>
  <c r="E60" i="10"/>
  <c r="F60" i="10"/>
  <c r="G60" i="10"/>
  <c r="H60" i="10"/>
  <c r="B61" i="10"/>
  <c r="C61" i="10"/>
  <c r="D61" i="10"/>
  <c r="E61" i="10"/>
  <c r="F61" i="10"/>
  <c r="G61" i="10"/>
  <c r="H61" i="10"/>
  <c r="B62" i="10"/>
  <c r="C62" i="10"/>
  <c r="D62" i="10"/>
  <c r="E62" i="10"/>
  <c r="F62" i="10"/>
  <c r="G62" i="10"/>
  <c r="H62" i="10"/>
  <c r="B63" i="10"/>
  <c r="C63" i="10"/>
  <c r="D63" i="10"/>
  <c r="E63" i="10"/>
  <c r="F63" i="10"/>
  <c r="G63" i="10"/>
  <c r="H63" i="10"/>
  <c r="B64" i="10"/>
  <c r="C64" i="10"/>
  <c r="D64" i="10"/>
  <c r="E64" i="10"/>
  <c r="F64" i="10"/>
  <c r="G64" i="10"/>
  <c r="H64" i="10"/>
  <c r="B65" i="10"/>
  <c r="C65" i="10"/>
  <c r="D65" i="10"/>
  <c r="E65" i="10"/>
  <c r="F65" i="10"/>
  <c r="G65" i="10"/>
  <c r="H65" i="10"/>
  <c r="B66" i="10"/>
  <c r="C66" i="10"/>
  <c r="D66" i="10"/>
  <c r="E66" i="10"/>
  <c r="F66" i="10"/>
  <c r="G66" i="10"/>
  <c r="H66" i="10"/>
  <c r="B67" i="10"/>
  <c r="C67" i="10"/>
  <c r="D67" i="10"/>
  <c r="E67" i="10"/>
  <c r="F67" i="10"/>
  <c r="G67" i="10"/>
  <c r="H67" i="10"/>
  <c r="B68" i="10"/>
  <c r="C68" i="10"/>
  <c r="D68" i="10"/>
  <c r="E68" i="10"/>
  <c r="F68" i="10"/>
  <c r="G68" i="10"/>
  <c r="H68" i="10"/>
  <c r="B69" i="10"/>
  <c r="C69" i="10"/>
  <c r="D69" i="10"/>
  <c r="E69" i="10"/>
  <c r="F69" i="10"/>
  <c r="G69" i="10"/>
  <c r="H69" i="10"/>
  <c r="B70" i="10"/>
  <c r="C70" i="10"/>
  <c r="D70" i="10"/>
  <c r="E70" i="10"/>
  <c r="F70" i="10"/>
  <c r="G70" i="10"/>
  <c r="H70" i="10"/>
  <c r="B71" i="10"/>
  <c r="C71" i="10"/>
  <c r="D71" i="10"/>
  <c r="E71" i="10"/>
  <c r="F71" i="10"/>
  <c r="G71" i="10"/>
  <c r="H71" i="10"/>
  <c r="B72" i="10"/>
  <c r="C72" i="10"/>
  <c r="D72" i="10"/>
  <c r="E72" i="10"/>
  <c r="F72" i="10"/>
  <c r="G72" i="10"/>
  <c r="H72" i="10"/>
  <c r="B73" i="10"/>
  <c r="C73" i="10"/>
  <c r="D73" i="10"/>
  <c r="E73" i="10"/>
  <c r="F73" i="10"/>
  <c r="G73" i="10"/>
  <c r="H73" i="10"/>
  <c r="B74" i="10"/>
  <c r="C74" i="10"/>
  <c r="D74" i="10"/>
  <c r="E74" i="10"/>
  <c r="F74" i="10"/>
  <c r="G74" i="10"/>
  <c r="H74" i="10"/>
  <c r="B75" i="10"/>
  <c r="C75" i="10"/>
  <c r="D75" i="10"/>
  <c r="E75" i="10"/>
  <c r="F75" i="10"/>
  <c r="G75" i="10"/>
  <c r="H75" i="10"/>
  <c r="B76" i="10"/>
  <c r="C76" i="10"/>
  <c r="D76" i="10"/>
  <c r="E76" i="10"/>
  <c r="F76" i="10"/>
  <c r="G76" i="10"/>
  <c r="H76" i="10"/>
  <c r="B77" i="10"/>
  <c r="C77" i="10"/>
  <c r="D77" i="10"/>
  <c r="E77" i="10"/>
  <c r="F77" i="10"/>
  <c r="G77" i="10"/>
  <c r="H77" i="10"/>
  <c r="B78" i="10"/>
  <c r="C78" i="10"/>
  <c r="D78" i="10"/>
  <c r="E78" i="10"/>
  <c r="F78" i="10"/>
  <c r="G78" i="10"/>
  <c r="H78" i="10"/>
  <c r="B79" i="10"/>
  <c r="C79" i="10"/>
  <c r="D79" i="10"/>
  <c r="E79" i="10"/>
  <c r="F79" i="10"/>
  <c r="G79" i="10"/>
  <c r="H79" i="10"/>
  <c r="B80" i="10"/>
  <c r="C80" i="10"/>
  <c r="D80" i="10"/>
  <c r="E80" i="10"/>
  <c r="F80" i="10"/>
  <c r="G80" i="10"/>
  <c r="H80" i="10"/>
  <c r="B81" i="10"/>
  <c r="C81" i="10"/>
  <c r="D81" i="10"/>
  <c r="E81" i="10"/>
  <c r="F81" i="10"/>
  <c r="G81" i="10"/>
  <c r="H81" i="10"/>
  <c r="B82" i="10"/>
  <c r="C82" i="10"/>
  <c r="D82" i="10"/>
  <c r="E82" i="10"/>
  <c r="F82" i="10"/>
  <c r="G82" i="10"/>
  <c r="H82" i="10"/>
  <c r="B83" i="10"/>
  <c r="C83" i="10"/>
  <c r="D83" i="10"/>
  <c r="E83" i="10"/>
  <c r="F83" i="10"/>
  <c r="G83" i="10"/>
  <c r="H83" i="10"/>
  <c r="B84" i="10"/>
  <c r="C84" i="10"/>
  <c r="D84" i="10"/>
  <c r="E84" i="10"/>
  <c r="F84" i="10"/>
  <c r="G84" i="10"/>
  <c r="H84" i="10"/>
  <c r="B85" i="10"/>
  <c r="C85" i="10"/>
  <c r="D85" i="10"/>
  <c r="E85" i="10"/>
  <c r="F85" i="10"/>
  <c r="G85" i="10"/>
  <c r="H85" i="10"/>
  <c r="B86" i="10"/>
  <c r="C86" i="10"/>
  <c r="D86" i="10"/>
  <c r="E86" i="10"/>
  <c r="F86" i="10"/>
  <c r="G86" i="10"/>
  <c r="H86" i="10"/>
  <c r="B87" i="10"/>
  <c r="C87" i="10"/>
  <c r="D87" i="10"/>
  <c r="E87" i="10"/>
  <c r="F87" i="10"/>
  <c r="G87" i="10"/>
  <c r="H87" i="10"/>
  <c r="B88" i="10"/>
  <c r="C88" i="10"/>
  <c r="D88" i="10"/>
  <c r="E88" i="10"/>
  <c r="F88" i="10"/>
  <c r="G88" i="10"/>
  <c r="H88" i="10"/>
  <c r="B89" i="10"/>
  <c r="C89" i="10"/>
  <c r="D89" i="10"/>
  <c r="E89" i="10"/>
  <c r="F89" i="10"/>
  <c r="G89" i="10"/>
  <c r="H89" i="10"/>
  <c r="B90" i="10"/>
  <c r="C90" i="10"/>
  <c r="D90" i="10"/>
  <c r="E90" i="10"/>
  <c r="F90" i="10"/>
  <c r="G90" i="10"/>
  <c r="H90" i="10"/>
  <c r="B91" i="10"/>
  <c r="C91" i="10"/>
  <c r="D91" i="10"/>
  <c r="E91" i="10"/>
  <c r="F91" i="10"/>
  <c r="G91" i="10"/>
  <c r="H91" i="10"/>
  <c r="B92" i="10"/>
  <c r="C92" i="10"/>
  <c r="D92" i="10"/>
  <c r="E92" i="10"/>
  <c r="F92" i="10"/>
  <c r="G92" i="10"/>
  <c r="H92" i="10"/>
  <c r="B93" i="10"/>
  <c r="C93" i="10"/>
  <c r="D93" i="10"/>
  <c r="E93" i="10"/>
  <c r="F93" i="10"/>
  <c r="G93" i="10"/>
  <c r="H93" i="10"/>
  <c r="B94" i="10"/>
  <c r="C94" i="10"/>
  <c r="D94" i="10"/>
  <c r="E94" i="10"/>
  <c r="F94" i="10"/>
  <c r="G94" i="10"/>
  <c r="H94" i="10"/>
  <c r="B95" i="10"/>
  <c r="C95" i="10"/>
  <c r="D95" i="10"/>
  <c r="E95" i="10"/>
  <c r="F95" i="10"/>
  <c r="G95" i="10"/>
  <c r="H95" i="10"/>
  <c r="B96" i="10"/>
  <c r="C96" i="10"/>
  <c r="D96" i="10"/>
  <c r="E96" i="10"/>
  <c r="F96" i="10"/>
  <c r="G96" i="10"/>
  <c r="H96" i="10"/>
  <c r="B97" i="10"/>
  <c r="C97" i="10"/>
  <c r="D97" i="10"/>
  <c r="E97" i="10"/>
  <c r="F97" i="10"/>
  <c r="G97" i="10"/>
  <c r="H97" i="10"/>
  <c r="B98" i="10"/>
  <c r="C98" i="10"/>
  <c r="D98" i="10"/>
  <c r="E98" i="10"/>
  <c r="F98" i="10"/>
  <c r="G98" i="10"/>
  <c r="H98" i="10"/>
  <c r="B99" i="10"/>
  <c r="C99" i="10"/>
  <c r="D99" i="10"/>
  <c r="E99" i="10"/>
  <c r="F99" i="10"/>
  <c r="G99" i="10"/>
  <c r="H99" i="10"/>
  <c r="B100" i="10"/>
  <c r="C100" i="10"/>
  <c r="D100" i="10"/>
  <c r="E100" i="10"/>
  <c r="F100" i="10"/>
  <c r="G100" i="10"/>
  <c r="H100" i="10"/>
  <c r="B101" i="10"/>
  <c r="C101" i="10"/>
  <c r="D101" i="10"/>
  <c r="E101" i="10"/>
  <c r="F101" i="10"/>
  <c r="G101" i="10"/>
  <c r="H101" i="10"/>
  <c r="B102" i="10"/>
  <c r="C102" i="10"/>
  <c r="D102" i="10"/>
  <c r="E102" i="10"/>
  <c r="F102" i="10"/>
  <c r="G102" i="10"/>
  <c r="H102" i="10"/>
  <c r="B103" i="10"/>
  <c r="C103" i="10"/>
  <c r="D103" i="10"/>
  <c r="E103" i="10"/>
  <c r="F103" i="10"/>
  <c r="G103" i="10"/>
  <c r="H103" i="10"/>
  <c r="B104" i="10"/>
  <c r="C104" i="10"/>
  <c r="D104" i="10"/>
  <c r="E104" i="10"/>
  <c r="F104" i="10"/>
  <c r="G104" i="10"/>
  <c r="H104" i="10"/>
  <c r="B105" i="10"/>
  <c r="C105" i="10"/>
  <c r="D105" i="10"/>
  <c r="E105" i="10"/>
  <c r="F105" i="10"/>
  <c r="G105" i="10"/>
  <c r="H105" i="10"/>
  <c r="B106" i="10"/>
  <c r="C106" i="10"/>
  <c r="D106" i="10"/>
  <c r="E106" i="10"/>
  <c r="F106" i="10"/>
  <c r="G106" i="10"/>
  <c r="H106" i="10"/>
  <c r="B107" i="10"/>
  <c r="C107" i="10"/>
  <c r="D107" i="10"/>
  <c r="E107" i="10"/>
  <c r="F107" i="10"/>
  <c r="G107" i="10"/>
  <c r="H107" i="10"/>
  <c r="B108" i="10"/>
  <c r="C108" i="10"/>
  <c r="D108" i="10"/>
  <c r="E108" i="10"/>
  <c r="F108" i="10"/>
  <c r="G108" i="10"/>
  <c r="H108" i="10"/>
  <c r="B109" i="10"/>
  <c r="C109" i="10"/>
  <c r="D109" i="10"/>
  <c r="E109" i="10"/>
  <c r="F109" i="10"/>
  <c r="G109" i="10"/>
  <c r="H109" i="10"/>
  <c r="B110" i="10"/>
  <c r="C110" i="10"/>
  <c r="D110" i="10"/>
  <c r="E110" i="10"/>
  <c r="F110" i="10"/>
  <c r="G110" i="10"/>
  <c r="H110" i="10"/>
  <c r="B111" i="10"/>
  <c r="C111" i="10"/>
  <c r="D111" i="10"/>
  <c r="E111" i="10"/>
  <c r="F111" i="10"/>
  <c r="G111" i="10"/>
  <c r="H111" i="10"/>
  <c r="B112" i="10"/>
  <c r="C112" i="10"/>
  <c r="D112" i="10"/>
  <c r="E112" i="10"/>
  <c r="F112" i="10"/>
  <c r="G112" i="10"/>
  <c r="H112" i="10"/>
  <c r="B113" i="10"/>
  <c r="C113" i="10"/>
  <c r="D113" i="10"/>
  <c r="E113" i="10"/>
  <c r="F113" i="10"/>
  <c r="G113" i="10"/>
  <c r="H113" i="10"/>
  <c r="B114" i="10"/>
  <c r="C114" i="10"/>
  <c r="D114" i="10"/>
  <c r="E114" i="10"/>
  <c r="F114" i="10"/>
  <c r="G114" i="10"/>
  <c r="H114" i="10"/>
  <c r="B115" i="10"/>
  <c r="C115" i="10"/>
  <c r="D115" i="10"/>
  <c r="E115" i="10"/>
  <c r="F115" i="10"/>
  <c r="G115" i="10"/>
  <c r="H115" i="10"/>
  <c r="B116" i="10"/>
  <c r="C116" i="10"/>
  <c r="D116" i="10"/>
  <c r="E116" i="10"/>
  <c r="F116" i="10"/>
  <c r="G116" i="10"/>
  <c r="H116" i="10"/>
  <c r="B117" i="10"/>
  <c r="C117" i="10"/>
  <c r="D117" i="10"/>
  <c r="E117" i="10"/>
  <c r="F117" i="10"/>
  <c r="G117" i="10"/>
  <c r="H117" i="10"/>
  <c r="B118" i="10"/>
  <c r="C118" i="10"/>
  <c r="D118" i="10"/>
  <c r="E118" i="10"/>
  <c r="F118" i="10"/>
  <c r="G118" i="10"/>
  <c r="H118" i="10"/>
  <c r="B119" i="10"/>
  <c r="C119" i="10"/>
  <c r="D119" i="10"/>
  <c r="E119" i="10"/>
  <c r="F119" i="10"/>
  <c r="G119" i="10"/>
  <c r="H119" i="10"/>
  <c r="B120" i="10"/>
  <c r="C120" i="10"/>
  <c r="D120" i="10"/>
  <c r="E120" i="10"/>
  <c r="F120" i="10"/>
  <c r="G120" i="10"/>
  <c r="H120" i="10"/>
  <c r="B121" i="10"/>
  <c r="C121" i="10"/>
  <c r="D121" i="10"/>
  <c r="E121" i="10"/>
  <c r="F121" i="10"/>
  <c r="G121" i="10"/>
  <c r="H121" i="10"/>
  <c r="B122" i="10"/>
  <c r="C122" i="10"/>
  <c r="D122" i="10"/>
  <c r="E122" i="10"/>
  <c r="F122" i="10"/>
  <c r="G122" i="10"/>
  <c r="H122" i="10"/>
  <c r="B123" i="10"/>
  <c r="C123" i="10"/>
  <c r="D123" i="10"/>
  <c r="E123" i="10"/>
  <c r="F123" i="10"/>
  <c r="G123" i="10"/>
  <c r="H123" i="10"/>
  <c r="B124" i="10"/>
  <c r="C124" i="10"/>
  <c r="D124" i="10"/>
  <c r="E124" i="10"/>
  <c r="F124" i="10"/>
  <c r="G124" i="10"/>
  <c r="H124" i="10"/>
  <c r="B125" i="10"/>
  <c r="C125" i="10"/>
  <c r="D125" i="10"/>
  <c r="E125" i="10"/>
  <c r="F125" i="10"/>
  <c r="G125" i="10"/>
  <c r="H125" i="10"/>
  <c r="B126" i="10"/>
  <c r="C126" i="10"/>
  <c r="D126" i="10"/>
  <c r="E126" i="10"/>
  <c r="F126" i="10"/>
  <c r="G126" i="10"/>
  <c r="H126" i="10"/>
  <c r="B127" i="10"/>
  <c r="C127" i="10"/>
  <c r="D127" i="10"/>
  <c r="E127" i="10"/>
  <c r="F127" i="10"/>
  <c r="G127" i="10"/>
  <c r="H127" i="10"/>
  <c r="B128" i="10"/>
  <c r="C128" i="10"/>
  <c r="D128" i="10"/>
  <c r="E128" i="10"/>
  <c r="F128" i="10"/>
  <c r="G128" i="10"/>
  <c r="H128" i="10"/>
  <c r="B129" i="10"/>
  <c r="C129" i="10"/>
  <c r="D129" i="10"/>
  <c r="E129" i="10"/>
  <c r="F129" i="10"/>
  <c r="G129" i="10"/>
  <c r="H129" i="10"/>
  <c r="B130" i="10"/>
  <c r="C130" i="10"/>
  <c r="D130" i="10"/>
  <c r="E130" i="10"/>
  <c r="F130" i="10"/>
  <c r="G130" i="10"/>
  <c r="H130" i="10"/>
  <c r="B131" i="10"/>
  <c r="C131" i="10"/>
  <c r="D131" i="10"/>
  <c r="E131" i="10"/>
  <c r="F131" i="10"/>
  <c r="G131" i="10"/>
  <c r="H131" i="10"/>
  <c r="B132" i="10"/>
  <c r="C132" i="10"/>
  <c r="D132" i="10"/>
  <c r="E132" i="10"/>
  <c r="F132" i="10"/>
  <c r="G132" i="10"/>
  <c r="H132" i="10"/>
  <c r="B133" i="10"/>
  <c r="C133" i="10"/>
  <c r="D133" i="10"/>
  <c r="E133" i="10"/>
  <c r="F133" i="10"/>
  <c r="G133" i="10"/>
  <c r="H133" i="10"/>
  <c r="B134" i="10"/>
  <c r="C134" i="10"/>
  <c r="D134" i="10"/>
  <c r="E134" i="10"/>
  <c r="F134" i="10"/>
  <c r="G134" i="10"/>
  <c r="H134" i="10"/>
  <c r="B135" i="10"/>
  <c r="C135" i="10"/>
  <c r="D135" i="10"/>
  <c r="E135" i="10"/>
  <c r="F135" i="10"/>
  <c r="G135" i="10"/>
  <c r="H135" i="10"/>
  <c r="B136" i="10"/>
  <c r="C136" i="10"/>
  <c r="D136" i="10"/>
  <c r="E136" i="10"/>
  <c r="F136" i="10"/>
  <c r="G136" i="10"/>
  <c r="H136" i="10"/>
  <c r="B137" i="10"/>
  <c r="C137" i="10"/>
  <c r="D137" i="10"/>
  <c r="E137" i="10"/>
  <c r="F137" i="10"/>
  <c r="G137" i="10"/>
  <c r="H137" i="10"/>
  <c r="B138" i="10"/>
  <c r="C138" i="10"/>
  <c r="D138" i="10"/>
  <c r="E138" i="10"/>
  <c r="F138" i="10"/>
  <c r="G138" i="10"/>
  <c r="H138" i="10"/>
  <c r="B139" i="10"/>
  <c r="C139" i="10"/>
  <c r="D139" i="10"/>
  <c r="E139" i="10"/>
  <c r="F139" i="10"/>
  <c r="G139" i="10"/>
  <c r="H139" i="10"/>
  <c r="B140" i="10"/>
  <c r="C140" i="10"/>
  <c r="D140" i="10"/>
  <c r="E140" i="10"/>
  <c r="F140" i="10"/>
  <c r="G140" i="10"/>
  <c r="H140" i="10"/>
  <c r="B141" i="10"/>
  <c r="C141" i="10"/>
  <c r="D141" i="10"/>
  <c r="E141" i="10"/>
  <c r="F141" i="10"/>
  <c r="G141" i="10"/>
  <c r="H141" i="10"/>
  <c r="B142" i="10"/>
  <c r="C142" i="10"/>
  <c r="D142" i="10"/>
  <c r="E142" i="10"/>
  <c r="F142" i="10"/>
  <c r="G142" i="10"/>
  <c r="H142" i="10"/>
  <c r="B143" i="10"/>
  <c r="C143" i="10"/>
  <c r="D143" i="10"/>
  <c r="E143" i="10"/>
  <c r="F143" i="10"/>
  <c r="G143" i="10"/>
  <c r="H143" i="10"/>
  <c r="B144" i="10"/>
  <c r="C144" i="10"/>
  <c r="D144" i="10"/>
  <c r="E144" i="10"/>
  <c r="F144" i="10"/>
  <c r="G144" i="10"/>
  <c r="H144" i="10"/>
  <c r="B145" i="10"/>
  <c r="C145" i="10"/>
  <c r="D145" i="10"/>
  <c r="E145" i="10"/>
  <c r="F145" i="10"/>
  <c r="G145" i="10"/>
  <c r="H145" i="10"/>
  <c r="B146" i="10"/>
  <c r="C146" i="10"/>
  <c r="D146" i="10"/>
  <c r="E146" i="10"/>
  <c r="F146" i="10"/>
  <c r="G146" i="10"/>
  <c r="H146" i="10"/>
  <c r="B147" i="10"/>
  <c r="C147" i="10"/>
  <c r="D147" i="10"/>
  <c r="E147" i="10"/>
  <c r="F147" i="10"/>
  <c r="G147" i="10"/>
  <c r="H147" i="10"/>
  <c r="B148" i="10"/>
  <c r="C148" i="10"/>
  <c r="D148" i="10"/>
  <c r="E148" i="10"/>
  <c r="F148" i="10"/>
  <c r="G148" i="10"/>
  <c r="H148" i="10"/>
  <c r="B149" i="10"/>
  <c r="C149" i="10"/>
  <c r="D149" i="10"/>
  <c r="E149" i="10"/>
  <c r="F149" i="10"/>
  <c r="G149" i="10"/>
  <c r="H149" i="10"/>
  <c r="B150" i="10"/>
  <c r="C150" i="10"/>
  <c r="D150" i="10"/>
  <c r="E150" i="10"/>
  <c r="F150" i="10"/>
  <c r="G150" i="10"/>
  <c r="H150" i="10"/>
  <c r="B151" i="10"/>
  <c r="C151" i="10"/>
  <c r="D151" i="10"/>
  <c r="E151" i="10"/>
  <c r="F151" i="10"/>
  <c r="G151" i="10"/>
  <c r="H151" i="10"/>
  <c r="B152" i="10"/>
  <c r="C152" i="10"/>
  <c r="D152" i="10"/>
  <c r="E152" i="10"/>
  <c r="F152" i="10"/>
  <c r="G152" i="10"/>
  <c r="H152" i="10"/>
  <c r="B153" i="10"/>
  <c r="C153" i="10"/>
  <c r="D153" i="10"/>
  <c r="E153" i="10"/>
  <c r="F153" i="10"/>
  <c r="G153" i="10"/>
  <c r="H153" i="10"/>
  <c r="B154" i="10"/>
  <c r="C154" i="10"/>
  <c r="D154" i="10"/>
  <c r="E154" i="10"/>
  <c r="F154" i="10"/>
  <c r="G154" i="10"/>
  <c r="H154" i="10"/>
  <c r="B155" i="10"/>
  <c r="C155" i="10"/>
  <c r="D155" i="10"/>
  <c r="E155" i="10"/>
  <c r="F155" i="10"/>
  <c r="G155" i="10"/>
  <c r="H155" i="10"/>
  <c r="B156" i="10"/>
  <c r="C156" i="10"/>
  <c r="D156" i="10"/>
  <c r="E156" i="10"/>
  <c r="F156" i="10"/>
  <c r="G156" i="10"/>
  <c r="H156" i="10"/>
  <c r="B157" i="10"/>
  <c r="C157" i="10"/>
  <c r="D157" i="10"/>
  <c r="E157" i="10"/>
  <c r="F157" i="10"/>
  <c r="G157" i="10"/>
  <c r="H157" i="10"/>
  <c r="B158" i="10"/>
  <c r="C158" i="10"/>
  <c r="D158" i="10"/>
  <c r="E158" i="10"/>
  <c r="F158" i="10"/>
  <c r="G158" i="10"/>
  <c r="H158" i="10"/>
  <c r="B159" i="10"/>
  <c r="C159" i="10"/>
  <c r="D159" i="10"/>
  <c r="E159" i="10"/>
  <c r="F159" i="10"/>
  <c r="G159" i="10"/>
  <c r="H159" i="10"/>
  <c r="B160" i="10"/>
  <c r="C160" i="10"/>
  <c r="D160" i="10"/>
  <c r="E160" i="10"/>
  <c r="F160" i="10"/>
  <c r="G160" i="10"/>
  <c r="H160" i="10"/>
  <c r="B161" i="10"/>
  <c r="C161" i="10"/>
  <c r="D161" i="10"/>
  <c r="E161" i="10"/>
  <c r="F161" i="10"/>
  <c r="G161" i="10"/>
  <c r="H161" i="10"/>
  <c r="B162" i="10"/>
  <c r="C162" i="10"/>
  <c r="D162" i="10"/>
  <c r="E162" i="10"/>
  <c r="F162" i="10"/>
  <c r="G162" i="10"/>
  <c r="H162" i="10"/>
  <c r="B163" i="10"/>
  <c r="C163" i="10"/>
  <c r="D163" i="10"/>
  <c r="E163" i="10"/>
  <c r="F163" i="10"/>
  <c r="G163" i="10"/>
  <c r="H163" i="10"/>
  <c r="B164" i="10"/>
  <c r="C164" i="10"/>
  <c r="D164" i="10"/>
  <c r="E164" i="10"/>
  <c r="F164" i="10"/>
  <c r="G164" i="10"/>
  <c r="H164" i="10"/>
  <c r="B165" i="10"/>
  <c r="C165" i="10"/>
  <c r="D165" i="10"/>
  <c r="E165" i="10"/>
  <c r="F165" i="10"/>
  <c r="G165" i="10"/>
  <c r="H165" i="10"/>
  <c r="B166" i="10"/>
  <c r="C166" i="10"/>
  <c r="D166" i="10"/>
  <c r="E166" i="10"/>
  <c r="F166" i="10"/>
  <c r="G166" i="10"/>
  <c r="H166" i="10"/>
  <c r="B167" i="10"/>
  <c r="C167" i="10"/>
  <c r="D167" i="10"/>
  <c r="E167" i="10"/>
  <c r="F167" i="10"/>
  <c r="G167" i="10"/>
  <c r="H167" i="10"/>
  <c r="B168" i="10"/>
  <c r="C168" i="10"/>
  <c r="D168" i="10"/>
  <c r="E168" i="10"/>
  <c r="F168" i="10"/>
  <c r="G168" i="10"/>
  <c r="H168" i="10"/>
  <c r="B169" i="10"/>
  <c r="C169" i="10"/>
  <c r="D169" i="10"/>
  <c r="E169" i="10"/>
  <c r="F169" i="10"/>
  <c r="G169" i="10"/>
  <c r="H169" i="10"/>
  <c r="B170" i="10"/>
  <c r="C170" i="10"/>
  <c r="D170" i="10"/>
  <c r="E170" i="10"/>
  <c r="F170" i="10"/>
  <c r="G170" i="10"/>
  <c r="H170" i="10"/>
  <c r="B171" i="10"/>
  <c r="C171" i="10"/>
  <c r="D171" i="10"/>
  <c r="E171" i="10"/>
  <c r="F171" i="10"/>
  <c r="G171" i="10"/>
  <c r="H171" i="10"/>
  <c r="B172" i="10"/>
  <c r="C172" i="10"/>
  <c r="D172" i="10"/>
  <c r="E172" i="10"/>
  <c r="F172" i="10"/>
  <c r="G172" i="10"/>
  <c r="H172" i="10"/>
  <c r="B173" i="10"/>
  <c r="C173" i="10"/>
  <c r="D173" i="10"/>
  <c r="E173" i="10"/>
  <c r="F173" i="10"/>
  <c r="G173" i="10"/>
  <c r="H173" i="10"/>
  <c r="B174" i="10"/>
  <c r="C174" i="10"/>
  <c r="D174" i="10"/>
  <c r="E174" i="10"/>
  <c r="F174" i="10"/>
  <c r="G174" i="10"/>
  <c r="H174" i="10"/>
  <c r="B175" i="10"/>
  <c r="C175" i="10"/>
  <c r="D175" i="10"/>
  <c r="E175" i="10"/>
  <c r="F175" i="10"/>
  <c r="G175" i="10"/>
  <c r="H175" i="10"/>
  <c r="B176" i="10"/>
  <c r="C176" i="10"/>
  <c r="D176" i="10"/>
  <c r="E176" i="10"/>
  <c r="F176" i="10"/>
  <c r="G176" i="10"/>
  <c r="H176" i="10"/>
  <c r="B177" i="10"/>
  <c r="C177" i="10"/>
  <c r="D177" i="10"/>
  <c r="E177" i="10"/>
  <c r="F177" i="10"/>
  <c r="G177" i="10"/>
  <c r="H177" i="10"/>
  <c r="B178" i="10"/>
  <c r="C178" i="10"/>
  <c r="D178" i="10"/>
  <c r="E178" i="10"/>
  <c r="F178" i="10"/>
  <c r="G178" i="10"/>
  <c r="H178" i="10"/>
  <c r="B179" i="10"/>
  <c r="C179" i="10"/>
  <c r="D179" i="10"/>
  <c r="E179" i="10"/>
  <c r="F179" i="10"/>
  <c r="G179" i="10"/>
  <c r="H179" i="10"/>
  <c r="B180" i="10"/>
  <c r="C180" i="10"/>
  <c r="D180" i="10"/>
  <c r="E180" i="10"/>
  <c r="F180" i="10"/>
  <c r="G180" i="10"/>
  <c r="H180" i="10"/>
  <c r="B181" i="10"/>
  <c r="C181" i="10"/>
  <c r="D181" i="10"/>
  <c r="E181" i="10"/>
  <c r="F181" i="10"/>
  <c r="G181" i="10"/>
  <c r="H181" i="10"/>
  <c r="B182" i="10"/>
  <c r="C182" i="10"/>
  <c r="D182" i="10"/>
  <c r="E182" i="10"/>
  <c r="F182" i="10"/>
  <c r="G182" i="10"/>
  <c r="H182" i="10"/>
  <c r="B183" i="10"/>
  <c r="C183" i="10"/>
  <c r="D183" i="10"/>
  <c r="E183" i="10"/>
  <c r="F183" i="10"/>
  <c r="G183" i="10"/>
  <c r="H183" i="10"/>
  <c r="B184" i="10"/>
  <c r="C184" i="10"/>
  <c r="D184" i="10"/>
  <c r="E184" i="10"/>
  <c r="F184" i="10"/>
  <c r="G184" i="10"/>
  <c r="H184" i="10"/>
  <c r="B185" i="10"/>
  <c r="C185" i="10"/>
  <c r="D185" i="10"/>
  <c r="E185" i="10"/>
  <c r="F185" i="10"/>
  <c r="G185" i="10"/>
  <c r="H185" i="10"/>
  <c r="B186" i="10"/>
  <c r="C186" i="10"/>
  <c r="D186" i="10"/>
  <c r="E186" i="10"/>
  <c r="F186" i="10"/>
  <c r="G186" i="10"/>
  <c r="H186" i="10"/>
  <c r="B187" i="10"/>
  <c r="C187" i="10"/>
  <c r="D187" i="10"/>
  <c r="E187" i="10"/>
  <c r="F187" i="10"/>
  <c r="G187" i="10"/>
  <c r="H187" i="10"/>
  <c r="B188" i="10"/>
  <c r="C188" i="10"/>
  <c r="D188" i="10"/>
  <c r="E188" i="10"/>
  <c r="F188" i="10"/>
  <c r="G188" i="10"/>
  <c r="H188" i="10"/>
  <c r="B189" i="10"/>
  <c r="C189" i="10"/>
  <c r="D189" i="10"/>
  <c r="E189" i="10"/>
  <c r="F189" i="10"/>
  <c r="G189" i="10"/>
  <c r="H189" i="10"/>
  <c r="B190" i="10"/>
  <c r="C190" i="10"/>
  <c r="D190" i="10"/>
  <c r="E190" i="10"/>
  <c r="F190" i="10"/>
  <c r="G190" i="10"/>
  <c r="H190" i="10"/>
  <c r="B191" i="10"/>
  <c r="C191" i="10"/>
  <c r="D191" i="10"/>
  <c r="E191" i="10"/>
  <c r="F191" i="10"/>
  <c r="G191" i="10"/>
  <c r="H191" i="10"/>
  <c r="B192" i="10"/>
  <c r="C192" i="10"/>
  <c r="D192" i="10"/>
  <c r="E192" i="10"/>
  <c r="F192" i="10"/>
  <c r="G192" i="10"/>
  <c r="H192" i="10"/>
  <c r="B193" i="10"/>
  <c r="C193" i="10"/>
  <c r="D193" i="10"/>
  <c r="E193" i="10"/>
  <c r="F193" i="10"/>
  <c r="G193" i="10"/>
  <c r="H193" i="10"/>
  <c r="B194" i="10"/>
  <c r="C194" i="10"/>
  <c r="D194" i="10"/>
  <c r="E194" i="10"/>
  <c r="F194" i="10"/>
  <c r="G194" i="10"/>
  <c r="H194" i="10"/>
  <c r="B195" i="10"/>
  <c r="C195" i="10"/>
  <c r="D195" i="10"/>
  <c r="E195" i="10"/>
  <c r="F195" i="10"/>
  <c r="G195" i="10"/>
  <c r="H195" i="10"/>
  <c r="B196" i="10"/>
  <c r="C196" i="10"/>
  <c r="D196" i="10"/>
  <c r="E196" i="10"/>
  <c r="F196" i="10"/>
  <c r="G196" i="10"/>
  <c r="H196" i="10"/>
  <c r="B197" i="10"/>
  <c r="C197" i="10"/>
  <c r="D197" i="10"/>
  <c r="E197" i="10"/>
  <c r="F197" i="10"/>
  <c r="G197" i="10"/>
  <c r="H197" i="10"/>
  <c r="B198" i="10"/>
  <c r="C198" i="10"/>
  <c r="D198" i="10"/>
  <c r="E198" i="10"/>
  <c r="F198" i="10"/>
  <c r="G198" i="10"/>
  <c r="H198" i="10"/>
  <c r="B199" i="10"/>
  <c r="C199" i="10"/>
  <c r="D199" i="10"/>
  <c r="E199" i="10"/>
  <c r="F199" i="10"/>
  <c r="G199" i="10"/>
  <c r="H199" i="10"/>
  <c r="B200" i="10"/>
  <c r="C200" i="10"/>
  <c r="D200" i="10"/>
  <c r="E200" i="10"/>
  <c r="F200" i="10"/>
  <c r="G200" i="10"/>
  <c r="H200" i="10"/>
  <c r="B201" i="10"/>
  <c r="C201" i="10"/>
  <c r="D201" i="10"/>
  <c r="E201" i="10"/>
  <c r="F201" i="10"/>
  <c r="G201" i="10"/>
  <c r="H201" i="10"/>
  <c r="B202" i="10"/>
  <c r="C202" i="10"/>
  <c r="D202" i="10"/>
  <c r="E202" i="10"/>
  <c r="F202" i="10"/>
  <c r="G202" i="10"/>
  <c r="H202" i="10"/>
  <c r="B203" i="10"/>
  <c r="C203" i="10"/>
  <c r="D203" i="10"/>
  <c r="E203" i="10"/>
  <c r="F203" i="10"/>
  <c r="G203" i="10"/>
  <c r="H203" i="10"/>
  <c r="B204" i="10"/>
  <c r="C204" i="10"/>
  <c r="D204" i="10"/>
  <c r="E204" i="10"/>
  <c r="F204" i="10"/>
  <c r="G204" i="10"/>
  <c r="H204" i="10"/>
  <c r="B205" i="10"/>
  <c r="C205" i="10"/>
  <c r="D205" i="10"/>
  <c r="E205" i="10"/>
  <c r="F205" i="10"/>
  <c r="G205" i="10"/>
  <c r="H205" i="10"/>
  <c r="B206" i="10"/>
  <c r="C206" i="10"/>
  <c r="D206" i="10"/>
  <c r="E206" i="10"/>
  <c r="F206" i="10"/>
  <c r="G206" i="10"/>
  <c r="H206" i="10"/>
  <c r="B207" i="10"/>
  <c r="C207" i="10"/>
  <c r="D207" i="10"/>
  <c r="E207" i="10"/>
  <c r="F207" i="10"/>
  <c r="G207" i="10"/>
  <c r="H207" i="10"/>
  <c r="B208" i="10"/>
  <c r="C208" i="10"/>
  <c r="D208" i="10"/>
  <c r="E208" i="10"/>
  <c r="F208" i="10"/>
  <c r="G208" i="10"/>
  <c r="H208" i="10"/>
  <c r="B209" i="10"/>
  <c r="C209" i="10"/>
  <c r="D209" i="10"/>
  <c r="E209" i="10"/>
  <c r="F209" i="10"/>
  <c r="G209" i="10"/>
  <c r="H209" i="10"/>
  <c r="B210" i="10"/>
  <c r="C210" i="10"/>
  <c r="D210" i="10"/>
  <c r="E210" i="10"/>
  <c r="F210" i="10"/>
  <c r="G210" i="10"/>
  <c r="H210" i="10"/>
  <c r="B211" i="10"/>
  <c r="C211" i="10"/>
  <c r="D211" i="10"/>
  <c r="E211" i="10"/>
  <c r="F211" i="10"/>
  <c r="G211" i="10"/>
  <c r="H211" i="10"/>
  <c r="B212" i="10"/>
  <c r="C212" i="10"/>
  <c r="D212" i="10"/>
  <c r="E212" i="10"/>
  <c r="F212" i="10"/>
  <c r="G212" i="10"/>
  <c r="H212" i="10"/>
  <c r="B213" i="10"/>
  <c r="C213" i="10"/>
  <c r="D213" i="10"/>
  <c r="E213" i="10"/>
  <c r="F213" i="10"/>
  <c r="G213" i="10"/>
  <c r="H213" i="10"/>
  <c r="B214" i="10"/>
  <c r="C214" i="10"/>
  <c r="D214" i="10"/>
  <c r="E214" i="10"/>
  <c r="F214" i="10"/>
  <c r="G214" i="10"/>
  <c r="H214" i="10"/>
  <c r="B215" i="10"/>
  <c r="C215" i="10"/>
  <c r="D215" i="10"/>
  <c r="E215" i="10"/>
  <c r="F215" i="10"/>
  <c r="G215" i="10"/>
  <c r="H215" i="10"/>
  <c r="B216" i="10"/>
  <c r="C216" i="10"/>
  <c r="D216" i="10"/>
  <c r="E216" i="10"/>
  <c r="F216" i="10"/>
  <c r="G216" i="10"/>
  <c r="H216" i="10"/>
  <c r="B217" i="10"/>
  <c r="C217" i="10"/>
  <c r="D217" i="10"/>
  <c r="E217" i="10"/>
  <c r="F217" i="10"/>
  <c r="G217" i="10"/>
  <c r="H217" i="10"/>
  <c r="B218" i="10"/>
  <c r="C218" i="10"/>
  <c r="D218" i="10"/>
  <c r="E218" i="10"/>
  <c r="F218" i="10"/>
  <c r="G218" i="10"/>
  <c r="H218" i="10"/>
  <c r="B219" i="10"/>
  <c r="C219" i="10"/>
  <c r="D219" i="10"/>
  <c r="E219" i="10"/>
  <c r="F219" i="10"/>
  <c r="G219" i="10"/>
  <c r="H219" i="10"/>
  <c r="B220" i="10"/>
  <c r="C220" i="10"/>
  <c r="D220" i="10"/>
  <c r="E220" i="10"/>
  <c r="F220" i="10"/>
  <c r="G220" i="10"/>
  <c r="H220" i="10"/>
  <c r="B221" i="10"/>
  <c r="C221" i="10"/>
  <c r="D221" i="10"/>
  <c r="E221" i="10"/>
  <c r="F221" i="10"/>
  <c r="G221" i="10"/>
  <c r="H221" i="10"/>
  <c r="B222" i="10"/>
  <c r="C222" i="10"/>
  <c r="D222" i="10"/>
  <c r="E222" i="10"/>
  <c r="F222" i="10"/>
  <c r="G222" i="10"/>
  <c r="H222" i="10"/>
  <c r="B223" i="10"/>
  <c r="C223" i="10"/>
  <c r="D223" i="10"/>
  <c r="E223" i="10"/>
  <c r="F223" i="10"/>
  <c r="G223" i="10"/>
  <c r="H223" i="10"/>
  <c r="B224" i="10"/>
  <c r="C224" i="10"/>
  <c r="D224" i="10"/>
  <c r="E224" i="10"/>
  <c r="F224" i="10"/>
  <c r="G224" i="10"/>
  <c r="H224" i="10"/>
  <c r="B225" i="10"/>
  <c r="C225" i="10"/>
  <c r="D225" i="10"/>
  <c r="E225" i="10"/>
  <c r="F225" i="10"/>
  <c r="G225" i="10"/>
  <c r="H225" i="10"/>
  <c r="B226" i="10"/>
  <c r="C226" i="10"/>
  <c r="D226" i="10"/>
  <c r="E226" i="10"/>
  <c r="F226" i="10"/>
  <c r="G226" i="10"/>
  <c r="H226" i="10"/>
  <c r="B227" i="10"/>
  <c r="C227" i="10"/>
  <c r="D227" i="10"/>
  <c r="E227" i="10"/>
  <c r="F227" i="10"/>
  <c r="G227" i="10"/>
  <c r="H227" i="10"/>
  <c r="B228" i="10"/>
  <c r="C228" i="10"/>
  <c r="D228" i="10"/>
  <c r="E228" i="10"/>
  <c r="F228" i="10"/>
  <c r="G228" i="10"/>
  <c r="H228" i="10"/>
  <c r="B229" i="10"/>
  <c r="C229" i="10"/>
  <c r="D229" i="10"/>
  <c r="E229" i="10"/>
  <c r="F229" i="10"/>
  <c r="G229" i="10"/>
  <c r="H229" i="10"/>
  <c r="B230" i="10"/>
  <c r="C230" i="10"/>
  <c r="D230" i="10"/>
  <c r="E230" i="10"/>
  <c r="F230" i="10"/>
  <c r="G230" i="10"/>
  <c r="H230" i="10"/>
  <c r="B231" i="10"/>
  <c r="C231" i="10"/>
  <c r="D231" i="10"/>
  <c r="E231" i="10"/>
  <c r="F231" i="10"/>
  <c r="G231" i="10"/>
  <c r="H231" i="10"/>
  <c r="B232" i="10"/>
  <c r="C232" i="10"/>
  <c r="D232" i="10"/>
  <c r="E232" i="10"/>
  <c r="F232" i="10"/>
  <c r="G232" i="10"/>
  <c r="H232" i="10"/>
  <c r="B233" i="10"/>
  <c r="C233" i="10"/>
  <c r="D233" i="10"/>
  <c r="E233" i="10"/>
  <c r="F233" i="10"/>
  <c r="G233" i="10"/>
  <c r="H233" i="10"/>
  <c r="B234" i="10"/>
  <c r="C234" i="10"/>
  <c r="D234" i="10"/>
  <c r="E234" i="10"/>
  <c r="F234" i="10"/>
  <c r="G234" i="10"/>
  <c r="H234" i="10"/>
  <c r="B235" i="10"/>
  <c r="C235" i="10"/>
  <c r="D235" i="10"/>
  <c r="E235" i="10"/>
  <c r="F235" i="10"/>
  <c r="G235" i="10"/>
  <c r="H235" i="10"/>
  <c r="B236" i="10"/>
  <c r="C236" i="10"/>
  <c r="D236" i="10"/>
  <c r="E236" i="10"/>
  <c r="F236" i="10"/>
  <c r="G236" i="10"/>
  <c r="H236" i="10"/>
  <c r="B237" i="10"/>
  <c r="C237" i="10"/>
  <c r="D237" i="10"/>
  <c r="E237" i="10"/>
  <c r="F237" i="10"/>
  <c r="G237" i="10"/>
  <c r="H237" i="10"/>
  <c r="B238" i="10"/>
  <c r="C238" i="10"/>
  <c r="D238" i="10"/>
  <c r="E238" i="10"/>
  <c r="F238" i="10"/>
  <c r="G238" i="10"/>
  <c r="H238" i="10"/>
  <c r="B239" i="10"/>
  <c r="C239" i="10"/>
  <c r="D239" i="10"/>
  <c r="E239" i="10"/>
  <c r="F239" i="10"/>
  <c r="G239" i="10"/>
  <c r="H239" i="10"/>
  <c r="B240" i="10"/>
  <c r="C240" i="10"/>
  <c r="D240" i="10"/>
  <c r="E240" i="10"/>
  <c r="F240" i="10"/>
  <c r="G240" i="10"/>
  <c r="H240" i="10"/>
  <c r="B241" i="10"/>
  <c r="C241" i="10"/>
  <c r="D241" i="10"/>
  <c r="E241" i="10"/>
  <c r="F241" i="10"/>
  <c r="G241" i="10"/>
  <c r="H241" i="10"/>
  <c r="B242" i="10"/>
  <c r="C242" i="10"/>
  <c r="D242" i="10"/>
  <c r="E242" i="10"/>
  <c r="F242" i="10"/>
  <c r="G242" i="10"/>
  <c r="H242" i="10"/>
  <c r="B243" i="10"/>
  <c r="C243" i="10"/>
  <c r="D243" i="10"/>
  <c r="E243" i="10"/>
  <c r="F243" i="10"/>
  <c r="G243" i="10"/>
  <c r="H243" i="10"/>
  <c r="B244" i="10"/>
  <c r="C244" i="10"/>
  <c r="D244" i="10"/>
  <c r="E244" i="10"/>
  <c r="F244" i="10"/>
  <c r="G244" i="10"/>
  <c r="H244" i="10"/>
  <c r="B245" i="10"/>
  <c r="C245" i="10"/>
  <c r="D245" i="10"/>
  <c r="E245" i="10"/>
  <c r="F245" i="10"/>
  <c r="G245" i="10"/>
  <c r="H245" i="10"/>
  <c r="B246" i="10"/>
  <c r="C246" i="10"/>
  <c r="D246" i="10"/>
  <c r="E246" i="10"/>
  <c r="F246" i="10"/>
  <c r="G246" i="10"/>
  <c r="H246" i="10"/>
  <c r="B247" i="10"/>
  <c r="C247" i="10"/>
  <c r="D247" i="10"/>
  <c r="E247" i="10"/>
  <c r="F247" i="10"/>
  <c r="G247" i="10"/>
  <c r="H247" i="10"/>
  <c r="B248" i="10"/>
  <c r="C248" i="10"/>
  <c r="D248" i="10"/>
  <c r="E248" i="10"/>
  <c r="F248" i="10"/>
  <c r="G248" i="10"/>
  <c r="H248" i="10"/>
  <c r="B249" i="10"/>
  <c r="C249" i="10"/>
  <c r="D249" i="10"/>
  <c r="E249" i="10"/>
  <c r="F249" i="10"/>
  <c r="G249" i="10"/>
  <c r="H249" i="10"/>
  <c r="B250" i="10"/>
  <c r="C250" i="10"/>
  <c r="D250" i="10"/>
  <c r="E250" i="10"/>
  <c r="F250" i="10"/>
  <c r="G250" i="10"/>
  <c r="H250" i="10"/>
  <c r="B251" i="10"/>
  <c r="C251" i="10"/>
  <c r="D251" i="10"/>
  <c r="E251" i="10"/>
  <c r="F251" i="10"/>
  <c r="G251" i="10"/>
  <c r="H251" i="10"/>
  <c r="B252" i="10"/>
  <c r="C252" i="10"/>
  <c r="D252" i="10"/>
  <c r="E252" i="10"/>
  <c r="F252" i="10"/>
  <c r="G252" i="10"/>
  <c r="H252" i="10"/>
  <c r="B253" i="10"/>
  <c r="C253" i="10"/>
  <c r="D253" i="10"/>
  <c r="E253" i="10"/>
  <c r="F253" i="10"/>
  <c r="G253" i="10"/>
  <c r="H253" i="10"/>
  <c r="B254" i="10"/>
  <c r="C254" i="10"/>
  <c r="D254" i="10"/>
  <c r="E254" i="10"/>
  <c r="F254" i="10"/>
  <c r="G254" i="10"/>
  <c r="H254" i="10"/>
  <c r="B255" i="10"/>
  <c r="C255" i="10"/>
  <c r="D255" i="10"/>
  <c r="E255" i="10"/>
  <c r="F255" i="10"/>
  <c r="G255" i="10"/>
  <c r="H255" i="10"/>
  <c r="B256" i="10"/>
  <c r="C256" i="10"/>
  <c r="D256" i="10"/>
  <c r="E256" i="10"/>
  <c r="F256" i="10"/>
  <c r="G256" i="10"/>
  <c r="H256" i="10"/>
  <c r="B257" i="10"/>
  <c r="C257" i="10"/>
  <c r="D257" i="10"/>
  <c r="E257" i="10"/>
  <c r="F257" i="10"/>
  <c r="G257" i="10"/>
  <c r="H257" i="10"/>
  <c r="B258" i="10"/>
  <c r="C258" i="10"/>
  <c r="D258" i="10"/>
  <c r="E258" i="10"/>
  <c r="F258" i="10"/>
  <c r="G258" i="10"/>
  <c r="H258" i="10"/>
  <c r="B259" i="10"/>
  <c r="C259" i="10"/>
  <c r="D259" i="10"/>
  <c r="E259" i="10"/>
  <c r="F259" i="10"/>
  <c r="G259" i="10"/>
  <c r="H259" i="10"/>
  <c r="B260" i="10"/>
  <c r="C260" i="10"/>
  <c r="D260" i="10"/>
  <c r="E260" i="10"/>
  <c r="F260" i="10"/>
  <c r="G260" i="10"/>
  <c r="H260" i="10"/>
  <c r="B261" i="10"/>
  <c r="C261" i="10"/>
  <c r="D261" i="10"/>
  <c r="E261" i="10"/>
  <c r="F261" i="10"/>
  <c r="G261" i="10"/>
  <c r="H261" i="10"/>
  <c r="B262" i="10"/>
  <c r="C262" i="10"/>
  <c r="D262" i="10"/>
  <c r="E262" i="10"/>
  <c r="F262" i="10"/>
  <c r="G262" i="10"/>
  <c r="H262" i="10"/>
  <c r="B263" i="10"/>
  <c r="C263" i="10"/>
  <c r="D263" i="10"/>
  <c r="E263" i="10"/>
  <c r="F263" i="10"/>
  <c r="G263" i="10"/>
  <c r="H263" i="10"/>
  <c r="B264" i="10"/>
  <c r="C264" i="10"/>
  <c r="D264" i="10"/>
  <c r="E264" i="10"/>
  <c r="F264" i="10"/>
  <c r="G264" i="10"/>
  <c r="H264" i="10"/>
  <c r="B265" i="10"/>
  <c r="C265" i="10"/>
  <c r="D265" i="10"/>
  <c r="E265" i="10"/>
  <c r="F265" i="10"/>
  <c r="G265" i="10"/>
  <c r="H265" i="10"/>
  <c r="B266" i="10"/>
  <c r="C266" i="10"/>
  <c r="D266" i="10"/>
  <c r="E266" i="10"/>
  <c r="F266" i="10"/>
  <c r="G266" i="10"/>
  <c r="H266" i="10"/>
  <c r="B267" i="10"/>
  <c r="C267" i="10"/>
  <c r="D267" i="10"/>
  <c r="E267" i="10"/>
  <c r="F267" i="10"/>
  <c r="G267" i="10"/>
  <c r="H267" i="10"/>
  <c r="B268" i="10"/>
  <c r="C268" i="10"/>
  <c r="D268" i="10"/>
  <c r="E268" i="10"/>
  <c r="F268" i="10"/>
  <c r="G268" i="10"/>
  <c r="H268" i="10"/>
  <c r="B269" i="10"/>
  <c r="C269" i="10"/>
  <c r="D269" i="10"/>
  <c r="E269" i="10"/>
  <c r="F269" i="10"/>
  <c r="G269" i="10"/>
  <c r="H269" i="10"/>
  <c r="B270" i="10"/>
  <c r="C270" i="10"/>
  <c r="D270" i="10"/>
  <c r="E270" i="10"/>
  <c r="F270" i="10"/>
  <c r="G270" i="10"/>
  <c r="H270" i="10"/>
  <c r="B271" i="10"/>
  <c r="C271" i="10"/>
  <c r="D271" i="10"/>
  <c r="E271" i="10"/>
  <c r="F271" i="10"/>
  <c r="G271" i="10"/>
  <c r="H271" i="10"/>
  <c r="B272" i="10"/>
  <c r="C272" i="10"/>
  <c r="D272" i="10"/>
  <c r="E272" i="10"/>
  <c r="F272" i="10"/>
  <c r="G272" i="10"/>
  <c r="H272" i="10"/>
  <c r="B273" i="10"/>
  <c r="C273" i="10"/>
  <c r="D273" i="10"/>
  <c r="E273" i="10"/>
  <c r="F273" i="10"/>
  <c r="G273" i="10"/>
  <c r="H273" i="10"/>
  <c r="B274" i="10"/>
  <c r="C274" i="10"/>
  <c r="D274" i="10"/>
  <c r="E274" i="10"/>
  <c r="F274" i="10"/>
  <c r="G274" i="10"/>
  <c r="H274" i="10"/>
  <c r="B275" i="10"/>
  <c r="C275" i="10"/>
  <c r="D275" i="10"/>
  <c r="E275" i="10"/>
  <c r="F275" i="10"/>
  <c r="G275" i="10"/>
  <c r="H275" i="10"/>
  <c r="B276" i="10"/>
  <c r="C276" i="10"/>
  <c r="D276" i="10"/>
  <c r="E276" i="10"/>
  <c r="F276" i="10"/>
  <c r="G276" i="10"/>
  <c r="H276" i="10"/>
  <c r="B277" i="10"/>
  <c r="C277" i="10"/>
  <c r="D277" i="10"/>
  <c r="E277" i="10"/>
  <c r="F277" i="10"/>
  <c r="G277" i="10"/>
  <c r="H277" i="10"/>
  <c r="B278" i="10"/>
  <c r="C278" i="10"/>
  <c r="D278" i="10"/>
  <c r="E278" i="10"/>
  <c r="F278" i="10"/>
  <c r="G278" i="10"/>
  <c r="H278" i="10"/>
  <c r="B279" i="10"/>
  <c r="C279" i="10"/>
  <c r="D279" i="10"/>
  <c r="E279" i="10"/>
  <c r="F279" i="10"/>
  <c r="G279" i="10"/>
  <c r="H279" i="10"/>
  <c r="B280" i="10"/>
  <c r="C280" i="10"/>
  <c r="D280" i="10"/>
  <c r="E280" i="10"/>
  <c r="F280" i="10"/>
  <c r="G280" i="10"/>
  <c r="H280" i="10"/>
  <c r="B281" i="10"/>
  <c r="C281" i="10"/>
  <c r="D281" i="10"/>
  <c r="E281" i="10"/>
  <c r="F281" i="10"/>
  <c r="G281" i="10"/>
  <c r="H281" i="10"/>
  <c r="B282" i="10"/>
  <c r="C282" i="10"/>
  <c r="D282" i="10"/>
  <c r="E282" i="10"/>
  <c r="F282" i="10"/>
  <c r="G282" i="10"/>
  <c r="H282" i="10"/>
  <c r="B283" i="10"/>
  <c r="C283" i="10"/>
  <c r="D283" i="10"/>
  <c r="E283" i="10"/>
  <c r="F283" i="10"/>
  <c r="G283" i="10"/>
  <c r="H283" i="10"/>
  <c r="B284" i="10"/>
  <c r="C284" i="10"/>
  <c r="D284" i="10"/>
  <c r="E284" i="10"/>
  <c r="F284" i="10"/>
  <c r="G284" i="10"/>
  <c r="H284" i="10"/>
  <c r="B285" i="10"/>
  <c r="C285" i="10"/>
  <c r="D285" i="10"/>
  <c r="E285" i="10"/>
  <c r="F285" i="10"/>
  <c r="G285" i="10"/>
  <c r="H285" i="10"/>
  <c r="B286" i="10"/>
  <c r="C286" i="10"/>
  <c r="D286" i="10"/>
  <c r="E286" i="10"/>
  <c r="F286" i="10"/>
  <c r="G286" i="10"/>
  <c r="H286" i="10"/>
  <c r="B287" i="10"/>
  <c r="C287" i="10"/>
  <c r="D287" i="10"/>
  <c r="E287" i="10"/>
  <c r="F287" i="10"/>
  <c r="G287" i="10"/>
  <c r="H287" i="10"/>
  <c r="B288" i="10"/>
  <c r="C288" i="10"/>
  <c r="D288" i="10"/>
  <c r="E288" i="10"/>
  <c r="F288" i="10"/>
  <c r="G288" i="10"/>
  <c r="H288" i="10"/>
  <c r="B289" i="10"/>
  <c r="C289" i="10"/>
  <c r="D289" i="10"/>
  <c r="E289" i="10"/>
  <c r="F289" i="10"/>
  <c r="G289" i="10"/>
  <c r="H289" i="10"/>
  <c r="B290" i="10"/>
  <c r="C290" i="10"/>
  <c r="D290" i="10"/>
  <c r="E290" i="10"/>
  <c r="F290" i="10"/>
  <c r="G290" i="10"/>
  <c r="H290" i="10"/>
  <c r="B291" i="10"/>
  <c r="C291" i="10"/>
  <c r="D291" i="10"/>
  <c r="E291" i="10"/>
  <c r="F291" i="10"/>
  <c r="G291" i="10"/>
  <c r="H291" i="10"/>
  <c r="B292" i="10"/>
  <c r="C292" i="10"/>
  <c r="D292" i="10"/>
  <c r="E292" i="10"/>
  <c r="F292" i="10"/>
  <c r="G292" i="10"/>
  <c r="H292" i="10"/>
  <c r="B293" i="10"/>
  <c r="C293" i="10"/>
  <c r="D293" i="10"/>
  <c r="E293" i="10"/>
  <c r="F293" i="10"/>
  <c r="G293" i="10"/>
  <c r="H293" i="10"/>
  <c r="B294" i="10"/>
  <c r="C294" i="10"/>
  <c r="D294" i="10"/>
  <c r="E294" i="10"/>
  <c r="F294" i="10"/>
  <c r="G294" i="10"/>
  <c r="H294" i="10"/>
  <c r="B295" i="10"/>
  <c r="C295" i="10"/>
  <c r="D295" i="10"/>
  <c r="E295" i="10"/>
  <c r="F295" i="10"/>
  <c r="G295" i="10"/>
  <c r="H295" i="10"/>
  <c r="B296" i="10"/>
  <c r="C296" i="10"/>
  <c r="D296" i="10"/>
  <c r="E296" i="10"/>
  <c r="F296" i="10"/>
  <c r="G296" i="10"/>
  <c r="H296" i="10"/>
  <c r="B297" i="10"/>
  <c r="C297" i="10"/>
  <c r="D297" i="10"/>
  <c r="E297" i="10"/>
  <c r="F297" i="10"/>
  <c r="G297" i="10"/>
  <c r="H297" i="10"/>
  <c r="B298" i="10"/>
  <c r="C298" i="10"/>
  <c r="D298" i="10"/>
  <c r="E298" i="10"/>
  <c r="F298" i="10"/>
  <c r="G298" i="10"/>
  <c r="H298" i="10"/>
  <c r="B299" i="10"/>
  <c r="C299" i="10"/>
  <c r="D299" i="10"/>
  <c r="E299" i="10"/>
  <c r="F299" i="10"/>
  <c r="G299" i="10"/>
  <c r="H299" i="10"/>
  <c r="B300" i="10"/>
  <c r="C300" i="10"/>
  <c r="D300" i="10"/>
  <c r="E300" i="10"/>
  <c r="F300" i="10"/>
  <c r="G300" i="10"/>
  <c r="H300" i="10"/>
  <c r="B301" i="10"/>
  <c r="C301" i="10"/>
  <c r="D301" i="10"/>
  <c r="E301" i="10"/>
  <c r="F301" i="10"/>
  <c r="G301" i="10"/>
  <c r="H301" i="10"/>
  <c r="B302" i="10"/>
  <c r="C302" i="10"/>
  <c r="D302" i="10"/>
  <c r="E302" i="10"/>
  <c r="F302" i="10"/>
  <c r="G302" i="10"/>
  <c r="H302" i="10"/>
  <c r="B303" i="10"/>
  <c r="C303" i="10"/>
  <c r="D303" i="10"/>
  <c r="E303" i="10"/>
  <c r="F303" i="10"/>
  <c r="G303" i="10"/>
  <c r="H303" i="10"/>
  <c r="B304" i="10"/>
  <c r="C304" i="10"/>
  <c r="D304" i="10"/>
  <c r="E304" i="10"/>
  <c r="F304" i="10"/>
  <c r="G304" i="10"/>
  <c r="H304" i="10"/>
  <c r="B305" i="10"/>
  <c r="C305" i="10"/>
  <c r="D305" i="10"/>
  <c r="E305" i="10"/>
  <c r="F305" i="10"/>
  <c r="G305" i="10"/>
  <c r="H305" i="10"/>
  <c r="B306" i="10"/>
  <c r="C306" i="10"/>
  <c r="D306" i="10"/>
  <c r="E306" i="10"/>
  <c r="F306" i="10"/>
  <c r="G306" i="10"/>
  <c r="H306" i="10"/>
  <c r="B307" i="10"/>
  <c r="C307" i="10"/>
  <c r="D307" i="10"/>
  <c r="E307" i="10"/>
  <c r="F307" i="10"/>
  <c r="G307" i="10"/>
  <c r="H307" i="10"/>
  <c r="B308" i="10"/>
  <c r="C308" i="10"/>
  <c r="D308" i="10"/>
  <c r="E308" i="10"/>
  <c r="F308" i="10"/>
  <c r="G308" i="10"/>
  <c r="H308" i="10"/>
  <c r="B309" i="10"/>
  <c r="C309" i="10"/>
  <c r="D309" i="10"/>
  <c r="E309" i="10"/>
  <c r="F309" i="10"/>
  <c r="G309" i="10"/>
  <c r="H309" i="10"/>
  <c r="B310" i="10"/>
  <c r="C310" i="10"/>
  <c r="D310" i="10"/>
  <c r="E310" i="10"/>
  <c r="F310" i="10"/>
  <c r="G310" i="10"/>
  <c r="H310" i="10"/>
  <c r="B311" i="10"/>
  <c r="C311" i="10"/>
  <c r="D311" i="10"/>
  <c r="E311" i="10"/>
  <c r="F311" i="10"/>
  <c r="G311" i="10"/>
  <c r="H311" i="10"/>
  <c r="B312" i="10"/>
  <c r="C312" i="10"/>
  <c r="D312" i="10"/>
  <c r="E312" i="10"/>
  <c r="F312" i="10"/>
  <c r="G312" i="10"/>
  <c r="H312" i="10"/>
  <c r="B313" i="10"/>
  <c r="C313" i="10"/>
  <c r="D313" i="10"/>
  <c r="E313" i="10"/>
  <c r="F313" i="10"/>
  <c r="G313" i="10"/>
  <c r="H313" i="10"/>
  <c r="B314" i="10"/>
  <c r="C314" i="10"/>
  <c r="D314" i="10"/>
  <c r="E314" i="10"/>
  <c r="F314" i="10"/>
  <c r="G314" i="10"/>
  <c r="H314" i="10"/>
  <c r="B315" i="10"/>
  <c r="C315" i="10"/>
  <c r="D315" i="10"/>
  <c r="E315" i="10"/>
  <c r="F315" i="10"/>
  <c r="G315" i="10"/>
  <c r="H315" i="10"/>
  <c r="B316" i="10"/>
  <c r="C316" i="10"/>
  <c r="D316" i="10"/>
  <c r="E316" i="10"/>
  <c r="F316" i="10"/>
  <c r="G316" i="10"/>
  <c r="H316" i="10"/>
  <c r="B317" i="10"/>
  <c r="C317" i="10"/>
  <c r="D317" i="10"/>
  <c r="E317" i="10"/>
  <c r="F317" i="10"/>
  <c r="G317" i="10"/>
  <c r="H317" i="10"/>
  <c r="B318" i="10"/>
  <c r="C318" i="10"/>
  <c r="D318" i="10"/>
  <c r="E318" i="10"/>
  <c r="F318" i="10"/>
  <c r="G318" i="10"/>
  <c r="H318" i="10"/>
  <c r="B319" i="10"/>
  <c r="C319" i="10"/>
  <c r="D319" i="10"/>
  <c r="E319" i="10"/>
  <c r="F319" i="10"/>
  <c r="G319" i="10"/>
  <c r="H319" i="10"/>
  <c r="B320" i="10"/>
  <c r="C320" i="10"/>
  <c r="D320" i="10"/>
  <c r="E320" i="10"/>
  <c r="F320" i="10"/>
  <c r="G320" i="10"/>
  <c r="H320" i="10"/>
  <c r="B321" i="10"/>
  <c r="C321" i="10"/>
  <c r="D321" i="10"/>
  <c r="E321" i="10"/>
  <c r="F321" i="10"/>
  <c r="G321" i="10"/>
  <c r="H321" i="10"/>
  <c r="B322" i="10"/>
  <c r="C322" i="10"/>
  <c r="D322" i="10"/>
  <c r="E322" i="10"/>
  <c r="F322" i="10"/>
  <c r="G322" i="10"/>
  <c r="H322" i="10"/>
  <c r="B323" i="10"/>
  <c r="C323" i="10"/>
  <c r="D323" i="10"/>
  <c r="E323" i="10"/>
  <c r="F323" i="10"/>
  <c r="G323" i="10"/>
  <c r="H323" i="10"/>
  <c r="B324" i="10"/>
  <c r="C324" i="10"/>
  <c r="D324" i="10"/>
  <c r="E324" i="10"/>
  <c r="F324" i="10"/>
  <c r="G324" i="10"/>
  <c r="H324" i="10"/>
  <c r="B325" i="10"/>
  <c r="C325" i="10"/>
  <c r="D325" i="10"/>
  <c r="E325" i="10"/>
  <c r="F325" i="10"/>
  <c r="G325" i="10"/>
  <c r="H325" i="10"/>
  <c r="B326" i="10"/>
  <c r="C326" i="10"/>
  <c r="D326" i="10"/>
  <c r="E326" i="10"/>
  <c r="F326" i="10"/>
  <c r="G326" i="10"/>
  <c r="H326" i="10"/>
  <c r="B327" i="10"/>
  <c r="C327" i="10"/>
  <c r="D327" i="10"/>
  <c r="E327" i="10"/>
  <c r="F327" i="10"/>
  <c r="G327" i="10"/>
  <c r="H327" i="10"/>
  <c r="B328" i="10"/>
  <c r="C328" i="10"/>
  <c r="D328" i="10"/>
  <c r="E328" i="10"/>
  <c r="F328" i="10"/>
  <c r="G328" i="10"/>
  <c r="H328" i="10"/>
  <c r="B329" i="10"/>
  <c r="C329" i="10"/>
  <c r="D329" i="10"/>
  <c r="E329" i="10"/>
  <c r="F329" i="10"/>
  <c r="G329" i="10"/>
  <c r="H329" i="10"/>
  <c r="B330" i="10"/>
  <c r="C330" i="10"/>
  <c r="D330" i="10"/>
  <c r="E330" i="10"/>
  <c r="F330" i="10"/>
  <c r="G330" i="10"/>
  <c r="H330" i="10"/>
  <c r="B331" i="10"/>
  <c r="C331" i="10"/>
  <c r="D331" i="10"/>
  <c r="E331" i="10"/>
  <c r="F331" i="10"/>
  <c r="G331" i="10"/>
  <c r="H331" i="10"/>
  <c r="B332" i="10"/>
  <c r="C332" i="10"/>
  <c r="D332" i="10"/>
  <c r="E332" i="10"/>
  <c r="F332" i="10"/>
  <c r="G332" i="10"/>
  <c r="H332" i="10"/>
  <c r="B333" i="10"/>
  <c r="C333" i="10"/>
  <c r="D333" i="10"/>
  <c r="E333" i="10"/>
  <c r="F333" i="10"/>
  <c r="G333" i="10"/>
  <c r="H333" i="10"/>
  <c r="B334" i="10"/>
  <c r="C334" i="10"/>
  <c r="D334" i="10"/>
  <c r="E334" i="10"/>
  <c r="F334" i="10"/>
  <c r="G334" i="10"/>
  <c r="H334" i="10"/>
  <c r="B335" i="10"/>
  <c r="C335" i="10"/>
  <c r="D335" i="10"/>
  <c r="E335" i="10"/>
  <c r="F335" i="10"/>
  <c r="G335" i="10"/>
  <c r="H335" i="10"/>
  <c r="B336" i="10"/>
  <c r="C336" i="10"/>
  <c r="D336" i="10"/>
  <c r="E336" i="10"/>
  <c r="F336" i="10"/>
  <c r="G336" i="10"/>
  <c r="H336" i="10"/>
  <c r="B337" i="10"/>
  <c r="C337" i="10"/>
  <c r="D337" i="10"/>
  <c r="E337" i="10"/>
  <c r="F337" i="10"/>
  <c r="G337" i="10"/>
  <c r="H337" i="10"/>
  <c r="B338" i="10"/>
  <c r="C338" i="10"/>
  <c r="D338" i="10"/>
  <c r="E338" i="10"/>
  <c r="F338" i="10"/>
  <c r="G338" i="10"/>
  <c r="H338" i="10"/>
  <c r="B339" i="10"/>
  <c r="C339" i="10"/>
  <c r="D339" i="10"/>
  <c r="E339" i="10"/>
  <c r="F339" i="10"/>
  <c r="G339" i="10"/>
  <c r="H339" i="10"/>
  <c r="B340" i="10"/>
  <c r="C340" i="10"/>
  <c r="D340" i="10"/>
  <c r="E340" i="10"/>
  <c r="F340" i="10"/>
  <c r="G340" i="10"/>
  <c r="H340" i="10"/>
  <c r="B341" i="10"/>
  <c r="C341" i="10"/>
  <c r="D341" i="10"/>
  <c r="E341" i="10"/>
  <c r="F341" i="10"/>
  <c r="G341" i="10"/>
  <c r="H341" i="10"/>
  <c r="B342" i="10"/>
  <c r="C342" i="10"/>
  <c r="D342" i="10"/>
  <c r="E342" i="10"/>
  <c r="F342" i="10"/>
  <c r="G342" i="10"/>
  <c r="H342" i="10"/>
  <c r="B343" i="10"/>
  <c r="C343" i="10"/>
  <c r="D343" i="10"/>
  <c r="E343" i="10"/>
  <c r="F343" i="10"/>
  <c r="G343" i="10"/>
  <c r="H343" i="10"/>
  <c r="B344" i="10"/>
  <c r="C344" i="10"/>
  <c r="D344" i="10"/>
  <c r="E344" i="10"/>
  <c r="F344" i="10"/>
  <c r="G344" i="10"/>
  <c r="H344" i="10"/>
  <c r="B345" i="10"/>
  <c r="C345" i="10"/>
  <c r="D345" i="10"/>
  <c r="E345" i="10"/>
  <c r="F345" i="10"/>
  <c r="G345" i="10"/>
  <c r="H345" i="10"/>
  <c r="B346" i="10"/>
  <c r="C346" i="10"/>
  <c r="D346" i="10"/>
  <c r="E346" i="10"/>
  <c r="F346" i="10"/>
  <c r="G346" i="10"/>
  <c r="H346" i="10"/>
  <c r="B347" i="10"/>
  <c r="C347" i="10"/>
  <c r="D347" i="10"/>
  <c r="E347" i="10"/>
  <c r="F347" i="10"/>
  <c r="G347" i="10"/>
  <c r="H347" i="10"/>
  <c r="B348" i="10"/>
  <c r="C348" i="10"/>
  <c r="D348" i="10"/>
  <c r="E348" i="10"/>
  <c r="F348" i="10"/>
  <c r="G348" i="10"/>
  <c r="H348" i="10"/>
  <c r="B349" i="10"/>
  <c r="C349" i="10"/>
  <c r="D349" i="10"/>
  <c r="E349" i="10"/>
  <c r="F349" i="10"/>
  <c r="G349" i="10"/>
  <c r="H349" i="10"/>
  <c r="B350" i="10"/>
  <c r="C350" i="10"/>
  <c r="D350" i="10"/>
  <c r="E350" i="10"/>
  <c r="F350" i="10"/>
  <c r="G350" i="10"/>
  <c r="H350" i="10"/>
  <c r="B351" i="10"/>
  <c r="C351" i="10"/>
  <c r="D351" i="10"/>
  <c r="E351" i="10"/>
  <c r="F351" i="10"/>
  <c r="G351" i="10"/>
  <c r="H351" i="10"/>
  <c r="B352" i="10"/>
  <c r="C352" i="10"/>
  <c r="D352" i="10"/>
  <c r="E352" i="10"/>
  <c r="F352" i="10"/>
  <c r="G352" i="10"/>
  <c r="H352" i="10"/>
  <c r="B353" i="10"/>
  <c r="C353" i="10"/>
  <c r="D353" i="10"/>
  <c r="E353" i="10"/>
  <c r="F353" i="10"/>
  <c r="G353" i="10"/>
  <c r="H353" i="10"/>
  <c r="B354" i="10"/>
  <c r="C354" i="10"/>
  <c r="D354" i="10"/>
  <c r="E354" i="10"/>
  <c r="F354" i="10"/>
  <c r="G354" i="10"/>
  <c r="H354" i="10"/>
  <c r="B355" i="10"/>
  <c r="C355" i="10"/>
  <c r="D355" i="10"/>
  <c r="E355" i="10"/>
  <c r="F355" i="10"/>
  <c r="G355" i="10"/>
  <c r="H355" i="10"/>
  <c r="B356" i="10"/>
  <c r="C356" i="10"/>
  <c r="D356" i="10"/>
  <c r="E356" i="10"/>
  <c r="F356" i="10"/>
  <c r="G356" i="10"/>
  <c r="H356" i="10"/>
  <c r="B357" i="10"/>
  <c r="C357" i="10"/>
  <c r="D357" i="10"/>
  <c r="E357" i="10"/>
  <c r="F357" i="10"/>
  <c r="G357" i="10"/>
  <c r="H357" i="10"/>
  <c r="B358" i="10"/>
  <c r="C358" i="10"/>
  <c r="D358" i="10"/>
  <c r="E358" i="10"/>
  <c r="F358" i="10"/>
  <c r="G358" i="10"/>
  <c r="H358" i="10"/>
  <c r="B359" i="10"/>
  <c r="C359" i="10"/>
  <c r="D359" i="10"/>
  <c r="E359" i="10"/>
  <c r="F359" i="10"/>
  <c r="G359" i="10"/>
  <c r="H359" i="10"/>
  <c r="B360" i="10"/>
  <c r="C360" i="10"/>
  <c r="D360" i="10"/>
  <c r="E360" i="10"/>
  <c r="F360" i="10"/>
  <c r="G360" i="10"/>
  <c r="H360" i="10"/>
  <c r="B361" i="10"/>
  <c r="C361" i="10"/>
  <c r="D361" i="10"/>
  <c r="E361" i="10"/>
  <c r="F361" i="10"/>
  <c r="G361" i="10"/>
  <c r="H361" i="10"/>
  <c r="B362" i="10"/>
  <c r="C362" i="10"/>
  <c r="D362" i="10"/>
  <c r="E362" i="10"/>
  <c r="F362" i="10"/>
  <c r="G362" i="10"/>
  <c r="H362" i="10"/>
  <c r="B363" i="10"/>
  <c r="C363" i="10"/>
  <c r="D363" i="10"/>
  <c r="E363" i="10"/>
  <c r="F363" i="10"/>
  <c r="G363" i="10"/>
  <c r="H363" i="10"/>
  <c r="B364" i="10"/>
  <c r="C364" i="10"/>
  <c r="D364" i="10"/>
  <c r="E364" i="10"/>
  <c r="F364" i="10"/>
  <c r="G364" i="10"/>
  <c r="H364" i="10"/>
  <c r="B365" i="10"/>
  <c r="C365" i="10"/>
  <c r="D365" i="10"/>
  <c r="E365" i="10"/>
  <c r="F365" i="10"/>
  <c r="G365" i="10"/>
  <c r="H365" i="10"/>
  <c r="B366" i="10"/>
  <c r="C366" i="10"/>
  <c r="D366" i="10"/>
  <c r="E366" i="10"/>
  <c r="F366" i="10"/>
  <c r="G366" i="10"/>
  <c r="H366" i="10"/>
  <c r="B367" i="10"/>
  <c r="C367" i="10"/>
  <c r="D367" i="10"/>
  <c r="E367" i="10"/>
  <c r="F367" i="10"/>
  <c r="G367" i="10"/>
  <c r="H367" i="10"/>
  <c r="B368" i="10"/>
  <c r="C368" i="10"/>
  <c r="D368" i="10"/>
  <c r="E368" i="10"/>
  <c r="F368" i="10"/>
  <c r="G368" i="10"/>
  <c r="H368" i="10"/>
  <c r="B369" i="10"/>
  <c r="C369" i="10"/>
  <c r="D369" i="10"/>
  <c r="E369" i="10"/>
  <c r="F369" i="10"/>
  <c r="G369" i="10"/>
  <c r="H369" i="10"/>
  <c r="B370" i="10"/>
  <c r="C370" i="10"/>
  <c r="D370" i="10"/>
  <c r="E370" i="10"/>
  <c r="F370" i="10"/>
  <c r="G370" i="10"/>
  <c r="H370" i="10"/>
  <c r="B371" i="10"/>
  <c r="C371" i="10"/>
  <c r="D371" i="10"/>
  <c r="E371" i="10"/>
  <c r="F371" i="10"/>
  <c r="G371" i="10"/>
  <c r="H371" i="10"/>
  <c r="B372" i="10"/>
  <c r="C372" i="10"/>
  <c r="D372" i="10"/>
  <c r="E372" i="10"/>
  <c r="F372" i="10"/>
  <c r="G372" i="10"/>
  <c r="H372" i="10"/>
  <c r="B373" i="10"/>
  <c r="C373" i="10"/>
  <c r="D373" i="10"/>
  <c r="E373" i="10"/>
  <c r="F373" i="10"/>
  <c r="G373" i="10"/>
  <c r="H373" i="10"/>
  <c r="B374" i="10"/>
  <c r="C374" i="10"/>
  <c r="D374" i="10"/>
  <c r="E374" i="10"/>
  <c r="F374" i="10"/>
  <c r="G374" i="10"/>
  <c r="H374" i="10"/>
  <c r="B375" i="10"/>
  <c r="C375" i="10"/>
  <c r="D375" i="10"/>
  <c r="E375" i="10"/>
  <c r="F375" i="10"/>
  <c r="G375" i="10"/>
  <c r="H375" i="10"/>
  <c r="B376" i="10"/>
  <c r="C376" i="10"/>
  <c r="D376" i="10"/>
  <c r="E376" i="10"/>
  <c r="F376" i="10"/>
  <c r="G376" i="10"/>
  <c r="H376" i="10"/>
  <c r="B377" i="10"/>
  <c r="C377" i="10"/>
  <c r="D377" i="10"/>
  <c r="E377" i="10"/>
  <c r="F377" i="10"/>
  <c r="G377" i="10"/>
  <c r="H377" i="10"/>
  <c r="B378" i="10"/>
  <c r="C378" i="10"/>
  <c r="D378" i="10"/>
  <c r="E378" i="10"/>
  <c r="F378" i="10"/>
  <c r="G378" i="10"/>
  <c r="H378" i="10"/>
  <c r="B379" i="10"/>
  <c r="C379" i="10"/>
  <c r="D379" i="10"/>
  <c r="E379" i="10"/>
  <c r="F379" i="10"/>
  <c r="G379" i="10"/>
  <c r="H379" i="10"/>
  <c r="B380" i="10"/>
  <c r="C380" i="10"/>
  <c r="D380" i="10"/>
  <c r="E380" i="10"/>
  <c r="F380" i="10"/>
  <c r="G380" i="10"/>
  <c r="H380" i="10"/>
  <c r="B381" i="10"/>
  <c r="C381" i="10"/>
  <c r="D381" i="10"/>
  <c r="E381" i="10"/>
  <c r="F381" i="10"/>
  <c r="G381" i="10"/>
  <c r="H381" i="10"/>
  <c r="B382" i="10"/>
  <c r="C382" i="10"/>
  <c r="D382" i="10"/>
  <c r="E382" i="10"/>
  <c r="F382" i="10"/>
  <c r="G382" i="10"/>
  <c r="H382" i="10"/>
  <c r="B383" i="10"/>
  <c r="C383" i="10"/>
  <c r="D383" i="10"/>
  <c r="E383" i="10"/>
  <c r="F383" i="10"/>
  <c r="G383" i="10"/>
  <c r="H383" i="10"/>
  <c r="B384" i="10"/>
  <c r="C384" i="10"/>
  <c r="D384" i="10"/>
  <c r="E384" i="10"/>
  <c r="F384" i="10"/>
  <c r="G384" i="10"/>
  <c r="H384" i="10"/>
  <c r="B385" i="10"/>
  <c r="C385" i="10"/>
  <c r="D385" i="10"/>
  <c r="E385" i="10"/>
  <c r="F385" i="10"/>
  <c r="G385" i="10"/>
  <c r="H385" i="10"/>
  <c r="B386" i="10"/>
  <c r="C386" i="10"/>
  <c r="D386" i="10"/>
  <c r="E386" i="10"/>
  <c r="F386" i="10"/>
  <c r="G386" i="10"/>
  <c r="H386" i="10"/>
  <c r="B387" i="10"/>
  <c r="C387" i="10"/>
  <c r="D387" i="10"/>
  <c r="E387" i="10"/>
  <c r="F387" i="10"/>
  <c r="G387" i="10"/>
  <c r="H387" i="10"/>
  <c r="B388" i="10"/>
  <c r="C388" i="10"/>
  <c r="D388" i="10"/>
  <c r="E388" i="10"/>
  <c r="F388" i="10"/>
  <c r="G388" i="10"/>
  <c r="H388" i="10"/>
  <c r="B389" i="10"/>
  <c r="C389" i="10"/>
  <c r="D389" i="10"/>
  <c r="E389" i="10"/>
  <c r="F389" i="10"/>
  <c r="G389" i="10"/>
  <c r="H389" i="10"/>
  <c r="B390" i="10"/>
  <c r="C390" i="10"/>
  <c r="D390" i="10"/>
  <c r="E390" i="10"/>
  <c r="F390" i="10"/>
  <c r="G390" i="10"/>
  <c r="H390" i="10"/>
  <c r="B391" i="10"/>
  <c r="C391" i="10"/>
  <c r="D391" i="10"/>
  <c r="E391" i="10"/>
  <c r="F391" i="10"/>
  <c r="G391" i="10"/>
  <c r="H391" i="10"/>
  <c r="B392" i="10"/>
  <c r="C392" i="10"/>
  <c r="D392" i="10"/>
  <c r="E392" i="10"/>
  <c r="F392" i="10"/>
  <c r="G392" i="10"/>
  <c r="H392" i="10"/>
  <c r="B393" i="10"/>
  <c r="C393" i="10"/>
  <c r="D393" i="10"/>
  <c r="E393" i="10"/>
  <c r="F393" i="10"/>
  <c r="G393" i="10"/>
  <c r="H393" i="10"/>
  <c r="B394" i="10"/>
  <c r="C394" i="10"/>
  <c r="D394" i="10"/>
  <c r="E394" i="10"/>
  <c r="F394" i="10"/>
  <c r="G394" i="10"/>
  <c r="H394" i="10"/>
  <c r="B395" i="10"/>
  <c r="C395" i="10"/>
  <c r="D395" i="10"/>
  <c r="E395" i="10"/>
  <c r="F395" i="10"/>
  <c r="G395" i="10"/>
  <c r="H395" i="10"/>
  <c r="B396" i="10"/>
  <c r="C396" i="10"/>
  <c r="D396" i="10"/>
  <c r="E396" i="10"/>
  <c r="F396" i="10"/>
  <c r="G396" i="10"/>
  <c r="H396" i="10"/>
  <c r="B397" i="10"/>
  <c r="C397" i="10"/>
  <c r="D397" i="10"/>
  <c r="E397" i="10"/>
  <c r="F397" i="10"/>
  <c r="G397" i="10"/>
  <c r="H397" i="10"/>
  <c r="B398" i="10"/>
  <c r="C398" i="10"/>
  <c r="D398" i="10"/>
  <c r="E398" i="10"/>
  <c r="F398" i="10"/>
  <c r="G398" i="10"/>
  <c r="H398" i="10"/>
  <c r="B399" i="10"/>
  <c r="C399" i="10"/>
  <c r="D399" i="10"/>
  <c r="E399" i="10"/>
  <c r="F399" i="10"/>
  <c r="G399" i="10"/>
  <c r="H399" i="10"/>
  <c r="B400" i="10"/>
  <c r="C400" i="10"/>
  <c r="D400" i="10"/>
  <c r="E400" i="10"/>
  <c r="F400" i="10"/>
  <c r="G400" i="10"/>
  <c r="H400" i="10"/>
  <c r="B401" i="10"/>
  <c r="C401" i="10"/>
  <c r="D401" i="10"/>
  <c r="E401" i="10"/>
  <c r="F401" i="10"/>
  <c r="G401" i="10"/>
  <c r="H401" i="10"/>
  <c r="B402" i="10"/>
  <c r="C402" i="10"/>
  <c r="D402" i="10"/>
  <c r="E402" i="10"/>
  <c r="F402" i="10"/>
  <c r="G402" i="10"/>
  <c r="H402" i="10"/>
  <c r="B403" i="10"/>
  <c r="C403" i="10"/>
  <c r="D403" i="10"/>
  <c r="E403" i="10"/>
  <c r="F403" i="10"/>
  <c r="G403" i="10"/>
  <c r="H403" i="10"/>
  <c r="B404" i="10"/>
  <c r="C404" i="10"/>
  <c r="D404" i="10"/>
  <c r="E404" i="10"/>
  <c r="F404" i="10"/>
  <c r="G404" i="10"/>
  <c r="H404" i="10"/>
  <c r="B405" i="10"/>
  <c r="C405" i="10"/>
  <c r="D405" i="10"/>
  <c r="E405" i="10"/>
  <c r="F405" i="10"/>
  <c r="G405" i="10"/>
  <c r="H405" i="10"/>
  <c r="B406" i="10"/>
  <c r="C406" i="10"/>
  <c r="D406" i="10"/>
  <c r="E406" i="10"/>
  <c r="F406" i="10"/>
  <c r="G406" i="10"/>
  <c r="H406" i="10"/>
  <c r="B407" i="10"/>
  <c r="C407" i="10"/>
  <c r="D407" i="10"/>
  <c r="E407" i="10"/>
  <c r="F407" i="10"/>
  <c r="G407" i="10"/>
  <c r="H407" i="10"/>
  <c r="B408" i="10"/>
  <c r="C408" i="10"/>
  <c r="D408" i="10"/>
  <c r="E408" i="10"/>
  <c r="F408" i="10"/>
  <c r="G408" i="10"/>
  <c r="H408" i="10"/>
  <c r="B409" i="10"/>
  <c r="C409" i="10"/>
  <c r="D409" i="10"/>
  <c r="E409" i="10"/>
  <c r="F409" i="10"/>
  <c r="G409" i="10"/>
  <c r="H409" i="10"/>
  <c r="B410" i="10"/>
  <c r="C410" i="10"/>
  <c r="D410" i="10"/>
  <c r="E410" i="10"/>
  <c r="F410" i="10"/>
  <c r="G410" i="10"/>
  <c r="H410" i="10"/>
  <c r="B411" i="10"/>
  <c r="C411" i="10"/>
  <c r="D411" i="10"/>
  <c r="E411" i="10"/>
  <c r="F411" i="10"/>
  <c r="G411" i="10"/>
  <c r="H411" i="10"/>
  <c r="B412" i="10"/>
  <c r="C412" i="10"/>
  <c r="D412" i="10"/>
  <c r="E412" i="10"/>
  <c r="F412" i="10"/>
  <c r="G412" i="10"/>
  <c r="H412" i="10"/>
  <c r="B413" i="10"/>
  <c r="C413" i="10"/>
  <c r="D413" i="10"/>
  <c r="E413" i="10"/>
  <c r="F413" i="10"/>
  <c r="G413" i="10"/>
  <c r="H413" i="10"/>
  <c r="B414" i="10"/>
  <c r="C414" i="10"/>
  <c r="D414" i="10"/>
  <c r="E414" i="10"/>
  <c r="F414" i="10"/>
  <c r="G414" i="10"/>
  <c r="H414" i="10"/>
  <c r="B415" i="10"/>
  <c r="C415" i="10"/>
  <c r="D415" i="10"/>
  <c r="E415" i="10"/>
  <c r="F415" i="10"/>
  <c r="G415" i="10"/>
  <c r="H415" i="10"/>
  <c r="B416" i="10"/>
  <c r="C416" i="10"/>
  <c r="D416" i="10"/>
  <c r="E416" i="10"/>
  <c r="F416" i="10"/>
  <c r="G416" i="10"/>
  <c r="H416" i="10"/>
  <c r="B417" i="10"/>
  <c r="C417" i="10"/>
  <c r="D417" i="10"/>
  <c r="E417" i="10"/>
  <c r="F417" i="10"/>
  <c r="G417" i="10"/>
  <c r="H417" i="10"/>
  <c r="B418" i="10"/>
  <c r="C418" i="10"/>
  <c r="D418" i="10"/>
  <c r="E418" i="10"/>
  <c r="F418" i="10"/>
  <c r="G418" i="10"/>
  <c r="H418" i="10"/>
  <c r="B419" i="10"/>
  <c r="C419" i="10"/>
  <c r="D419" i="10"/>
  <c r="E419" i="10"/>
  <c r="F419" i="10"/>
  <c r="G419" i="10"/>
  <c r="H419" i="10"/>
  <c r="B420" i="10"/>
  <c r="C420" i="10"/>
  <c r="D420" i="10"/>
  <c r="E420" i="10"/>
  <c r="F420" i="10"/>
  <c r="G420" i="10"/>
  <c r="H420" i="10"/>
  <c r="B421" i="10"/>
  <c r="C421" i="10"/>
  <c r="D421" i="10"/>
  <c r="E421" i="10"/>
  <c r="F421" i="10"/>
  <c r="G421" i="10"/>
  <c r="H421" i="10"/>
  <c r="B422" i="10"/>
  <c r="C422" i="10"/>
  <c r="D422" i="10"/>
  <c r="E422" i="10"/>
  <c r="F422" i="10"/>
  <c r="G422" i="10"/>
  <c r="H422" i="10"/>
  <c r="B423" i="10"/>
  <c r="C423" i="10"/>
  <c r="D423" i="10"/>
  <c r="E423" i="10"/>
  <c r="F423" i="10"/>
  <c r="G423" i="10"/>
  <c r="H423" i="10"/>
  <c r="B424" i="10"/>
  <c r="C424" i="10"/>
  <c r="D424" i="10"/>
  <c r="E424" i="10"/>
  <c r="F424" i="10"/>
  <c r="G424" i="10"/>
  <c r="H424" i="10"/>
  <c r="B425" i="10"/>
  <c r="C425" i="10"/>
  <c r="D425" i="10"/>
  <c r="E425" i="10"/>
  <c r="F425" i="10"/>
  <c r="G425" i="10"/>
  <c r="H425" i="10"/>
  <c r="B426" i="10"/>
  <c r="C426" i="10"/>
  <c r="D426" i="10"/>
  <c r="E426" i="10"/>
  <c r="F426" i="10"/>
  <c r="G426" i="10"/>
  <c r="H426" i="10"/>
  <c r="B427" i="10"/>
  <c r="C427" i="10"/>
  <c r="D427" i="10"/>
  <c r="E427" i="10"/>
  <c r="F427" i="10"/>
  <c r="G427" i="10"/>
  <c r="H427" i="10"/>
  <c r="B428" i="10"/>
  <c r="C428" i="10"/>
  <c r="D428" i="10"/>
  <c r="E428" i="10"/>
  <c r="F428" i="10"/>
  <c r="G428" i="10"/>
  <c r="H428" i="10"/>
  <c r="B429" i="10"/>
  <c r="C429" i="10"/>
  <c r="D429" i="10"/>
  <c r="E429" i="10"/>
  <c r="F429" i="10"/>
  <c r="G429" i="10"/>
  <c r="H429" i="10"/>
  <c r="B430" i="10"/>
  <c r="C430" i="10"/>
  <c r="D430" i="10"/>
  <c r="E430" i="10"/>
  <c r="F430" i="10"/>
  <c r="G430" i="10"/>
  <c r="H430" i="10"/>
  <c r="B431" i="10"/>
  <c r="C431" i="10"/>
  <c r="D431" i="10"/>
  <c r="E431" i="10"/>
  <c r="F431" i="10"/>
  <c r="G431" i="10"/>
  <c r="H431" i="10"/>
  <c r="B432" i="10"/>
  <c r="C432" i="10"/>
  <c r="D432" i="10"/>
  <c r="E432" i="10"/>
  <c r="F432" i="10"/>
  <c r="G432" i="10"/>
  <c r="H432" i="10"/>
  <c r="B433" i="10"/>
  <c r="C433" i="10"/>
  <c r="D433" i="10"/>
  <c r="E433" i="10"/>
  <c r="F433" i="10"/>
  <c r="G433" i="10"/>
  <c r="H433" i="10"/>
  <c r="B434" i="10"/>
  <c r="C434" i="10"/>
  <c r="D434" i="10"/>
  <c r="E434" i="10"/>
  <c r="F434" i="10"/>
  <c r="G434" i="10"/>
  <c r="H434" i="10"/>
  <c r="B435" i="10"/>
  <c r="C435" i="10"/>
  <c r="D435" i="10"/>
  <c r="E435" i="10"/>
  <c r="F435" i="10"/>
  <c r="G435" i="10"/>
  <c r="H435" i="10"/>
  <c r="B436" i="10"/>
  <c r="C436" i="10"/>
  <c r="D436" i="10"/>
  <c r="E436" i="10"/>
  <c r="F436" i="10"/>
  <c r="G436" i="10"/>
  <c r="H436" i="10"/>
  <c r="B437" i="10"/>
  <c r="C437" i="10"/>
  <c r="D437" i="10"/>
  <c r="E437" i="10"/>
  <c r="F437" i="10"/>
  <c r="G437" i="10"/>
  <c r="H437" i="10"/>
  <c r="B438" i="10"/>
  <c r="C438" i="10"/>
  <c r="D438" i="10"/>
  <c r="E438" i="10"/>
  <c r="F438" i="10"/>
  <c r="G438" i="10"/>
  <c r="H438" i="10"/>
  <c r="B439" i="10"/>
  <c r="C439" i="10"/>
  <c r="D439" i="10"/>
  <c r="E439" i="10"/>
  <c r="F439" i="10"/>
  <c r="G439" i="10"/>
  <c r="H439" i="10"/>
  <c r="B440" i="10"/>
  <c r="C440" i="10"/>
  <c r="D440" i="10"/>
  <c r="E440" i="10"/>
  <c r="F440" i="10"/>
  <c r="G440" i="10"/>
  <c r="H440" i="10"/>
  <c r="B441" i="10"/>
  <c r="C441" i="10"/>
  <c r="D441" i="10"/>
  <c r="E441" i="10"/>
  <c r="F441" i="10"/>
  <c r="G441" i="10"/>
  <c r="H441" i="10"/>
  <c r="B442" i="10"/>
  <c r="C442" i="10"/>
  <c r="D442" i="10"/>
  <c r="E442" i="10"/>
  <c r="F442" i="10"/>
  <c r="G442" i="10"/>
  <c r="H442" i="10"/>
  <c r="B443" i="10"/>
  <c r="C443" i="10"/>
  <c r="D443" i="10"/>
  <c r="E443" i="10"/>
  <c r="F443" i="10"/>
  <c r="G443" i="10"/>
  <c r="H443" i="10"/>
  <c r="B444" i="10"/>
  <c r="C444" i="10"/>
  <c r="D444" i="10"/>
  <c r="E444" i="10"/>
  <c r="F444" i="10"/>
  <c r="G444" i="10"/>
  <c r="H444" i="10"/>
  <c r="B445" i="10"/>
  <c r="C445" i="10"/>
  <c r="D445" i="10"/>
  <c r="E445" i="10"/>
  <c r="F445" i="10"/>
  <c r="G445" i="10"/>
  <c r="H445" i="10"/>
  <c r="B446" i="10"/>
  <c r="C446" i="10"/>
  <c r="D446" i="10"/>
  <c r="E446" i="10"/>
  <c r="F446" i="10"/>
  <c r="G446" i="10"/>
  <c r="H446" i="10"/>
  <c r="B447" i="10"/>
  <c r="C447" i="10"/>
  <c r="D447" i="10"/>
  <c r="E447" i="10"/>
  <c r="F447" i="10"/>
  <c r="G447" i="10"/>
  <c r="H447" i="10"/>
  <c r="B448" i="10"/>
  <c r="C448" i="10"/>
  <c r="D448" i="10"/>
  <c r="E448" i="10"/>
  <c r="F448" i="10"/>
  <c r="G448" i="10"/>
  <c r="H448" i="10"/>
  <c r="B449" i="10"/>
  <c r="C449" i="10"/>
  <c r="D449" i="10"/>
  <c r="E449" i="10"/>
  <c r="F449" i="10"/>
  <c r="G449" i="10"/>
  <c r="H449" i="10"/>
  <c r="B450" i="10"/>
  <c r="C450" i="10"/>
  <c r="D450" i="10"/>
  <c r="E450" i="10"/>
  <c r="F450" i="10"/>
  <c r="G450" i="10"/>
  <c r="H450" i="10"/>
  <c r="B451" i="10"/>
  <c r="C451" i="10"/>
  <c r="D451" i="10"/>
  <c r="E451" i="10"/>
  <c r="F451" i="10"/>
  <c r="G451" i="10"/>
  <c r="H451" i="10"/>
  <c r="B452" i="10"/>
  <c r="C452" i="10"/>
  <c r="D452" i="10"/>
  <c r="E452" i="10"/>
  <c r="F452" i="10"/>
  <c r="G452" i="10"/>
  <c r="H452" i="10"/>
  <c r="B453" i="10"/>
  <c r="C453" i="10"/>
  <c r="D453" i="10"/>
  <c r="E453" i="10"/>
  <c r="F453" i="10"/>
  <c r="G453" i="10"/>
  <c r="H453" i="10"/>
  <c r="B454" i="10"/>
  <c r="C454" i="10"/>
  <c r="D454" i="10"/>
  <c r="E454" i="10"/>
  <c r="F454" i="10"/>
  <c r="G454" i="10"/>
  <c r="H454" i="10"/>
  <c r="B455" i="10"/>
  <c r="C455" i="10"/>
  <c r="D455" i="10"/>
  <c r="E455" i="10"/>
  <c r="F455" i="10"/>
  <c r="G455" i="10"/>
  <c r="H455" i="10"/>
  <c r="B456" i="10"/>
  <c r="C456" i="10"/>
  <c r="D456" i="10"/>
  <c r="E456" i="10"/>
  <c r="F456" i="10"/>
  <c r="G456" i="10"/>
  <c r="H456" i="10"/>
  <c r="B457" i="10"/>
  <c r="C457" i="10"/>
  <c r="D457" i="10"/>
  <c r="E457" i="10"/>
  <c r="F457" i="10"/>
  <c r="G457" i="10"/>
  <c r="H457" i="10"/>
  <c r="B458" i="10"/>
  <c r="C458" i="10"/>
  <c r="D458" i="10"/>
  <c r="E458" i="10"/>
  <c r="F458" i="10"/>
  <c r="G458" i="10"/>
  <c r="H458" i="10"/>
  <c r="B459" i="10"/>
  <c r="C459" i="10"/>
  <c r="D459" i="10"/>
  <c r="E459" i="10"/>
  <c r="F459" i="10"/>
  <c r="G459" i="10"/>
  <c r="H459" i="10"/>
  <c r="B460" i="10"/>
  <c r="C460" i="10"/>
  <c r="D460" i="10"/>
  <c r="E460" i="10"/>
  <c r="F460" i="10"/>
  <c r="G460" i="10"/>
  <c r="H460" i="10"/>
  <c r="B461" i="10"/>
  <c r="C461" i="10"/>
  <c r="D461" i="10"/>
  <c r="E461" i="10"/>
  <c r="F461" i="10"/>
  <c r="G461" i="10"/>
  <c r="H461" i="10"/>
  <c r="B462" i="10"/>
  <c r="C462" i="10"/>
  <c r="D462" i="10"/>
  <c r="E462" i="10"/>
  <c r="F462" i="10"/>
  <c r="G462" i="10"/>
  <c r="H462" i="10"/>
  <c r="B463" i="10"/>
  <c r="C463" i="10"/>
  <c r="D463" i="10"/>
  <c r="E463" i="10"/>
  <c r="F463" i="10"/>
  <c r="G463" i="10"/>
  <c r="H463" i="10"/>
  <c r="B464" i="10"/>
  <c r="C464" i="10"/>
  <c r="D464" i="10"/>
  <c r="E464" i="10"/>
  <c r="F464" i="10"/>
  <c r="G464" i="10"/>
  <c r="H464" i="10"/>
  <c r="B465" i="10"/>
  <c r="C465" i="10"/>
  <c r="D465" i="10"/>
  <c r="E465" i="10"/>
  <c r="F465" i="10"/>
  <c r="G465" i="10"/>
  <c r="H465" i="10"/>
  <c r="B466" i="10"/>
  <c r="C466" i="10"/>
  <c r="D466" i="10"/>
  <c r="E466" i="10"/>
  <c r="F466" i="10"/>
  <c r="G466" i="10"/>
  <c r="H466" i="10"/>
  <c r="B467" i="10"/>
  <c r="C467" i="10"/>
  <c r="D467" i="10"/>
  <c r="E467" i="10"/>
  <c r="F467" i="10"/>
  <c r="G467" i="10"/>
  <c r="H467" i="10"/>
  <c r="B468" i="10"/>
  <c r="C468" i="10"/>
  <c r="D468" i="10"/>
  <c r="E468" i="10"/>
  <c r="F468" i="10"/>
  <c r="G468" i="10"/>
  <c r="H468" i="10"/>
  <c r="B469" i="10"/>
  <c r="C469" i="10"/>
  <c r="D469" i="10"/>
  <c r="E469" i="10"/>
  <c r="F469" i="10"/>
  <c r="G469" i="10"/>
  <c r="H469" i="10"/>
  <c r="B470" i="10"/>
  <c r="C470" i="10"/>
  <c r="D470" i="10"/>
  <c r="E470" i="10"/>
  <c r="F470" i="10"/>
  <c r="G470" i="10"/>
  <c r="H470" i="10"/>
  <c r="B471" i="10"/>
  <c r="C471" i="10"/>
  <c r="D471" i="10"/>
  <c r="E471" i="10"/>
  <c r="F471" i="10"/>
  <c r="G471" i="10"/>
  <c r="H471" i="10"/>
  <c r="B472" i="10"/>
  <c r="C472" i="10"/>
  <c r="D472" i="10"/>
  <c r="E472" i="10"/>
  <c r="F472" i="10"/>
  <c r="G472" i="10"/>
  <c r="H472" i="10"/>
  <c r="B473" i="10"/>
  <c r="C473" i="10"/>
  <c r="D473" i="10"/>
  <c r="E473" i="10"/>
  <c r="F473" i="10"/>
  <c r="G473" i="10"/>
  <c r="H473" i="10"/>
  <c r="B474" i="10"/>
  <c r="C474" i="10"/>
  <c r="D474" i="10"/>
  <c r="E474" i="10"/>
  <c r="F474" i="10"/>
  <c r="G474" i="10"/>
  <c r="H474" i="10"/>
  <c r="B475" i="10"/>
  <c r="C475" i="10"/>
  <c r="D475" i="10"/>
  <c r="E475" i="10"/>
  <c r="F475" i="10"/>
  <c r="G475" i="10"/>
  <c r="H475" i="10"/>
  <c r="B476" i="10"/>
  <c r="C476" i="10"/>
  <c r="D476" i="10"/>
  <c r="E476" i="10"/>
  <c r="F476" i="10"/>
  <c r="G476" i="10"/>
  <c r="H476" i="10"/>
  <c r="B477" i="10"/>
  <c r="C477" i="10"/>
  <c r="D477" i="10"/>
  <c r="E477" i="10"/>
  <c r="F477" i="10"/>
  <c r="G477" i="10"/>
  <c r="H477" i="10"/>
  <c r="B478" i="10"/>
  <c r="C478" i="10"/>
  <c r="D478" i="10"/>
  <c r="E478" i="10"/>
  <c r="F478" i="10"/>
  <c r="G478" i="10"/>
  <c r="H478" i="10"/>
  <c r="B479" i="10"/>
  <c r="C479" i="10"/>
  <c r="D479" i="10"/>
  <c r="E479" i="10"/>
  <c r="F479" i="10"/>
  <c r="G479" i="10"/>
  <c r="H479" i="10"/>
  <c r="B480" i="10"/>
  <c r="C480" i="10"/>
  <c r="D480" i="10"/>
  <c r="E480" i="10"/>
  <c r="F480" i="10"/>
  <c r="G480" i="10"/>
  <c r="H480" i="10"/>
  <c r="B481" i="10"/>
  <c r="C481" i="10"/>
  <c r="D481" i="10"/>
  <c r="E481" i="10"/>
  <c r="F481" i="10"/>
  <c r="G481" i="10"/>
  <c r="H481" i="10"/>
  <c r="B482" i="10"/>
  <c r="C482" i="10"/>
  <c r="D482" i="10"/>
  <c r="E482" i="10"/>
  <c r="F482" i="10"/>
  <c r="G482" i="10"/>
  <c r="H482" i="10"/>
  <c r="B483" i="10"/>
  <c r="C483" i="10"/>
  <c r="D483" i="10"/>
  <c r="E483" i="10"/>
  <c r="F483" i="10"/>
  <c r="G483" i="10"/>
  <c r="H483" i="10"/>
  <c r="B484" i="10"/>
  <c r="C484" i="10"/>
  <c r="D484" i="10"/>
  <c r="E484" i="10"/>
  <c r="F484" i="10"/>
  <c r="G484" i="10"/>
  <c r="H484" i="10"/>
  <c r="B485" i="10"/>
  <c r="C485" i="10"/>
  <c r="D485" i="10"/>
  <c r="E485" i="10"/>
  <c r="F485" i="10"/>
  <c r="G485" i="10"/>
  <c r="H485" i="10"/>
  <c r="B486" i="10"/>
  <c r="C486" i="10"/>
  <c r="D486" i="10"/>
  <c r="E486" i="10"/>
  <c r="F486" i="10"/>
  <c r="G486" i="10"/>
  <c r="H486" i="10"/>
  <c r="B487" i="10"/>
  <c r="C487" i="10"/>
  <c r="D487" i="10"/>
  <c r="E487" i="10"/>
  <c r="F487" i="10"/>
  <c r="G487" i="10"/>
  <c r="H487" i="10"/>
  <c r="B488" i="10"/>
  <c r="C488" i="10"/>
  <c r="D488" i="10"/>
  <c r="E488" i="10"/>
  <c r="F488" i="10"/>
  <c r="G488" i="10"/>
  <c r="H488" i="10"/>
  <c r="B489" i="10"/>
  <c r="C489" i="10"/>
  <c r="D489" i="10"/>
  <c r="E489" i="10"/>
  <c r="F489" i="10"/>
  <c r="G489" i="10"/>
  <c r="H489" i="10"/>
  <c r="B490" i="10"/>
  <c r="C490" i="10"/>
  <c r="D490" i="10"/>
  <c r="E490" i="10"/>
  <c r="F490" i="10"/>
  <c r="G490" i="10"/>
  <c r="H490" i="10"/>
  <c r="B491" i="10"/>
  <c r="C491" i="10"/>
  <c r="D491" i="10"/>
  <c r="E491" i="10"/>
  <c r="F491" i="10"/>
  <c r="G491" i="10"/>
  <c r="H491" i="10"/>
  <c r="B492" i="10"/>
  <c r="C492" i="10"/>
  <c r="D492" i="10"/>
  <c r="E492" i="10"/>
  <c r="F492" i="10"/>
  <c r="G492" i="10"/>
  <c r="H492" i="10"/>
  <c r="B493" i="10"/>
  <c r="C493" i="10"/>
  <c r="D493" i="10"/>
  <c r="E493" i="10"/>
  <c r="F493" i="10"/>
  <c r="G493" i="10"/>
  <c r="H493" i="10"/>
  <c r="B494" i="10"/>
  <c r="C494" i="10"/>
  <c r="D494" i="10"/>
  <c r="E494" i="10"/>
  <c r="F494" i="10"/>
  <c r="G494" i="10"/>
  <c r="H494" i="10"/>
  <c r="B495" i="10"/>
  <c r="C495" i="10"/>
  <c r="D495" i="10"/>
  <c r="E495" i="10"/>
  <c r="F495" i="10"/>
  <c r="G495" i="10"/>
  <c r="H495" i="10"/>
  <c r="B496" i="10"/>
  <c r="C496" i="10"/>
  <c r="D496" i="10"/>
  <c r="E496" i="10"/>
  <c r="F496" i="10"/>
  <c r="G496" i="10"/>
  <c r="H496" i="10"/>
  <c r="B497" i="10"/>
  <c r="C497" i="10"/>
  <c r="D497" i="10"/>
  <c r="E497" i="10"/>
  <c r="F497" i="10"/>
  <c r="G497" i="10"/>
  <c r="H497" i="10"/>
  <c r="B498" i="10"/>
  <c r="C498" i="10"/>
  <c r="D498" i="10"/>
  <c r="E498" i="10"/>
  <c r="F498" i="10"/>
  <c r="G498" i="10"/>
  <c r="H498" i="10"/>
  <c r="B499" i="10"/>
  <c r="C499" i="10"/>
  <c r="D499" i="10"/>
  <c r="E499" i="10"/>
  <c r="F499" i="10"/>
  <c r="G499" i="10"/>
  <c r="H499" i="10"/>
  <c r="B500" i="10"/>
  <c r="C500" i="10"/>
  <c r="D500" i="10"/>
  <c r="E500" i="10"/>
  <c r="F500" i="10"/>
  <c r="G500" i="10"/>
  <c r="H500" i="10"/>
  <c r="B501" i="10"/>
  <c r="C501" i="10"/>
  <c r="D501" i="10"/>
  <c r="E501" i="10"/>
  <c r="F501" i="10"/>
  <c r="G501" i="10"/>
  <c r="H501" i="10"/>
  <c r="B502" i="10"/>
  <c r="C502" i="10"/>
  <c r="D502" i="10"/>
  <c r="E502" i="10"/>
  <c r="F502" i="10"/>
  <c r="G502" i="10"/>
  <c r="H502" i="10"/>
  <c r="B503" i="10"/>
  <c r="C503" i="10"/>
  <c r="D503" i="10"/>
  <c r="E503" i="10"/>
  <c r="F503" i="10"/>
  <c r="G503" i="10"/>
  <c r="H503" i="10"/>
  <c r="B504" i="10"/>
  <c r="C504" i="10"/>
  <c r="D504" i="10"/>
  <c r="E504" i="10"/>
  <c r="F504" i="10"/>
  <c r="G504" i="10"/>
  <c r="H504" i="10"/>
  <c r="B505" i="10"/>
  <c r="C505" i="10"/>
  <c r="D505" i="10"/>
  <c r="E505" i="10"/>
  <c r="F505" i="10"/>
  <c r="G505" i="10"/>
  <c r="H505" i="10"/>
  <c r="B506" i="10"/>
  <c r="C506" i="10"/>
  <c r="D506" i="10"/>
  <c r="E506" i="10"/>
  <c r="F506" i="10"/>
  <c r="G506" i="10"/>
  <c r="H506" i="10"/>
  <c r="B507" i="10"/>
  <c r="C507" i="10"/>
  <c r="D507" i="10"/>
  <c r="E507" i="10"/>
  <c r="F507" i="10"/>
  <c r="G507" i="10"/>
  <c r="H507" i="10"/>
  <c r="B508" i="10"/>
  <c r="C508" i="10"/>
  <c r="D508" i="10"/>
  <c r="E508" i="10"/>
  <c r="F508" i="10"/>
  <c r="G508" i="10"/>
  <c r="H508" i="10"/>
  <c r="B509" i="10"/>
  <c r="C509" i="10"/>
  <c r="D509" i="10"/>
  <c r="E509" i="10"/>
  <c r="F509" i="10"/>
  <c r="G509" i="10"/>
  <c r="H509" i="10"/>
  <c r="B510" i="10"/>
  <c r="C510" i="10"/>
  <c r="D510" i="10"/>
  <c r="E510" i="10"/>
  <c r="F510" i="10"/>
  <c r="G510" i="10"/>
  <c r="H510" i="10"/>
  <c r="B511" i="10"/>
  <c r="C511" i="10"/>
  <c r="D511" i="10"/>
  <c r="E511" i="10"/>
  <c r="F511" i="10"/>
  <c r="G511" i="10"/>
  <c r="H511" i="10"/>
  <c r="B512" i="10"/>
  <c r="C512" i="10"/>
  <c r="D512" i="10"/>
  <c r="E512" i="10"/>
  <c r="F512" i="10"/>
  <c r="G512" i="10"/>
  <c r="H512" i="10"/>
  <c r="B513" i="10"/>
  <c r="C513" i="10"/>
  <c r="D513" i="10"/>
  <c r="E513" i="10"/>
  <c r="F513" i="10"/>
  <c r="G513" i="10"/>
  <c r="H513" i="10"/>
  <c r="B514" i="10"/>
  <c r="C514" i="10"/>
  <c r="D514" i="10"/>
  <c r="E514" i="10"/>
  <c r="F514" i="10"/>
  <c r="G514" i="10"/>
  <c r="H514" i="10"/>
  <c r="B515" i="10"/>
  <c r="C515" i="10"/>
  <c r="D515" i="10"/>
  <c r="E515" i="10"/>
  <c r="F515" i="10"/>
  <c r="G515" i="10"/>
  <c r="H515" i="10"/>
  <c r="B516" i="10"/>
  <c r="C516" i="10"/>
  <c r="D516" i="10"/>
  <c r="E516" i="10"/>
  <c r="F516" i="10"/>
  <c r="G516" i="10"/>
  <c r="H516" i="10"/>
  <c r="B517" i="10"/>
  <c r="C517" i="10"/>
  <c r="D517" i="10"/>
  <c r="E517" i="10"/>
  <c r="F517" i="10"/>
  <c r="G517" i="10"/>
  <c r="H517" i="10"/>
  <c r="B518" i="10"/>
  <c r="C518" i="10"/>
  <c r="D518" i="10"/>
  <c r="E518" i="10"/>
  <c r="F518" i="10"/>
  <c r="G518" i="10"/>
  <c r="H518" i="10"/>
  <c r="B519" i="10"/>
  <c r="C519" i="10"/>
  <c r="D519" i="10"/>
  <c r="E519" i="10"/>
  <c r="F519" i="10"/>
  <c r="G519" i="10"/>
  <c r="H519" i="10"/>
  <c r="B520" i="10"/>
  <c r="C520" i="10"/>
  <c r="D520" i="10"/>
  <c r="E520" i="10"/>
  <c r="F520" i="10"/>
  <c r="G520" i="10"/>
  <c r="H520" i="10"/>
  <c r="B521" i="10"/>
  <c r="C521" i="10"/>
  <c r="D521" i="10"/>
  <c r="E521" i="10"/>
  <c r="F521" i="10"/>
  <c r="G521" i="10"/>
  <c r="H521" i="10"/>
  <c r="B522" i="10"/>
  <c r="C522" i="10"/>
  <c r="D522" i="10"/>
  <c r="E522" i="10"/>
  <c r="F522" i="10"/>
  <c r="G522" i="10"/>
  <c r="H522" i="10"/>
  <c r="B523" i="10"/>
  <c r="C523" i="10"/>
  <c r="D523" i="10"/>
  <c r="E523" i="10"/>
  <c r="F523" i="10"/>
  <c r="G523" i="10"/>
  <c r="H523" i="10"/>
  <c r="B524" i="10"/>
  <c r="C524" i="10"/>
  <c r="D524" i="10"/>
  <c r="E524" i="10"/>
  <c r="F524" i="10"/>
  <c r="G524" i="10"/>
  <c r="H524" i="10"/>
  <c r="B525" i="10"/>
  <c r="C525" i="10"/>
  <c r="D525" i="10"/>
  <c r="E525" i="10"/>
  <c r="F525" i="10"/>
  <c r="G525" i="10"/>
  <c r="H525" i="10"/>
  <c r="B526" i="10"/>
  <c r="C526" i="10"/>
  <c r="D526" i="10"/>
  <c r="E526" i="10"/>
  <c r="F526" i="10"/>
  <c r="G526" i="10"/>
  <c r="H526" i="10"/>
  <c r="B527" i="10"/>
  <c r="C527" i="10"/>
  <c r="D527" i="10"/>
  <c r="E527" i="10"/>
  <c r="F527" i="10"/>
  <c r="G527" i="10"/>
  <c r="H527" i="10"/>
  <c r="B528" i="10"/>
  <c r="C528" i="10"/>
  <c r="D528" i="10"/>
  <c r="E528" i="10"/>
  <c r="F528" i="10"/>
  <c r="G528" i="10"/>
  <c r="H528" i="10"/>
  <c r="B529" i="10"/>
  <c r="C529" i="10"/>
  <c r="D529" i="10"/>
  <c r="E529" i="10"/>
  <c r="F529" i="10"/>
  <c r="G529" i="10"/>
  <c r="H529" i="10"/>
  <c r="B530" i="10"/>
  <c r="C530" i="10"/>
  <c r="D530" i="10"/>
  <c r="E530" i="10"/>
  <c r="F530" i="10"/>
  <c r="G530" i="10"/>
  <c r="H530" i="10"/>
  <c r="B531" i="10"/>
  <c r="C531" i="10"/>
  <c r="D531" i="10"/>
  <c r="E531" i="10"/>
  <c r="F531" i="10"/>
  <c r="G531" i="10"/>
  <c r="H531" i="10"/>
  <c r="B532" i="10"/>
  <c r="C532" i="10"/>
  <c r="D532" i="10"/>
  <c r="E532" i="10"/>
  <c r="F532" i="10"/>
  <c r="G532" i="10"/>
  <c r="H532" i="10"/>
  <c r="B533" i="10"/>
  <c r="C533" i="10"/>
  <c r="D533" i="10"/>
  <c r="E533" i="10"/>
  <c r="F533" i="10"/>
  <c r="G533" i="10"/>
  <c r="H533" i="10"/>
  <c r="B534" i="10"/>
  <c r="C534" i="10"/>
  <c r="D534" i="10"/>
  <c r="E534" i="10"/>
  <c r="F534" i="10"/>
  <c r="G534" i="10"/>
  <c r="H534" i="10"/>
  <c r="B535" i="10"/>
  <c r="C535" i="10"/>
  <c r="D535" i="10"/>
  <c r="E535" i="10"/>
  <c r="F535" i="10"/>
  <c r="G535" i="10"/>
  <c r="H535" i="10"/>
  <c r="B536" i="10"/>
  <c r="C536" i="10"/>
  <c r="D536" i="10"/>
  <c r="E536" i="10"/>
  <c r="F536" i="10"/>
  <c r="G536" i="10"/>
  <c r="H536" i="10"/>
  <c r="B537" i="10"/>
  <c r="C537" i="10"/>
  <c r="D537" i="10"/>
  <c r="E537" i="10"/>
  <c r="F537" i="10"/>
  <c r="G537" i="10"/>
  <c r="H537" i="10"/>
  <c r="B538" i="10"/>
  <c r="C538" i="10"/>
  <c r="D538" i="10"/>
  <c r="E538" i="10"/>
  <c r="F538" i="10"/>
  <c r="G538" i="10"/>
  <c r="H538" i="10"/>
  <c r="B539" i="10"/>
  <c r="C539" i="10"/>
  <c r="D539" i="10"/>
  <c r="E539" i="10"/>
  <c r="F539" i="10"/>
  <c r="G539" i="10"/>
  <c r="H539" i="10"/>
  <c r="B540" i="10"/>
  <c r="C540" i="10"/>
  <c r="D540" i="10"/>
  <c r="E540" i="10"/>
  <c r="F540" i="10"/>
  <c r="G540" i="10"/>
  <c r="H540" i="10"/>
  <c r="B541" i="10"/>
  <c r="C541" i="10"/>
  <c r="D541" i="10"/>
  <c r="E541" i="10"/>
  <c r="F541" i="10"/>
  <c r="G541" i="10"/>
  <c r="H541" i="10"/>
  <c r="B542" i="10"/>
  <c r="C542" i="10"/>
  <c r="D542" i="10"/>
  <c r="E542" i="10"/>
  <c r="F542" i="10"/>
  <c r="G542" i="10"/>
  <c r="H542" i="10"/>
  <c r="B543" i="10"/>
  <c r="C543" i="10"/>
  <c r="D543" i="10"/>
  <c r="E543" i="10"/>
  <c r="F543" i="10"/>
  <c r="G543" i="10"/>
  <c r="H543" i="10"/>
  <c r="B544" i="10"/>
  <c r="C544" i="10"/>
  <c r="D544" i="10"/>
  <c r="E544" i="10"/>
  <c r="F544" i="10"/>
  <c r="G544" i="10"/>
  <c r="H544" i="10"/>
  <c r="B545" i="10"/>
  <c r="C545" i="10"/>
  <c r="D545" i="10"/>
  <c r="E545" i="10"/>
  <c r="F545" i="10"/>
  <c r="G545" i="10"/>
  <c r="H545" i="10"/>
  <c r="B546" i="10"/>
  <c r="C546" i="10"/>
  <c r="D546" i="10"/>
  <c r="E546" i="10"/>
  <c r="F546" i="10"/>
  <c r="G546" i="10"/>
  <c r="H546" i="10"/>
  <c r="B547" i="10"/>
  <c r="C547" i="10"/>
  <c r="D547" i="10"/>
  <c r="E547" i="10"/>
  <c r="F547" i="10"/>
  <c r="G547" i="10"/>
  <c r="H547" i="10"/>
  <c r="B548" i="10"/>
  <c r="C548" i="10"/>
  <c r="D548" i="10"/>
  <c r="E548" i="10"/>
  <c r="F548" i="10"/>
  <c r="G548" i="10"/>
  <c r="H548" i="10"/>
  <c r="B549" i="10"/>
  <c r="C549" i="10"/>
  <c r="D549" i="10"/>
  <c r="E549" i="10"/>
  <c r="F549" i="10"/>
  <c r="G549" i="10"/>
  <c r="H549" i="10"/>
  <c r="B550" i="10"/>
  <c r="C550" i="10"/>
  <c r="D550" i="10"/>
  <c r="E550" i="10"/>
  <c r="F550" i="10"/>
  <c r="G550" i="10"/>
  <c r="H550" i="10"/>
  <c r="B551" i="10"/>
  <c r="C551" i="10"/>
  <c r="D551" i="10"/>
  <c r="E551" i="10"/>
  <c r="F551" i="10"/>
  <c r="G551" i="10"/>
  <c r="H551" i="10"/>
  <c r="B552" i="10"/>
  <c r="C552" i="10"/>
  <c r="D552" i="10"/>
  <c r="E552" i="10"/>
  <c r="F552" i="10"/>
  <c r="G552" i="10"/>
  <c r="H552" i="10"/>
  <c r="B553" i="10"/>
  <c r="C553" i="10"/>
  <c r="D553" i="10"/>
  <c r="E553" i="10"/>
  <c r="F553" i="10"/>
  <c r="G553" i="10"/>
  <c r="H553" i="10"/>
  <c r="B554" i="10"/>
  <c r="C554" i="10"/>
  <c r="D554" i="10"/>
  <c r="E554" i="10"/>
  <c r="F554" i="10"/>
  <c r="G554" i="10"/>
  <c r="H554" i="10"/>
  <c r="B555" i="10"/>
  <c r="C555" i="10"/>
  <c r="D555" i="10"/>
  <c r="E555" i="10"/>
  <c r="F555" i="10"/>
  <c r="G555" i="10"/>
  <c r="H555" i="10"/>
  <c r="B556" i="10"/>
  <c r="C556" i="10"/>
  <c r="D556" i="10"/>
  <c r="E556" i="10"/>
  <c r="F556" i="10"/>
  <c r="G556" i="10"/>
  <c r="H556" i="10"/>
  <c r="B557" i="10"/>
  <c r="C557" i="10"/>
  <c r="D557" i="10"/>
  <c r="E557" i="10"/>
  <c r="F557" i="10"/>
  <c r="G557" i="10"/>
  <c r="H557" i="10"/>
  <c r="B558" i="10"/>
  <c r="C558" i="10"/>
  <c r="D558" i="10"/>
  <c r="E558" i="10"/>
  <c r="F558" i="10"/>
  <c r="G558" i="10"/>
  <c r="H558" i="10"/>
  <c r="B559" i="10"/>
  <c r="C559" i="10"/>
  <c r="D559" i="10"/>
  <c r="E559" i="10"/>
  <c r="F559" i="10"/>
  <c r="G559" i="10"/>
  <c r="H559" i="10"/>
  <c r="B560" i="10"/>
  <c r="C560" i="10"/>
  <c r="D560" i="10"/>
  <c r="E560" i="10"/>
  <c r="F560" i="10"/>
  <c r="G560" i="10"/>
  <c r="H560" i="10"/>
  <c r="B561" i="10"/>
  <c r="C561" i="10"/>
  <c r="D561" i="10"/>
  <c r="E561" i="10"/>
  <c r="F561" i="10"/>
  <c r="G561" i="10"/>
  <c r="H561" i="10"/>
  <c r="B562" i="10"/>
  <c r="C562" i="10"/>
  <c r="D562" i="10"/>
  <c r="E562" i="10"/>
  <c r="F562" i="10"/>
  <c r="G562" i="10"/>
  <c r="H562" i="10"/>
  <c r="B563" i="10"/>
  <c r="C563" i="10"/>
  <c r="D563" i="10"/>
  <c r="E563" i="10"/>
  <c r="F563" i="10"/>
  <c r="G563" i="10"/>
  <c r="H563" i="10"/>
  <c r="B564" i="10"/>
  <c r="C564" i="10"/>
  <c r="D564" i="10"/>
  <c r="E564" i="10"/>
  <c r="F564" i="10"/>
  <c r="G564" i="10"/>
  <c r="H564" i="10"/>
  <c r="B565" i="10"/>
  <c r="C565" i="10"/>
  <c r="D565" i="10"/>
  <c r="E565" i="10"/>
  <c r="F565" i="10"/>
  <c r="G565" i="10"/>
  <c r="H565" i="10"/>
  <c r="B566" i="10"/>
  <c r="C566" i="10"/>
  <c r="D566" i="10"/>
  <c r="E566" i="10"/>
  <c r="F566" i="10"/>
  <c r="G566" i="10"/>
  <c r="H566" i="10"/>
  <c r="B567" i="10"/>
  <c r="C567" i="10"/>
  <c r="D567" i="10"/>
  <c r="E567" i="10"/>
  <c r="F567" i="10"/>
  <c r="G567" i="10"/>
  <c r="H567" i="10"/>
  <c r="B568" i="10"/>
  <c r="C568" i="10"/>
  <c r="D568" i="10"/>
  <c r="E568" i="10"/>
  <c r="F568" i="10"/>
  <c r="G568" i="10"/>
  <c r="H568" i="10"/>
  <c r="B569" i="10"/>
  <c r="C569" i="10"/>
  <c r="D569" i="10"/>
  <c r="E569" i="10"/>
  <c r="F569" i="10"/>
  <c r="G569" i="10"/>
  <c r="H569" i="10"/>
  <c r="B570" i="10"/>
  <c r="C570" i="10"/>
  <c r="D570" i="10"/>
  <c r="E570" i="10"/>
  <c r="F570" i="10"/>
  <c r="G570" i="10"/>
  <c r="H570" i="10"/>
  <c r="B571" i="10"/>
  <c r="C571" i="10"/>
  <c r="D571" i="10"/>
  <c r="E571" i="10"/>
  <c r="F571" i="10"/>
  <c r="G571" i="10"/>
  <c r="H571" i="10"/>
  <c r="B572" i="10"/>
  <c r="C572" i="10"/>
  <c r="D572" i="10"/>
  <c r="E572" i="10"/>
  <c r="F572" i="10"/>
  <c r="G572" i="10"/>
  <c r="H572" i="10"/>
  <c r="B573" i="10"/>
  <c r="C573" i="10"/>
  <c r="D573" i="10"/>
  <c r="E573" i="10"/>
  <c r="F573" i="10"/>
  <c r="G573" i="10"/>
  <c r="H573" i="10"/>
  <c r="B574" i="10"/>
  <c r="C574" i="10"/>
  <c r="D574" i="10"/>
  <c r="E574" i="10"/>
  <c r="F574" i="10"/>
  <c r="G574" i="10"/>
  <c r="H574" i="10"/>
  <c r="B575" i="10"/>
  <c r="C575" i="10"/>
  <c r="D575" i="10"/>
  <c r="E575" i="10"/>
  <c r="F575" i="10"/>
  <c r="G575" i="10"/>
  <c r="H575" i="10"/>
  <c r="B576" i="10"/>
  <c r="C576" i="10"/>
  <c r="D576" i="10"/>
  <c r="E576" i="10"/>
  <c r="F576" i="10"/>
  <c r="G576" i="10"/>
  <c r="H576" i="10"/>
  <c r="B577" i="10"/>
  <c r="C577" i="10"/>
  <c r="D577" i="10"/>
  <c r="E577" i="10"/>
  <c r="F577" i="10"/>
  <c r="G577" i="10"/>
  <c r="H577" i="10"/>
  <c r="B578" i="10"/>
  <c r="C578" i="10"/>
  <c r="D578" i="10"/>
  <c r="E578" i="10"/>
  <c r="F578" i="10"/>
  <c r="G578" i="10"/>
  <c r="H578" i="10"/>
  <c r="B579" i="10"/>
  <c r="C579" i="10"/>
  <c r="D579" i="10"/>
  <c r="E579" i="10"/>
  <c r="F579" i="10"/>
  <c r="G579" i="10"/>
  <c r="H579" i="10"/>
  <c r="B580" i="10"/>
  <c r="C580" i="10"/>
  <c r="D580" i="10"/>
  <c r="E580" i="10"/>
  <c r="F580" i="10"/>
  <c r="G580" i="10"/>
  <c r="H580" i="10"/>
  <c r="B581" i="10"/>
  <c r="C581" i="10"/>
  <c r="D581" i="10"/>
  <c r="E581" i="10"/>
  <c r="F581" i="10"/>
  <c r="G581" i="10"/>
  <c r="H581" i="10"/>
  <c r="B582" i="10"/>
  <c r="C582" i="10"/>
  <c r="D582" i="10"/>
  <c r="E582" i="10"/>
  <c r="F582" i="10"/>
  <c r="G582" i="10"/>
  <c r="H582" i="10"/>
  <c r="B583" i="10"/>
  <c r="C583" i="10"/>
  <c r="D583" i="10"/>
  <c r="E583" i="10"/>
  <c r="F583" i="10"/>
  <c r="G583" i="10"/>
  <c r="H583" i="10"/>
  <c r="B584" i="10"/>
  <c r="C584" i="10"/>
  <c r="D584" i="10"/>
  <c r="E584" i="10"/>
  <c r="F584" i="10"/>
  <c r="G584" i="10"/>
  <c r="H584" i="10"/>
  <c r="B585" i="10"/>
  <c r="C585" i="10"/>
  <c r="D585" i="10"/>
  <c r="E585" i="10"/>
  <c r="F585" i="10"/>
  <c r="G585" i="10"/>
  <c r="H585" i="10"/>
  <c r="B586" i="10"/>
  <c r="C586" i="10"/>
  <c r="D586" i="10"/>
  <c r="E586" i="10"/>
  <c r="F586" i="10"/>
  <c r="G586" i="10"/>
  <c r="H586" i="10"/>
  <c r="B587" i="10"/>
  <c r="C587" i="10"/>
  <c r="D587" i="10"/>
  <c r="E587" i="10"/>
  <c r="F587" i="10"/>
  <c r="G587" i="10"/>
  <c r="H587" i="10"/>
  <c r="B588" i="10"/>
  <c r="C588" i="10"/>
  <c r="D588" i="10"/>
  <c r="E588" i="10"/>
  <c r="F588" i="10"/>
  <c r="G588" i="10"/>
  <c r="H588" i="10"/>
  <c r="B589" i="10"/>
  <c r="C589" i="10"/>
  <c r="D589" i="10"/>
  <c r="E589" i="10"/>
  <c r="F589" i="10"/>
  <c r="G589" i="10"/>
  <c r="H589" i="10"/>
  <c r="B590" i="10"/>
  <c r="C590" i="10"/>
  <c r="D590" i="10"/>
  <c r="E590" i="10"/>
  <c r="F590" i="10"/>
  <c r="G590" i="10"/>
  <c r="H590" i="10"/>
  <c r="B591" i="10"/>
  <c r="C591" i="10"/>
  <c r="D591" i="10"/>
  <c r="E591" i="10"/>
  <c r="F591" i="10"/>
  <c r="G591" i="10"/>
  <c r="H591" i="10"/>
  <c r="B592" i="10"/>
  <c r="C592" i="10"/>
  <c r="D592" i="10"/>
  <c r="E592" i="10"/>
  <c r="F592" i="10"/>
  <c r="G592" i="10"/>
  <c r="H592" i="10"/>
  <c r="B593" i="10"/>
  <c r="C593" i="10"/>
  <c r="D593" i="10"/>
  <c r="E593" i="10"/>
  <c r="F593" i="10"/>
  <c r="G593" i="10"/>
  <c r="H593" i="10"/>
  <c r="B594" i="10"/>
  <c r="C594" i="10"/>
  <c r="D594" i="10"/>
  <c r="E594" i="10"/>
  <c r="F594" i="10"/>
  <c r="G594" i="10"/>
  <c r="H594" i="10"/>
  <c r="B595" i="10"/>
  <c r="C595" i="10"/>
  <c r="D595" i="10"/>
  <c r="E595" i="10"/>
  <c r="F595" i="10"/>
  <c r="G595" i="10"/>
  <c r="H595" i="10"/>
  <c r="B596" i="10"/>
  <c r="C596" i="10"/>
  <c r="D596" i="10"/>
  <c r="E596" i="10"/>
  <c r="F596" i="10"/>
  <c r="G596" i="10"/>
  <c r="H596" i="10"/>
  <c r="B597" i="10"/>
  <c r="C597" i="10"/>
  <c r="D597" i="10"/>
  <c r="E597" i="10"/>
  <c r="F597" i="10"/>
  <c r="G597" i="10"/>
  <c r="H597" i="10"/>
  <c r="B598" i="10"/>
  <c r="C598" i="10"/>
  <c r="D598" i="10"/>
  <c r="E598" i="10"/>
  <c r="F598" i="10"/>
  <c r="G598" i="10"/>
  <c r="H598" i="10"/>
  <c r="B599" i="10"/>
  <c r="C599" i="10"/>
  <c r="D599" i="10"/>
  <c r="E599" i="10"/>
  <c r="F599" i="10"/>
  <c r="G599" i="10"/>
  <c r="H599" i="10"/>
  <c r="B600" i="10"/>
  <c r="C600" i="10"/>
  <c r="D600" i="10"/>
  <c r="E600" i="10"/>
  <c r="F600" i="10"/>
  <c r="G600" i="10"/>
  <c r="H600" i="10"/>
  <c r="B601" i="10"/>
  <c r="C601" i="10"/>
  <c r="D601" i="10"/>
  <c r="E601" i="10"/>
  <c r="F601" i="10"/>
  <c r="G601" i="10"/>
  <c r="H601" i="10"/>
  <c r="B602" i="10"/>
  <c r="C602" i="10"/>
  <c r="D602" i="10"/>
  <c r="E602" i="10"/>
  <c r="F602" i="10"/>
  <c r="G602" i="10"/>
  <c r="H602" i="10"/>
  <c r="B603" i="10"/>
  <c r="C603" i="10"/>
  <c r="D603" i="10"/>
  <c r="E603" i="10"/>
  <c r="F603" i="10"/>
  <c r="G603" i="10"/>
  <c r="H603" i="10"/>
  <c r="B604" i="10"/>
  <c r="C604" i="10"/>
  <c r="D604" i="10"/>
  <c r="E604" i="10"/>
  <c r="F604" i="10"/>
  <c r="G604" i="10"/>
  <c r="H604" i="10"/>
  <c r="B605" i="10"/>
  <c r="C605" i="10"/>
  <c r="D605" i="10"/>
  <c r="E605" i="10"/>
  <c r="F605" i="10"/>
  <c r="G605" i="10"/>
  <c r="H605" i="10"/>
  <c r="B606" i="10"/>
  <c r="C606" i="10"/>
  <c r="D606" i="10"/>
  <c r="E606" i="10"/>
  <c r="F606" i="10"/>
  <c r="G606" i="10"/>
  <c r="H606" i="10"/>
  <c r="B607" i="10"/>
  <c r="C607" i="10"/>
  <c r="D607" i="10"/>
  <c r="E607" i="10"/>
  <c r="F607" i="10"/>
  <c r="G607" i="10"/>
  <c r="H607" i="10"/>
  <c r="B608" i="10"/>
  <c r="C608" i="10"/>
  <c r="D608" i="10"/>
  <c r="E608" i="10"/>
  <c r="F608" i="10"/>
  <c r="G608" i="10"/>
  <c r="H608" i="10"/>
  <c r="B609" i="10"/>
  <c r="C609" i="10"/>
  <c r="D609" i="10"/>
  <c r="E609" i="10"/>
  <c r="F609" i="10"/>
  <c r="G609" i="10"/>
  <c r="H609" i="10"/>
  <c r="B610" i="10"/>
  <c r="C610" i="10"/>
  <c r="D610" i="10"/>
  <c r="E610" i="10"/>
  <c r="F610" i="10"/>
  <c r="G610" i="10"/>
  <c r="H610" i="10"/>
  <c r="B611" i="10"/>
  <c r="C611" i="10"/>
  <c r="D611" i="10"/>
  <c r="E611" i="10"/>
  <c r="F611" i="10"/>
  <c r="G611" i="10"/>
  <c r="H611" i="10"/>
  <c r="B612" i="10"/>
  <c r="C612" i="10"/>
  <c r="D612" i="10"/>
  <c r="E612" i="10"/>
  <c r="F612" i="10"/>
  <c r="G612" i="10"/>
  <c r="H612" i="10"/>
  <c r="B613" i="10"/>
  <c r="C613" i="10"/>
  <c r="D613" i="10"/>
  <c r="E613" i="10"/>
  <c r="F613" i="10"/>
  <c r="G613" i="10"/>
  <c r="H613" i="10"/>
  <c r="B614" i="10"/>
  <c r="C614" i="10"/>
  <c r="D614" i="10"/>
  <c r="E614" i="10"/>
  <c r="F614" i="10"/>
  <c r="G614" i="10"/>
  <c r="H614" i="10"/>
  <c r="B615" i="10"/>
  <c r="C615" i="10"/>
  <c r="D615" i="10"/>
  <c r="E615" i="10"/>
  <c r="F615" i="10"/>
  <c r="G615" i="10"/>
  <c r="H615" i="10"/>
  <c r="B616" i="10"/>
  <c r="C616" i="10"/>
  <c r="D616" i="10"/>
  <c r="E616" i="10"/>
  <c r="F616" i="10"/>
  <c r="G616" i="10"/>
  <c r="H616" i="10"/>
  <c r="B617" i="10"/>
  <c r="C617" i="10"/>
  <c r="D617" i="10"/>
  <c r="E617" i="10"/>
  <c r="F617" i="10"/>
  <c r="G617" i="10"/>
  <c r="H617" i="10"/>
  <c r="B618" i="10"/>
  <c r="C618" i="10"/>
  <c r="D618" i="10"/>
  <c r="E618" i="10"/>
  <c r="F618" i="10"/>
  <c r="G618" i="10"/>
  <c r="H618" i="10"/>
  <c r="B619" i="10"/>
  <c r="C619" i="10"/>
  <c r="D619" i="10"/>
  <c r="E619" i="10"/>
  <c r="F619" i="10"/>
  <c r="G619" i="10"/>
  <c r="H619" i="10"/>
  <c r="B620" i="10"/>
  <c r="C620" i="10"/>
  <c r="D620" i="10"/>
  <c r="E620" i="10"/>
  <c r="F620" i="10"/>
  <c r="G620" i="10"/>
  <c r="H620" i="10"/>
  <c r="B621" i="10"/>
  <c r="C621" i="10"/>
  <c r="D621" i="10"/>
  <c r="E621" i="10"/>
  <c r="F621" i="10"/>
  <c r="G621" i="10"/>
  <c r="H621" i="10"/>
  <c r="B622" i="10"/>
  <c r="C622" i="10"/>
  <c r="D622" i="10"/>
  <c r="E622" i="10"/>
  <c r="F622" i="10"/>
  <c r="G622" i="10"/>
  <c r="H622" i="10"/>
  <c r="B623" i="10"/>
  <c r="C623" i="10"/>
  <c r="D623" i="10"/>
  <c r="E623" i="10"/>
  <c r="F623" i="10"/>
  <c r="G623" i="10"/>
  <c r="H623" i="10"/>
  <c r="B624" i="10"/>
  <c r="C624" i="10"/>
  <c r="D624" i="10"/>
  <c r="E624" i="10"/>
  <c r="F624" i="10"/>
  <c r="G624" i="10"/>
  <c r="H624" i="10"/>
  <c r="B625" i="10"/>
  <c r="C625" i="10"/>
  <c r="D625" i="10"/>
  <c r="E625" i="10"/>
  <c r="F625" i="10"/>
  <c r="G625" i="10"/>
  <c r="H625" i="10"/>
  <c r="B626" i="10"/>
  <c r="C626" i="10"/>
  <c r="D626" i="10"/>
  <c r="E626" i="10"/>
  <c r="F626" i="10"/>
  <c r="G626" i="10"/>
  <c r="H626" i="10"/>
  <c r="B627" i="10"/>
  <c r="C627" i="10"/>
  <c r="D627" i="10"/>
  <c r="E627" i="10"/>
  <c r="F627" i="10"/>
  <c r="G627" i="10"/>
  <c r="H627" i="10"/>
  <c r="B628" i="10"/>
  <c r="C628" i="10"/>
  <c r="D628" i="10"/>
  <c r="E628" i="10"/>
  <c r="F628" i="10"/>
  <c r="G628" i="10"/>
  <c r="H628" i="10"/>
  <c r="B629" i="10"/>
  <c r="C629" i="10"/>
  <c r="D629" i="10"/>
  <c r="E629" i="10"/>
  <c r="F629" i="10"/>
  <c r="G629" i="10"/>
  <c r="H629" i="10"/>
  <c r="B630" i="10"/>
  <c r="C630" i="10"/>
  <c r="D630" i="10"/>
  <c r="E630" i="10"/>
  <c r="F630" i="10"/>
  <c r="G630" i="10"/>
  <c r="H630" i="10"/>
  <c r="B631" i="10"/>
  <c r="C631" i="10"/>
  <c r="D631" i="10"/>
  <c r="E631" i="10"/>
  <c r="F631" i="10"/>
  <c r="G631" i="10"/>
  <c r="H631" i="10"/>
  <c r="B632" i="10"/>
  <c r="C632" i="10"/>
  <c r="D632" i="10"/>
  <c r="E632" i="10"/>
  <c r="F632" i="10"/>
  <c r="G632" i="10"/>
  <c r="H632" i="10"/>
  <c r="B633" i="10"/>
  <c r="C633" i="10"/>
  <c r="D633" i="10"/>
  <c r="E633" i="10"/>
  <c r="F633" i="10"/>
  <c r="G633" i="10"/>
  <c r="H633" i="10"/>
  <c r="B634" i="10"/>
  <c r="C634" i="10"/>
  <c r="D634" i="10"/>
  <c r="E634" i="10"/>
  <c r="F634" i="10"/>
  <c r="G634" i="10"/>
  <c r="H634" i="10"/>
  <c r="B635" i="10"/>
  <c r="C635" i="10"/>
  <c r="D635" i="10"/>
  <c r="E635" i="10"/>
  <c r="F635" i="10"/>
  <c r="G635" i="10"/>
  <c r="H635" i="10"/>
  <c r="B636" i="10"/>
  <c r="C636" i="10"/>
  <c r="D636" i="10"/>
  <c r="E636" i="10"/>
  <c r="F636" i="10"/>
  <c r="G636" i="10"/>
  <c r="H636" i="10"/>
  <c r="B637" i="10"/>
  <c r="C637" i="10"/>
  <c r="D637" i="10"/>
  <c r="E637" i="10"/>
  <c r="F637" i="10"/>
  <c r="G637" i="10"/>
  <c r="H637" i="10"/>
  <c r="B638" i="10"/>
  <c r="C638" i="10"/>
  <c r="D638" i="10"/>
  <c r="E638" i="10"/>
  <c r="F638" i="10"/>
  <c r="G638" i="10"/>
  <c r="H638" i="10"/>
  <c r="B639" i="10"/>
  <c r="C639" i="10"/>
  <c r="D639" i="10"/>
  <c r="E639" i="10"/>
  <c r="F639" i="10"/>
  <c r="G639" i="10"/>
  <c r="H639" i="10"/>
  <c r="B640" i="10"/>
  <c r="C640" i="10"/>
  <c r="D640" i="10"/>
  <c r="E640" i="10"/>
  <c r="F640" i="10"/>
  <c r="G640" i="10"/>
  <c r="H640" i="10"/>
  <c r="B641" i="10"/>
  <c r="C641" i="10"/>
  <c r="D641" i="10"/>
  <c r="E641" i="10"/>
  <c r="F641" i="10"/>
  <c r="G641" i="10"/>
  <c r="H641" i="10"/>
  <c r="B642" i="10"/>
  <c r="C642" i="10"/>
  <c r="D642" i="10"/>
  <c r="E642" i="10"/>
  <c r="F642" i="10"/>
  <c r="G642" i="10"/>
  <c r="H642" i="10"/>
  <c r="B643" i="10"/>
  <c r="C643" i="10"/>
  <c r="D643" i="10"/>
  <c r="E643" i="10"/>
  <c r="F643" i="10"/>
  <c r="G643" i="10"/>
  <c r="H643" i="10"/>
  <c r="B644" i="10"/>
  <c r="C644" i="10"/>
  <c r="D644" i="10"/>
  <c r="E644" i="10"/>
  <c r="F644" i="10"/>
  <c r="G644" i="10"/>
  <c r="H644" i="10"/>
  <c r="B645" i="10"/>
  <c r="C645" i="10"/>
  <c r="D645" i="10"/>
  <c r="E645" i="10"/>
  <c r="F645" i="10"/>
  <c r="G645" i="10"/>
  <c r="H645" i="10"/>
  <c r="B646" i="10"/>
  <c r="C646" i="10"/>
  <c r="D646" i="10"/>
  <c r="E646" i="10"/>
  <c r="F646" i="10"/>
  <c r="G646" i="10"/>
  <c r="H646" i="10"/>
  <c r="B647" i="10"/>
  <c r="C647" i="10"/>
  <c r="D647" i="10"/>
  <c r="E647" i="10"/>
  <c r="F647" i="10"/>
  <c r="G647" i="10"/>
  <c r="H647" i="10"/>
  <c r="B648" i="10"/>
  <c r="C648" i="10"/>
  <c r="D648" i="10"/>
  <c r="E648" i="10"/>
  <c r="F648" i="10"/>
  <c r="G648" i="10"/>
  <c r="H648" i="10"/>
  <c r="B649" i="10"/>
  <c r="C649" i="10"/>
  <c r="D649" i="10"/>
  <c r="E649" i="10"/>
  <c r="F649" i="10"/>
  <c r="G649" i="10"/>
  <c r="H649" i="10"/>
  <c r="B650" i="10"/>
  <c r="C650" i="10"/>
  <c r="D650" i="10"/>
  <c r="E650" i="10"/>
  <c r="F650" i="10"/>
  <c r="G650" i="10"/>
  <c r="H650" i="10"/>
  <c r="B651" i="10"/>
  <c r="C651" i="10"/>
  <c r="D651" i="10"/>
  <c r="E651" i="10"/>
  <c r="F651" i="10"/>
  <c r="G651" i="10"/>
  <c r="H651" i="10"/>
  <c r="B652" i="10"/>
  <c r="C652" i="10"/>
  <c r="D652" i="10"/>
  <c r="E652" i="10"/>
  <c r="F652" i="10"/>
  <c r="G652" i="10"/>
  <c r="H652" i="10"/>
  <c r="B653" i="10"/>
  <c r="C653" i="10"/>
  <c r="D653" i="10"/>
  <c r="E653" i="10"/>
  <c r="F653" i="10"/>
  <c r="G653" i="10"/>
  <c r="H653" i="10"/>
  <c r="B654" i="10"/>
  <c r="C654" i="10"/>
  <c r="D654" i="10"/>
  <c r="E654" i="10"/>
  <c r="F654" i="10"/>
  <c r="G654" i="10"/>
  <c r="H654" i="10"/>
  <c r="B655" i="10"/>
  <c r="C655" i="10"/>
  <c r="D655" i="10"/>
  <c r="E655" i="10"/>
  <c r="F655" i="10"/>
  <c r="G655" i="10"/>
  <c r="H655" i="10"/>
  <c r="B656" i="10"/>
  <c r="C656" i="10"/>
  <c r="D656" i="10"/>
  <c r="E656" i="10"/>
  <c r="F656" i="10"/>
  <c r="G656" i="10"/>
  <c r="H656" i="10"/>
  <c r="B657" i="10"/>
  <c r="C657" i="10"/>
  <c r="D657" i="10"/>
  <c r="E657" i="10"/>
  <c r="F657" i="10"/>
  <c r="G657" i="10"/>
  <c r="H657" i="10"/>
  <c r="B658" i="10"/>
  <c r="C658" i="10"/>
  <c r="D658" i="10"/>
  <c r="E658" i="10"/>
  <c r="F658" i="10"/>
  <c r="G658" i="10"/>
  <c r="H658" i="10"/>
  <c r="B659" i="10"/>
  <c r="C659" i="10"/>
  <c r="D659" i="10"/>
  <c r="E659" i="10"/>
  <c r="F659" i="10"/>
  <c r="G659" i="10"/>
  <c r="H659" i="10"/>
  <c r="B660" i="10"/>
  <c r="C660" i="10"/>
  <c r="D660" i="10"/>
  <c r="E660" i="10"/>
  <c r="F660" i="10"/>
  <c r="G660" i="10"/>
  <c r="H660" i="10"/>
  <c r="B661" i="10"/>
  <c r="C661" i="10"/>
  <c r="D661" i="10"/>
  <c r="E661" i="10"/>
  <c r="F661" i="10"/>
  <c r="G661" i="10"/>
  <c r="H661" i="10"/>
  <c r="B662" i="10"/>
  <c r="C662" i="10"/>
  <c r="D662" i="10"/>
  <c r="E662" i="10"/>
  <c r="F662" i="10"/>
  <c r="G662" i="10"/>
  <c r="H662" i="10"/>
  <c r="B663" i="10"/>
  <c r="C663" i="10"/>
  <c r="D663" i="10"/>
  <c r="E663" i="10"/>
  <c r="F663" i="10"/>
  <c r="G663" i="10"/>
  <c r="H663" i="10"/>
  <c r="B664" i="10"/>
  <c r="C664" i="10"/>
  <c r="D664" i="10"/>
  <c r="E664" i="10"/>
  <c r="F664" i="10"/>
  <c r="G664" i="10"/>
  <c r="H664" i="10"/>
  <c r="B665" i="10"/>
  <c r="C665" i="10"/>
  <c r="D665" i="10"/>
  <c r="E665" i="10"/>
  <c r="F665" i="10"/>
  <c r="G665" i="10"/>
  <c r="H665" i="10"/>
  <c r="B666" i="10"/>
  <c r="C666" i="10"/>
  <c r="D666" i="10"/>
  <c r="E666" i="10"/>
  <c r="F666" i="10"/>
  <c r="G666" i="10"/>
  <c r="H666" i="10"/>
  <c r="B667" i="10"/>
  <c r="C667" i="10"/>
  <c r="D667" i="10"/>
  <c r="E667" i="10"/>
  <c r="F667" i="10"/>
  <c r="G667" i="10"/>
  <c r="H667" i="10"/>
  <c r="B668" i="10"/>
  <c r="C668" i="10"/>
  <c r="D668" i="10"/>
  <c r="E668" i="10"/>
  <c r="F668" i="10"/>
  <c r="G668" i="10"/>
  <c r="H668" i="10"/>
  <c r="B669" i="10"/>
  <c r="C669" i="10"/>
  <c r="D669" i="10"/>
  <c r="E669" i="10"/>
  <c r="F669" i="10"/>
  <c r="G669" i="10"/>
  <c r="H669" i="10"/>
  <c r="B670" i="10"/>
  <c r="C670" i="10"/>
  <c r="D670" i="10"/>
  <c r="E670" i="10"/>
  <c r="F670" i="10"/>
  <c r="G670" i="10"/>
  <c r="H670" i="10"/>
  <c r="B671" i="10"/>
  <c r="C671" i="10"/>
  <c r="D671" i="10"/>
  <c r="E671" i="10"/>
  <c r="F671" i="10"/>
  <c r="G671" i="10"/>
  <c r="H671" i="10"/>
  <c r="B672" i="10"/>
  <c r="C672" i="10"/>
  <c r="D672" i="10"/>
  <c r="E672" i="10"/>
  <c r="F672" i="10"/>
  <c r="G672" i="10"/>
  <c r="H672" i="10"/>
  <c r="B673" i="10"/>
  <c r="C673" i="10"/>
  <c r="D673" i="10"/>
  <c r="E673" i="10"/>
  <c r="F673" i="10"/>
  <c r="G673" i="10"/>
  <c r="H673" i="10"/>
  <c r="B674" i="10"/>
  <c r="C674" i="10"/>
  <c r="D674" i="10"/>
  <c r="E674" i="10"/>
  <c r="F674" i="10"/>
  <c r="G674" i="10"/>
  <c r="H674" i="10"/>
  <c r="B675" i="10"/>
  <c r="C675" i="10"/>
  <c r="D675" i="10"/>
  <c r="E675" i="10"/>
  <c r="F675" i="10"/>
  <c r="G675" i="10"/>
  <c r="H675" i="10"/>
  <c r="B676" i="10"/>
  <c r="C676" i="10"/>
  <c r="D676" i="10"/>
  <c r="E676" i="10"/>
  <c r="F676" i="10"/>
  <c r="G676" i="10"/>
  <c r="H676" i="10"/>
  <c r="B677" i="10"/>
  <c r="C677" i="10"/>
  <c r="D677" i="10"/>
  <c r="E677" i="10"/>
  <c r="F677" i="10"/>
  <c r="G677" i="10"/>
  <c r="H677" i="10"/>
  <c r="B678" i="10"/>
  <c r="C678" i="10"/>
  <c r="D678" i="10"/>
  <c r="E678" i="10"/>
  <c r="F678" i="10"/>
  <c r="G678" i="10"/>
  <c r="H678" i="10"/>
  <c r="B679" i="10"/>
  <c r="C679" i="10"/>
  <c r="D679" i="10"/>
  <c r="E679" i="10"/>
  <c r="F679" i="10"/>
  <c r="G679" i="10"/>
  <c r="H679" i="10"/>
  <c r="B680" i="10"/>
  <c r="C680" i="10"/>
  <c r="D680" i="10"/>
  <c r="E680" i="10"/>
  <c r="F680" i="10"/>
  <c r="G680" i="10"/>
  <c r="H680" i="10"/>
  <c r="B681" i="10"/>
  <c r="C681" i="10"/>
  <c r="D681" i="10"/>
  <c r="E681" i="10"/>
  <c r="F681" i="10"/>
  <c r="G681" i="10"/>
  <c r="H681" i="10"/>
  <c r="B682" i="10"/>
  <c r="C682" i="10"/>
  <c r="D682" i="10"/>
  <c r="E682" i="10"/>
  <c r="F682" i="10"/>
  <c r="G682" i="10"/>
  <c r="H682" i="10"/>
  <c r="B683" i="10"/>
  <c r="C683" i="10"/>
  <c r="D683" i="10"/>
  <c r="E683" i="10"/>
  <c r="F683" i="10"/>
  <c r="G683" i="10"/>
  <c r="H683" i="10"/>
  <c r="B684" i="10"/>
  <c r="C684" i="10"/>
  <c r="D684" i="10"/>
  <c r="E684" i="10"/>
  <c r="F684" i="10"/>
  <c r="G684" i="10"/>
  <c r="H684" i="10"/>
  <c r="B685" i="10"/>
  <c r="C685" i="10"/>
  <c r="D685" i="10"/>
  <c r="E685" i="10"/>
  <c r="F685" i="10"/>
  <c r="G685" i="10"/>
  <c r="H685" i="10"/>
  <c r="B686" i="10"/>
  <c r="C686" i="10"/>
  <c r="D686" i="10"/>
  <c r="E686" i="10"/>
  <c r="F686" i="10"/>
  <c r="G686" i="10"/>
  <c r="H686" i="10"/>
  <c r="B687" i="10"/>
  <c r="C687" i="10"/>
  <c r="D687" i="10"/>
  <c r="E687" i="10"/>
  <c r="F687" i="10"/>
  <c r="G687" i="10"/>
  <c r="H687" i="10"/>
  <c r="B688" i="10"/>
  <c r="C688" i="10"/>
  <c r="D688" i="10"/>
  <c r="E688" i="10"/>
  <c r="F688" i="10"/>
  <c r="G688" i="10"/>
  <c r="H688" i="10"/>
  <c r="B689" i="10"/>
  <c r="C689" i="10"/>
  <c r="D689" i="10"/>
  <c r="E689" i="10"/>
  <c r="F689" i="10"/>
  <c r="G689" i="10"/>
  <c r="H689" i="10"/>
  <c r="B690" i="10"/>
  <c r="C690" i="10"/>
  <c r="D690" i="10"/>
  <c r="E690" i="10"/>
  <c r="F690" i="10"/>
  <c r="G690" i="10"/>
  <c r="H690" i="10"/>
  <c r="B691" i="10"/>
  <c r="C691" i="10"/>
  <c r="D691" i="10"/>
  <c r="E691" i="10"/>
  <c r="F691" i="10"/>
  <c r="G691" i="10"/>
  <c r="H691" i="10"/>
  <c r="B692" i="10"/>
  <c r="C692" i="10"/>
  <c r="D692" i="10"/>
  <c r="E692" i="10"/>
  <c r="F692" i="10"/>
  <c r="G692" i="10"/>
  <c r="H692" i="10"/>
  <c r="B693" i="10"/>
  <c r="C693" i="10"/>
  <c r="D693" i="10"/>
  <c r="E693" i="10"/>
  <c r="F693" i="10"/>
  <c r="G693" i="10"/>
  <c r="H693" i="10"/>
  <c r="B694" i="10"/>
  <c r="C694" i="10"/>
  <c r="D694" i="10"/>
  <c r="E694" i="10"/>
  <c r="F694" i="10"/>
  <c r="G694" i="10"/>
  <c r="H694" i="10"/>
  <c r="B695" i="10"/>
  <c r="C695" i="10"/>
  <c r="D695" i="10"/>
  <c r="E695" i="10"/>
  <c r="F695" i="10"/>
  <c r="G695" i="10"/>
  <c r="H695" i="10"/>
  <c r="B696" i="10"/>
  <c r="C696" i="10"/>
  <c r="D696" i="10"/>
  <c r="E696" i="10"/>
  <c r="F696" i="10"/>
  <c r="G696" i="10"/>
  <c r="H696" i="10"/>
  <c r="B697" i="10"/>
  <c r="C697" i="10"/>
  <c r="D697" i="10"/>
  <c r="E697" i="10"/>
  <c r="F697" i="10"/>
  <c r="G697" i="10"/>
  <c r="H697" i="10"/>
  <c r="B698" i="10"/>
  <c r="C698" i="10"/>
  <c r="D698" i="10"/>
  <c r="E698" i="10"/>
  <c r="F698" i="10"/>
  <c r="G698" i="10"/>
  <c r="H698" i="10"/>
  <c r="B699" i="10"/>
  <c r="C699" i="10"/>
  <c r="D699" i="10"/>
  <c r="E699" i="10"/>
  <c r="F699" i="10"/>
  <c r="G699" i="10"/>
  <c r="H699" i="10"/>
  <c r="B700" i="10"/>
  <c r="C700" i="10"/>
  <c r="D700" i="10"/>
  <c r="E700" i="10"/>
  <c r="F700" i="10"/>
  <c r="G700" i="10"/>
  <c r="H700" i="10"/>
  <c r="B701" i="10"/>
  <c r="C701" i="10"/>
  <c r="D701" i="10"/>
  <c r="E701" i="10"/>
  <c r="F701" i="10"/>
  <c r="G701" i="10"/>
  <c r="H701" i="10"/>
  <c r="B702" i="10"/>
  <c r="C702" i="10"/>
  <c r="D702" i="10"/>
  <c r="E702" i="10"/>
  <c r="F702" i="10"/>
  <c r="G702" i="10"/>
  <c r="H702" i="10"/>
  <c r="B703" i="10"/>
  <c r="C703" i="10"/>
  <c r="D703" i="10"/>
  <c r="E703" i="10"/>
  <c r="F703" i="10"/>
  <c r="G703" i="10"/>
  <c r="H703" i="10"/>
  <c r="B704" i="10"/>
  <c r="C704" i="10"/>
  <c r="D704" i="10"/>
  <c r="E704" i="10"/>
  <c r="F704" i="10"/>
  <c r="G704" i="10"/>
  <c r="H704" i="10"/>
  <c r="B705" i="10"/>
  <c r="C705" i="10"/>
  <c r="D705" i="10"/>
  <c r="E705" i="10"/>
  <c r="F705" i="10"/>
  <c r="G705" i="10"/>
  <c r="H705" i="10"/>
  <c r="B706" i="10"/>
  <c r="C706" i="10"/>
  <c r="D706" i="10"/>
  <c r="E706" i="10"/>
  <c r="F706" i="10"/>
  <c r="G706" i="10"/>
  <c r="H706" i="10"/>
  <c r="B707" i="10"/>
  <c r="C707" i="10"/>
  <c r="D707" i="10"/>
  <c r="E707" i="10"/>
  <c r="F707" i="10"/>
  <c r="G707" i="10"/>
  <c r="H707" i="10"/>
  <c r="B708" i="10"/>
  <c r="C708" i="10"/>
  <c r="D708" i="10"/>
  <c r="E708" i="10"/>
  <c r="F708" i="10"/>
  <c r="G708" i="10"/>
  <c r="H708" i="10"/>
  <c r="B709" i="10"/>
  <c r="C709" i="10"/>
  <c r="D709" i="10"/>
  <c r="E709" i="10"/>
  <c r="F709" i="10"/>
  <c r="G709" i="10"/>
  <c r="H709" i="10"/>
  <c r="B710" i="10"/>
  <c r="C710" i="10"/>
  <c r="D710" i="10"/>
  <c r="E710" i="10"/>
  <c r="F710" i="10"/>
  <c r="G710" i="10"/>
  <c r="H710" i="10"/>
  <c r="B711" i="10"/>
  <c r="C711" i="10"/>
  <c r="D711" i="10"/>
  <c r="E711" i="10"/>
  <c r="F711" i="10"/>
  <c r="G711" i="10"/>
  <c r="H711" i="10"/>
  <c r="B712" i="10"/>
  <c r="C712" i="10"/>
  <c r="D712" i="10"/>
  <c r="E712" i="10"/>
  <c r="F712" i="10"/>
  <c r="G712" i="10"/>
  <c r="H712" i="10"/>
  <c r="B713" i="10"/>
  <c r="C713" i="10"/>
  <c r="D713" i="10"/>
  <c r="E713" i="10"/>
  <c r="F713" i="10"/>
  <c r="G713" i="10"/>
  <c r="H713" i="10"/>
  <c r="B714" i="10"/>
  <c r="C714" i="10"/>
  <c r="D714" i="10"/>
  <c r="E714" i="10"/>
  <c r="F714" i="10"/>
  <c r="G714" i="10"/>
  <c r="H714" i="10"/>
  <c r="B715" i="10"/>
  <c r="C715" i="10"/>
  <c r="D715" i="10"/>
  <c r="E715" i="10"/>
  <c r="F715" i="10"/>
  <c r="G715" i="10"/>
  <c r="H715" i="10"/>
  <c r="B716" i="10"/>
  <c r="C716" i="10"/>
  <c r="D716" i="10"/>
  <c r="E716" i="10"/>
  <c r="F716" i="10"/>
  <c r="G716" i="10"/>
  <c r="H716" i="10"/>
  <c r="B717" i="10"/>
  <c r="C717" i="10"/>
  <c r="D717" i="10"/>
  <c r="E717" i="10"/>
  <c r="F717" i="10"/>
  <c r="G717" i="10"/>
  <c r="H717" i="10"/>
  <c r="B718" i="10"/>
  <c r="C718" i="10"/>
  <c r="D718" i="10"/>
  <c r="E718" i="10"/>
  <c r="F718" i="10"/>
  <c r="G718" i="10"/>
  <c r="H718" i="10"/>
  <c r="B719" i="10"/>
  <c r="C719" i="10"/>
  <c r="D719" i="10"/>
  <c r="E719" i="10"/>
  <c r="F719" i="10"/>
  <c r="G719" i="10"/>
  <c r="H719" i="10"/>
  <c r="B720" i="10"/>
  <c r="C720" i="10"/>
  <c r="D720" i="10"/>
  <c r="E720" i="10"/>
  <c r="F720" i="10"/>
  <c r="G720" i="10"/>
  <c r="H720" i="10"/>
  <c r="B721" i="10"/>
  <c r="C721" i="10"/>
  <c r="D721" i="10"/>
  <c r="E721" i="10"/>
  <c r="F721" i="10"/>
  <c r="G721" i="10"/>
  <c r="H721" i="10"/>
  <c r="B722" i="10"/>
  <c r="C722" i="10"/>
  <c r="D722" i="10"/>
  <c r="E722" i="10"/>
  <c r="F722" i="10"/>
  <c r="G722" i="10"/>
  <c r="H722" i="10"/>
  <c r="B723" i="10"/>
  <c r="C723" i="10"/>
  <c r="D723" i="10"/>
  <c r="E723" i="10"/>
  <c r="F723" i="10"/>
  <c r="G723" i="10"/>
  <c r="H723" i="10"/>
  <c r="B724" i="10"/>
  <c r="C724" i="10"/>
  <c r="D724" i="10"/>
  <c r="E724" i="10"/>
  <c r="F724" i="10"/>
  <c r="G724" i="10"/>
  <c r="H724" i="10"/>
  <c r="B725" i="10"/>
  <c r="C725" i="10"/>
  <c r="D725" i="10"/>
  <c r="E725" i="10"/>
  <c r="F725" i="10"/>
  <c r="G725" i="10"/>
  <c r="H725" i="10"/>
  <c r="B726" i="10"/>
  <c r="C726" i="10"/>
  <c r="D726" i="10"/>
  <c r="E726" i="10"/>
  <c r="F726" i="10"/>
  <c r="G726" i="10"/>
  <c r="H726" i="10"/>
  <c r="B727" i="10"/>
  <c r="C727" i="10"/>
  <c r="D727" i="10"/>
  <c r="E727" i="10"/>
  <c r="F727" i="10"/>
  <c r="G727" i="10"/>
  <c r="H727" i="10"/>
  <c r="B728" i="10"/>
  <c r="C728" i="10"/>
  <c r="D728" i="10"/>
  <c r="E728" i="10"/>
  <c r="F728" i="10"/>
  <c r="G728" i="10"/>
  <c r="H728" i="10"/>
  <c r="B729" i="10"/>
  <c r="C729" i="10"/>
  <c r="D729" i="10"/>
  <c r="E729" i="10"/>
  <c r="F729" i="10"/>
  <c r="G729" i="10"/>
  <c r="H729" i="10"/>
  <c r="B730" i="10"/>
  <c r="C730" i="10"/>
  <c r="D730" i="10"/>
  <c r="E730" i="10"/>
  <c r="F730" i="10"/>
  <c r="G730" i="10"/>
  <c r="H730" i="10"/>
  <c r="B731" i="10"/>
  <c r="C731" i="10"/>
  <c r="D731" i="10"/>
  <c r="E731" i="10"/>
  <c r="F731" i="10"/>
  <c r="G731" i="10"/>
  <c r="H731" i="10"/>
  <c r="B732" i="10"/>
  <c r="C732" i="10"/>
  <c r="D732" i="10"/>
  <c r="E732" i="10"/>
  <c r="F732" i="10"/>
  <c r="G732" i="10"/>
  <c r="H732" i="10"/>
  <c r="B733" i="10"/>
  <c r="C733" i="10"/>
  <c r="D733" i="10"/>
  <c r="E733" i="10"/>
  <c r="F733" i="10"/>
  <c r="G733" i="10"/>
  <c r="H733" i="10"/>
  <c r="B734" i="10"/>
  <c r="C734" i="10"/>
  <c r="D734" i="10"/>
  <c r="E734" i="10"/>
  <c r="F734" i="10"/>
  <c r="G734" i="10"/>
  <c r="H734" i="10"/>
  <c r="B735" i="10"/>
  <c r="C735" i="10"/>
  <c r="D735" i="10"/>
  <c r="E735" i="10"/>
  <c r="F735" i="10"/>
  <c r="G735" i="10"/>
  <c r="H735" i="10"/>
  <c r="B736" i="10"/>
  <c r="C736" i="10"/>
  <c r="D736" i="10"/>
  <c r="E736" i="10"/>
  <c r="F736" i="10"/>
  <c r="G736" i="10"/>
  <c r="H736" i="10"/>
  <c r="B737" i="10"/>
  <c r="C737" i="10"/>
  <c r="D737" i="10"/>
  <c r="E737" i="10"/>
  <c r="F737" i="10"/>
  <c r="G737" i="10"/>
  <c r="H737" i="10"/>
  <c r="B738" i="10"/>
  <c r="C738" i="10"/>
  <c r="D738" i="10"/>
  <c r="E738" i="10"/>
  <c r="F738" i="10"/>
  <c r="G738" i="10"/>
  <c r="H738" i="10"/>
  <c r="B739" i="10"/>
  <c r="C739" i="10"/>
  <c r="D739" i="10"/>
  <c r="E739" i="10"/>
  <c r="F739" i="10"/>
  <c r="G739" i="10"/>
  <c r="H739" i="10"/>
  <c r="B740" i="10"/>
  <c r="C740" i="10"/>
  <c r="D740" i="10"/>
  <c r="E740" i="10"/>
  <c r="F740" i="10"/>
  <c r="G740" i="10"/>
  <c r="H740" i="10"/>
  <c r="B741" i="10"/>
  <c r="C741" i="10"/>
  <c r="D741" i="10"/>
  <c r="E741" i="10"/>
  <c r="F741" i="10"/>
  <c r="G741" i="10"/>
  <c r="H741" i="10"/>
  <c r="B742" i="10"/>
  <c r="C742" i="10"/>
  <c r="D742" i="10"/>
  <c r="E742" i="10"/>
  <c r="F742" i="10"/>
  <c r="G742" i="10"/>
  <c r="H742" i="10"/>
  <c r="B743" i="10"/>
  <c r="C743" i="10"/>
  <c r="D743" i="10"/>
  <c r="E743" i="10"/>
  <c r="F743" i="10"/>
  <c r="G743" i="10"/>
  <c r="H743" i="10"/>
  <c r="B744" i="10"/>
  <c r="C744" i="10"/>
  <c r="D744" i="10"/>
  <c r="E744" i="10"/>
  <c r="F744" i="10"/>
  <c r="G744" i="10"/>
  <c r="H744" i="10"/>
  <c r="B745" i="10"/>
  <c r="C745" i="10"/>
  <c r="D745" i="10"/>
  <c r="E745" i="10"/>
  <c r="F745" i="10"/>
  <c r="G745" i="10"/>
  <c r="H745" i="10"/>
  <c r="B746" i="10"/>
  <c r="C746" i="10"/>
  <c r="D746" i="10"/>
  <c r="E746" i="10"/>
  <c r="F746" i="10"/>
  <c r="G746" i="10"/>
  <c r="H746" i="10"/>
  <c r="B747" i="10"/>
  <c r="C747" i="10"/>
  <c r="D747" i="10"/>
  <c r="E747" i="10"/>
  <c r="F747" i="10"/>
  <c r="G747" i="10"/>
  <c r="H747" i="10"/>
  <c r="B748" i="10"/>
  <c r="C748" i="10"/>
  <c r="D748" i="10"/>
  <c r="E748" i="10"/>
  <c r="F748" i="10"/>
  <c r="G748" i="10"/>
  <c r="H748" i="10"/>
  <c r="B749" i="10"/>
  <c r="C749" i="10"/>
  <c r="D749" i="10"/>
  <c r="E749" i="10"/>
  <c r="F749" i="10"/>
  <c r="G749" i="10"/>
  <c r="H749" i="10"/>
  <c r="B750" i="10"/>
  <c r="C750" i="10"/>
  <c r="D750" i="10"/>
  <c r="E750" i="10"/>
  <c r="F750" i="10"/>
  <c r="G750" i="10"/>
  <c r="H750" i="10"/>
  <c r="B751" i="10"/>
  <c r="C751" i="10"/>
  <c r="D751" i="10"/>
  <c r="E751" i="10"/>
  <c r="F751" i="10"/>
  <c r="G751" i="10"/>
  <c r="H751" i="10"/>
  <c r="B752" i="10"/>
  <c r="C752" i="10"/>
  <c r="D752" i="10"/>
  <c r="E752" i="10"/>
  <c r="F752" i="10"/>
  <c r="G752" i="10"/>
  <c r="H752" i="10"/>
  <c r="B753" i="10"/>
  <c r="C753" i="10"/>
  <c r="D753" i="10"/>
  <c r="E753" i="10"/>
  <c r="F753" i="10"/>
  <c r="G753" i="10"/>
  <c r="H753" i="10"/>
  <c r="B754" i="10"/>
  <c r="C754" i="10"/>
  <c r="D754" i="10"/>
  <c r="E754" i="10"/>
  <c r="F754" i="10"/>
  <c r="G754" i="10"/>
  <c r="H754" i="10"/>
  <c r="B755" i="10"/>
  <c r="C755" i="10"/>
  <c r="D755" i="10"/>
  <c r="E755" i="10"/>
  <c r="F755" i="10"/>
  <c r="G755" i="10"/>
  <c r="H755" i="10"/>
  <c r="B756" i="10"/>
  <c r="C756" i="10"/>
  <c r="D756" i="10"/>
  <c r="E756" i="10"/>
  <c r="F756" i="10"/>
  <c r="G756" i="10"/>
  <c r="H756" i="10"/>
  <c r="B757" i="10"/>
  <c r="C757" i="10"/>
  <c r="D757" i="10"/>
  <c r="E757" i="10"/>
  <c r="F757" i="10"/>
  <c r="G757" i="10"/>
  <c r="H757" i="10"/>
  <c r="B758" i="10"/>
  <c r="C758" i="10"/>
  <c r="D758" i="10"/>
  <c r="E758" i="10"/>
  <c r="F758" i="10"/>
  <c r="G758" i="10"/>
  <c r="H758" i="10"/>
  <c r="B759" i="10"/>
  <c r="C759" i="10"/>
  <c r="D759" i="10"/>
  <c r="E759" i="10"/>
  <c r="F759" i="10"/>
  <c r="G759" i="10"/>
  <c r="H759" i="10"/>
  <c r="B760" i="10"/>
  <c r="C760" i="10"/>
  <c r="D760" i="10"/>
  <c r="E760" i="10"/>
  <c r="F760" i="10"/>
  <c r="G760" i="10"/>
  <c r="H760" i="10"/>
  <c r="B761" i="10"/>
  <c r="C761" i="10"/>
  <c r="D761" i="10"/>
  <c r="E761" i="10"/>
  <c r="F761" i="10"/>
  <c r="G761" i="10"/>
  <c r="H761" i="10"/>
  <c r="B762" i="10"/>
  <c r="C762" i="10"/>
  <c r="D762" i="10"/>
  <c r="E762" i="10"/>
  <c r="F762" i="10"/>
  <c r="G762" i="10"/>
  <c r="H762" i="10"/>
  <c r="B763" i="10"/>
  <c r="C763" i="10"/>
  <c r="D763" i="10"/>
  <c r="E763" i="10"/>
  <c r="F763" i="10"/>
  <c r="G763" i="10"/>
  <c r="H763" i="10"/>
  <c r="B764" i="10"/>
  <c r="C764" i="10"/>
  <c r="D764" i="10"/>
  <c r="E764" i="10"/>
  <c r="F764" i="10"/>
  <c r="G764" i="10"/>
  <c r="H764" i="10"/>
  <c r="B765" i="10"/>
  <c r="C765" i="10"/>
  <c r="D765" i="10"/>
  <c r="E765" i="10"/>
  <c r="F765" i="10"/>
  <c r="G765" i="10"/>
  <c r="H765" i="10"/>
  <c r="B766" i="10"/>
  <c r="C766" i="10"/>
  <c r="D766" i="10"/>
  <c r="E766" i="10"/>
  <c r="F766" i="10"/>
  <c r="G766" i="10"/>
  <c r="H766" i="10"/>
  <c r="B767" i="10"/>
  <c r="C767" i="10"/>
  <c r="D767" i="10"/>
  <c r="E767" i="10"/>
  <c r="F767" i="10"/>
  <c r="G767" i="10"/>
  <c r="H767" i="10"/>
  <c r="B768" i="10"/>
  <c r="C768" i="10"/>
  <c r="D768" i="10"/>
  <c r="E768" i="10"/>
  <c r="F768" i="10"/>
  <c r="G768" i="10"/>
  <c r="H768" i="10"/>
  <c r="B769" i="10"/>
  <c r="C769" i="10"/>
  <c r="D769" i="10"/>
  <c r="E769" i="10"/>
  <c r="F769" i="10"/>
  <c r="G769" i="10"/>
  <c r="H769" i="10"/>
  <c r="B770" i="10"/>
  <c r="C770" i="10"/>
  <c r="D770" i="10"/>
  <c r="E770" i="10"/>
  <c r="F770" i="10"/>
  <c r="G770" i="10"/>
  <c r="H770" i="10"/>
  <c r="B771" i="10"/>
  <c r="C771" i="10"/>
  <c r="D771" i="10"/>
  <c r="E771" i="10"/>
  <c r="F771" i="10"/>
  <c r="G771" i="10"/>
  <c r="H771" i="10"/>
  <c r="B772" i="10"/>
  <c r="C772" i="10"/>
  <c r="D772" i="10"/>
  <c r="E772" i="10"/>
  <c r="F772" i="10"/>
  <c r="G772" i="10"/>
  <c r="H772" i="10"/>
  <c r="B773" i="10"/>
  <c r="C773" i="10"/>
  <c r="D773" i="10"/>
  <c r="E773" i="10"/>
  <c r="F773" i="10"/>
  <c r="G773" i="10"/>
  <c r="H773" i="10"/>
  <c r="B774" i="10"/>
  <c r="C774" i="10"/>
  <c r="D774" i="10"/>
  <c r="E774" i="10"/>
  <c r="F774" i="10"/>
  <c r="G774" i="10"/>
  <c r="H774" i="10"/>
  <c r="B775" i="10"/>
  <c r="C775" i="10"/>
  <c r="D775" i="10"/>
  <c r="E775" i="10"/>
  <c r="F775" i="10"/>
  <c r="G775" i="10"/>
  <c r="H775" i="10"/>
  <c r="B776" i="10"/>
  <c r="C776" i="10"/>
  <c r="D776" i="10"/>
  <c r="E776" i="10"/>
  <c r="F776" i="10"/>
  <c r="G776" i="10"/>
  <c r="H776" i="10"/>
  <c r="B777" i="10"/>
  <c r="C777" i="10"/>
  <c r="D777" i="10"/>
  <c r="E777" i="10"/>
  <c r="F777" i="10"/>
  <c r="G777" i="10"/>
  <c r="H777" i="10"/>
  <c r="B778" i="10"/>
  <c r="C778" i="10"/>
  <c r="D778" i="10"/>
  <c r="E778" i="10"/>
  <c r="F778" i="10"/>
  <c r="G778" i="10"/>
  <c r="H778" i="10"/>
  <c r="B779" i="10"/>
  <c r="C779" i="10"/>
  <c r="D779" i="10"/>
  <c r="E779" i="10"/>
  <c r="F779" i="10"/>
  <c r="G779" i="10"/>
  <c r="H779" i="10"/>
  <c r="B780" i="10"/>
  <c r="C780" i="10"/>
  <c r="D780" i="10"/>
  <c r="E780" i="10"/>
  <c r="F780" i="10"/>
  <c r="G780" i="10"/>
  <c r="H780" i="10"/>
  <c r="B781" i="10"/>
  <c r="C781" i="10"/>
  <c r="D781" i="10"/>
  <c r="E781" i="10"/>
  <c r="F781" i="10"/>
  <c r="G781" i="10"/>
  <c r="H781" i="10"/>
  <c r="B782" i="10"/>
  <c r="C782" i="10"/>
  <c r="D782" i="10"/>
  <c r="E782" i="10"/>
  <c r="F782" i="10"/>
  <c r="G782" i="10"/>
  <c r="H782" i="10"/>
  <c r="B783" i="10"/>
  <c r="C783" i="10"/>
  <c r="D783" i="10"/>
  <c r="E783" i="10"/>
  <c r="F783" i="10"/>
  <c r="G783" i="10"/>
  <c r="H783" i="10"/>
  <c r="B784" i="10"/>
  <c r="C784" i="10"/>
  <c r="D784" i="10"/>
  <c r="E784" i="10"/>
  <c r="F784" i="10"/>
  <c r="G784" i="10"/>
  <c r="H784" i="10"/>
  <c r="B785" i="10"/>
  <c r="C785" i="10"/>
  <c r="D785" i="10"/>
  <c r="E785" i="10"/>
  <c r="F785" i="10"/>
  <c r="G785" i="10"/>
  <c r="H785" i="10"/>
  <c r="B786" i="10"/>
  <c r="C786" i="10"/>
  <c r="D786" i="10"/>
  <c r="E786" i="10"/>
  <c r="F786" i="10"/>
  <c r="G786" i="10"/>
  <c r="H786" i="10"/>
  <c r="B787" i="10"/>
  <c r="C787" i="10"/>
  <c r="D787" i="10"/>
  <c r="E787" i="10"/>
  <c r="F787" i="10"/>
  <c r="G787" i="10"/>
  <c r="H787" i="10"/>
  <c r="B788" i="10"/>
  <c r="C788" i="10"/>
  <c r="D788" i="10"/>
  <c r="E788" i="10"/>
  <c r="F788" i="10"/>
  <c r="G788" i="10"/>
  <c r="H788" i="10"/>
  <c r="B789" i="10"/>
  <c r="C789" i="10"/>
  <c r="D789" i="10"/>
  <c r="E789" i="10"/>
  <c r="F789" i="10"/>
  <c r="G789" i="10"/>
  <c r="H789" i="10"/>
  <c r="B790" i="10"/>
  <c r="C790" i="10"/>
  <c r="D790" i="10"/>
  <c r="E790" i="10"/>
  <c r="F790" i="10"/>
  <c r="G790" i="10"/>
  <c r="H790" i="10"/>
  <c r="B791" i="10"/>
  <c r="C791" i="10"/>
  <c r="D791" i="10"/>
  <c r="E791" i="10"/>
  <c r="F791" i="10"/>
  <c r="G791" i="10"/>
  <c r="H791" i="10"/>
  <c r="B792" i="10"/>
  <c r="C792" i="10"/>
  <c r="D792" i="10"/>
  <c r="E792" i="10"/>
  <c r="F792" i="10"/>
  <c r="G792" i="10"/>
  <c r="H792" i="10"/>
  <c r="B793" i="10"/>
  <c r="C793" i="10"/>
  <c r="D793" i="10"/>
  <c r="E793" i="10"/>
  <c r="F793" i="10"/>
  <c r="G793" i="10"/>
  <c r="H793" i="10"/>
  <c r="B794" i="10"/>
  <c r="C794" i="10"/>
  <c r="D794" i="10"/>
  <c r="E794" i="10"/>
  <c r="F794" i="10"/>
  <c r="G794" i="10"/>
  <c r="H794" i="10"/>
  <c r="B795" i="10"/>
  <c r="C795" i="10"/>
  <c r="D795" i="10"/>
  <c r="E795" i="10"/>
  <c r="F795" i="10"/>
  <c r="G795" i="10"/>
  <c r="H795" i="10"/>
  <c r="B796" i="10"/>
  <c r="C796" i="10"/>
  <c r="D796" i="10"/>
  <c r="E796" i="10"/>
  <c r="F796" i="10"/>
  <c r="G796" i="10"/>
  <c r="H796" i="10"/>
  <c r="B797" i="10"/>
  <c r="C797" i="10"/>
  <c r="D797" i="10"/>
  <c r="E797" i="10"/>
  <c r="F797" i="10"/>
  <c r="G797" i="10"/>
  <c r="H797" i="10"/>
  <c r="B798" i="10"/>
  <c r="C798" i="10"/>
  <c r="D798" i="10"/>
  <c r="E798" i="10"/>
  <c r="F798" i="10"/>
  <c r="G798" i="10"/>
  <c r="H798" i="10"/>
  <c r="B799" i="10"/>
  <c r="C799" i="10"/>
  <c r="D799" i="10"/>
  <c r="E799" i="10"/>
  <c r="F799" i="10"/>
  <c r="G799" i="10"/>
  <c r="H799" i="10"/>
  <c r="B800" i="10"/>
  <c r="C800" i="10"/>
  <c r="D800" i="10"/>
  <c r="E800" i="10"/>
  <c r="F800" i="10"/>
  <c r="G800" i="10"/>
  <c r="H800" i="10"/>
  <c r="B801" i="10"/>
  <c r="C801" i="10"/>
  <c r="D801" i="10"/>
  <c r="E801" i="10"/>
  <c r="F801" i="10"/>
  <c r="G801" i="10"/>
  <c r="H801" i="10"/>
  <c r="B802" i="10"/>
  <c r="C802" i="10"/>
  <c r="D802" i="10"/>
  <c r="E802" i="10"/>
  <c r="F802" i="10"/>
  <c r="G802" i="10"/>
  <c r="H802" i="10"/>
  <c r="B803" i="10"/>
  <c r="C803" i="10"/>
  <c r="D803" i="10"/>
  <c r="E803" i="10"/>
  <c r="F803" i="10"/>
  <c r="G803" i="10"/>
  <c r="H803" i="10"/>
  <c r="B804" i="10"/>
  <c r="C804" i="10"/>
  <c r="D804" i="10"/>
  <c r="E804" i="10"/>
  <c r="F804" i="10"/>
  <c r="G804" i="10"/>
  <c r="H804" i="10"/>
  <c r="B805" i="10"/>
  <c r="C805" i="10"/>
  <c r="D805" i="10"/>
  <c r="E805" i="10"/>
  <c r="F805" i="10"/>
  <c r="G805" i="10"/>
  <c r="H805" i="10"/>
  <c r="B806" i="10"/>
  <c r="C806" i="10"/>
  <c r="D806" i="10"/>
  <c r="E806" i="10"/>
  <c r="F806" i="10"/>
  <c r="G806" i="10"/>
  <c r="H806" i="10"/>
  <c r="B807" i="10"/>
  <c r="C807" i="10"/>
  <c r="D807" i="10"/>
  <c r="E807" i="10"/>
  <c r="F807" i="10"/>
  <c r="G807" i="10"/>
  <c r="H807" i="10"/>
  <c r="B808" i="10"/>
  <c r="C808" i="10"/>
  <c r="D808" i="10"/>
  <c r="E808" i="10"/>
  <c r="F808" i="10"/>
  <c r="G808" i="10"/>
  <c r="H808" i="10"/>
  <c r="B809" i="10"/>
  <c r="C809" i="10"/>
  <c r="D809" i="10"/>
  <c r="E809" i="10"/>
  <c r="F809" i="10"/>
  <c r="G809" i="10"/>
  <c r="H809" i="10"/>
  <c r="B810" i="10"/>
  <c r="C810" i="10"/>
  <c r="D810" i="10"/>
  <c r="E810" i="10"/>
  <c r="F810" i="10"/>
  <c r="G810" i="10"/>
  <c r="H810" i="10"/>
  <c r="B811" i="10"/>
  <c r="C811" i="10"/>
  <c r="D811" i="10"/>
  <c r="E811" i="10"/>
  <c r="F811" i="10"/>
  <c r="G811" i="10"/>
  <c r="H811" i="10"/>
  <c r="B812" i="10"/>
  <c r="C812" i="10"/>
  <c r="D812" i="10"/>
  <c r="E812" i="10"/>
  <c r="F812" i="10"/>
  <c r="G812" i="10"/>
  <c r="H812" i="10"/>
  <c r="B813" i="10"/>
  <c r="C813" i="10"/>
  <c r="D813" i="10"/>
  <c r="E813" i="10"/>
  <c r="F813" i="10"/>
  <c r="G813" i="10"/>
  <c r="H813" i="10"/>
  <c r="B814" i="10"/>
  <c r="C814" i="10"/>
  <c r="D814" i="10"/>
  <c r="E814" i="10"/>
  <c r="F814" i="10"/>
  <c r="G814" i="10"/>
  <c r="H814" i="10"/>
  <c r="B815" i="10"/>
  <c r="C815" i="10"/>
  <c r="D815" i="10"/>
  <c r="E815" i="10"/>
  <c r="F815" i="10"/>
  <c r="G815" i="10"/>
  <c r="H815" i="10"/>
  <c r="B816" i="10"/>
  <c r="C816" i="10"/>
  <c r="D816" i="10"/>
  <c r="E816" i="10"/>
  <c r="F816" i="10"/>
  <c r="G816" i="10"/>
  <c r="H816" i="10"/>
  <c r="B817" i="10"/>
  <c r="C817" i="10"/>
  <c r="D817" i="10"/>
  <c r="E817" i="10"/>
  <c r="F817" i="10"/>
  <c r="G817" i="10"/>
  <c r="H817" i="10"/>
  <c r="B818" i="10"/>
  <c r="C818" i="10"/>
  <c r="D818" i="10"/>
  <c r="E818" i="10"/>
  <c r="F818" i="10"/>
  <c r="G818" i="10"/>
  <c r="H818" i="10"/>
  <c r="B819" i="10"/>
  <c r="C819" i="10"/>
  <c r="D819" i="10"/>
  <c r="E819" i="10"/>
  <c r="F819" i="10"/>
  <c r="G819" i="10"/>
  <c r="H819" i="10"/>
  <c r="B820" i="10"/>
  <c r="C820" i="10"/>
  <c r="D820" i="10"/>
  <c r="E820" i="10"/>
  <c r="F820" i="10"/>
  <c r="G820" i="10"/>
  <c r="H820" i="10"/>
  <c r="B821" i="10"/>
  <c r="C821" i="10"/>
  <c r="D821" i="10"/>
  <c r="E821" i="10"/>
  <c r="F821" i="10"/>
  <c r="G821" i="10"/>
  <c r="H821" i="10"/>
  <c r="B822" i="10"/>
  <c r="C822" i="10"/>
  <c r="D822" i="10"/>
  <c r="E822" i="10"/>
  <c r="F822" i="10"/>
  <c r="G822" i="10"/>
  <c r="H822" i="10"/>
  <c r="B823" i="10"/>
  <c r="C823" i="10"/>
  <c r="D823" i="10"/>
  <c r="E823" i="10"/>
  <c r="F823" i="10"/>
  <c r="G823" i="10"/>
  <c r="H823" i="10"/>
  <c r="B824" i="10"/>
  <c r="C824" i="10"/>
  <c r="D824" i="10"/>
  <c r="E824" i="10"/>
  <c r="F824" i="10"/>
  <c r="G824" i="10"/>
  <c r="H824" i="10"/>
  <c r="B825" i="10"/>
  <c r="C825" i="10"/>
  <c r="D825" i="10"/>
  <c r="E825" i="10"/>
  <c r="F825" i="10"/>
  <c r="G825" i="10"/>
  <c r="H825" i="10"/>
  <c r="B826" i="10"/>
  <c r="C826" i="10"/>
  <c r="D826" i="10"/>
  <c r="E826" i="10"/>
  <c r="F826" i="10"/>
  <c r="G826" i="10"/>
  <c r="H826" i="10"/>
  <c r="B827" i="10"/>
  <c r="C827" i="10"/>
  <c r="D827" i="10"/>
  <c r="E827" i="10"/>
  <c r="F827" i="10"/>
  <c r="G827" i="10"/>
  <c r="H827" i="10"/>
  <c r="B828" i="10"/>
  <c r="C828" i="10"/>
  <c r="D828" i="10"/>
  <c r="E828" i="10"/>
  <c r="F828" i="10"/>
  <c r="G828" i="10"/>
  <c r="H828" i="10"/>
  <c r="B829" i="10"/>
  <c r="C829" i="10"/>
  <c r="D829" i="10"/>
  <c r="E829" i="10"/>
  <c r="F829" i="10"/>
  <c r="G829" i="10"/>
  <c r="H829" i="10"/>
  <c r="B830" i="10"/>
  <c r="C830" i="10"/>
  <c r="D830" i="10"/>
  <c r="E830" i="10"/>
  <c r="F830" i="10"/>
  <c r="G830" i="10"/>
  <c r="H830" i="10"/>
  <c r="B831" i="10"/>
  <c r="C831" i="10"/>
  <c r="D831" i="10"/>
  <c r="E831" i="10"/>
  <c r="F831" i="10"/>
  <c r="G831" i="10"/>
  <c r="H831" i="10"/>
  <c r="B832" i="10"/>
  <c r="C832" i="10"/>
  <c r="D832" i="10"/>
  <c r="E832" i="10"/>
  <c r="F832" i="10"/>
  <c r="G832" i="10"/>
  <c r="H832" i="10"/>
  <c r="B833" i="10"/>
  <c r="C833" i="10"/>
  <c r="D833" i="10"/>
  <c r="E833" i="10"/>
  <c r="F833" i="10"/>
  <c r="G833" i="10"/>
  <c r="H833" i="10"/>
  <c r="B834" i="10"/>
  <c r="C834" i="10"/>
  <c r="D834" i="10"/>
  <c r="E834" i="10"/>
  <c r="F834" i="10"/>
  <c r="G834" i="10"/>
  <c r="H834" i="10"/>
  <c r="B835" i="10"/>
  <c r="C835" i="10"/>
  <c r="D835" i="10"/>
  <c r="E835" i="10"/>
  <c r="F835" i="10"/>
  <c r="G835" i="10"/>
  <c r="H835" i="10"/>
  <c r="B836" i="10"/>
  <c r="C836" i="10"/>
  <c r="D836" i="10"/>
  <c r="E836" i="10"/>
  <c r="F836" i="10"/>
  <c r="G836" i="10"/>
  <c r="H836" i="10"/>
  <c r="B837" i="10"/>
  <c r="C837" i="10"/>
  <c r="D837" i="10"/>
  <c r="E837" i="10"/>
  <c r="F837" i="10"/>
  <c r="G837" i="10"/>
  <c r="H837" i="10"/>
  <c r="B838" i="10"/>
  <c r="C838" i="10"/>
  <c r="D838" i="10"/>
  <c r="E838" i="10"/>
  <c r="F838" i="10"/>
  <c r="G838" i="10"/>
  <c r="H838" i="10"/>
  <c r="B839" i="10"/>
  <c r="C839" i="10"/>
  <c r="D839" i="10"/>
  <c r="E839" i="10"/>
  <c r="F839" i="10"/>
  <c r="G839" i="10"/>
  <c r="H839" i="10"/>
  <c r="B840" i="10"/>
  <c r="C840" i="10"/>
  <c r="D840" i="10"/>
  <c r="E840" i="10"/>
  <c r="F840" i="10"/>
  <c r="G840" i="10"/>
  <c r="H840" i="10"/>
  <c r="B841" i="10"/>
  <c r="C841" i="10"/>
  <c r="D841" i="10"/>
  <c r="E841" i="10"/>
  <c r="F841" i="10"/>
  <c r="G841" i="10"/>
  <c r="H841" i="10"/>
  <c r="B842" i="10"/>
  <c r="C842" i="10"/>
  <c r="D842" i="10"/>
  <c r="E842" i="10"/>
  <c r="F842" i="10"/>
  <c r="G842" i="10"/>
  <c r="H842" i="10"/>
  <c r="B843" i="10"/>
  <c r="C843" i="10"/>
  <c r="D843" i="10"/>
  <c r="E843" i="10"/>
  <c r="F843" i="10"/>
  <c r="G843" i="10"/>
  <c r="H843" i="10"/>
  <c r="B844" i="10"/>
  <c r="C844" i="10"/>
  <c r="D844" i="10"/>
  <c r="E844" i="10"/>
  <c r="F844" i="10"/>
  <c r="G844" i="10"/>
  <c r="H844" i="10"/>
  <c r="B845" i="10"/>
  <c r="C845" i="10"/>
  <c r="D845" i="10"/>
  <c r="E845" i="10"/>
  <c r="F845" i="10"/>
  <c r="G845" i="10"/>
  <c r="H845" i="10"/>
  <c r="B846" i="10"/>
  <c r="C846" i="10"/>
  <c r="D846" i="10"/>
  <c r="E846" i="10"/>
  <c r="F846" i="10"/>
  <c r="G846" i="10"/>
  <c r="H846" i="10"/>
  <c r="B847" i="10"/>
  <c r="C847" i="10"/>
  <c r="D847" i="10"/>
  <c r="E847" i="10"/>
  <c r="F847" i="10"/>
  <c r="G847" i="10"/>
  <c r="H847" i="10"/>
  <c r="B848" i="10"/>
  <c r="C848" i="10"/>
  <c r="D848" i="10"/>
  <c r="E848" i="10"/>
  <c r="F848" i="10"/>
  <c r="G848" i="10"/>
  <c r="H848" i="10"/>
  <c r="B849" i="10"/>
  <c r="C849" i="10"/>
  <c r="D849" i="10"/>
  <c r="E849" i="10"/>
  <c r="F849" i="10"/>
  <c r="G849" i="10"/>
  <c r="H849" i="10"/>
  <c r="B850" i="10"/>
  <c r="C850" i="10"/>
  <c r="D850" i="10"/>
  <c r="E850" i="10"/>
  <c r="F850" i="10"/>
  <c r="G850" i="10"/>
  <c r="H850" i="10"/>
  <c r="B851" i="10"/>
  <c r="C851" i="10"/>
  <c r="D851" i="10"/>
  <c r="E851" i="10"/>
  <c r="F851" i="10"/>
  <c r="G851" i="10"/>
  <c r="H851" i="10"/>
  <c r="B852" i="10"/>
  <c r="C852" i="10"/>
  <c r="D852" i="10"/>
  <c r="E852" i="10"/>
  <c r="F852" i="10"/>
  <c r="G852" i="10"/>
  <c r="H852" i="10"/>
  <c r="B853" i="10"/>
  <c r="C853" i="10"/>
  <c r="D853" i="10"/>
  <c r="E853" i="10"/>
  <c r="F853" i="10"/>
  <c r="G853" i="10"/>
  <c r="H853" i="10"/>
  <c r="B854" i="10"/>
  <c r="C854" i="10"/>
  <c r="D854" i="10"/>
  <c r="E854" i="10"/>
  <c r="F854" i="10"/>
  <c r="G854" i="10"/>
  <c r="H854" i="10"/>
  <c r="B855" i="10"/>
  <c r="C855" i="10"/>
  <c r="D855" i="10"/>
  <c r="E855" i="10"/>
  <c r="F855" i="10"/>
  <c r="G855" i="10"/>
  <c r="H855" i="10"/>
  <c r="B856" i="10"/>
  <c r="C856" i="10"/>
  <c r="D856" i="10"/>
  <c r="E856" i="10"/>
  <c r="F856" i="10"/>
  <c r="G856" i="10"/>
  <c r="H856" i="10"/>
  <c r="B857" i="10"/>
  <c r="C857" i="10"/>
  <c r="D857" i="10"/>
  <c r="E857" i="10"/>
  <c r="F857" i="10"/>
  <c r="G857" i="10"/>
  <c r="H857" i="10"/>
  <c r="B858" i="10"/>
  <c r="C858" i="10"/>
  <c r="D858" i="10"/>
  <c r="E858" i="10"/>
  <c r="F858" i="10"/>
  <c r="G858" i="10"/>
  <c r="H858" i="10"/>
  <c r="B859" i="10"/>
  <c r="C859" i="10"/>
  <c r="D859" i="10"/>
  <c r="E859" i="10"/>
  <c r="F859" i="10"/>
  <c r="G859" i="10"/>
  <c r="H859" i="10"/>
  <c r="B860" i="10"/>
  <c r="C860" i="10"/>
  <c r="D860" i="10"/>
  <c r="E860" i="10"/>
  <c r="F860" i="10"/>
  <c r="G860" i="10"/>
  <c r="H860" i="10"/>
  <c r="B861" i="10"/>
  <c r="C861" i="10"/>
  <c r="D861" i="10"/>
  <c r="E861" i="10"/>
  <c r="F861" i="10"/>
  <c r="G861" i="10"/>
  <c r="H861" i="10"/>
  <c r="B862" i="10"/>
  <c r="C862" i="10"/>
  <c r="D862" i="10"/>
  <c r="E862" i="10"/>
  <c r="F862" i="10"/>
  <c r="G862" i="10"/>
  <c r="H862" i="10"/>
  <c r="B863" i="10"/>
  <c r="C863" i="10"/>
  <c r="D863" i="10"/>
  <c r="E863" i="10"/>
  <c r="F863" i="10"/>
  <c r="G863" i="10"/>
  <c r="H863" i="10"/>
  <c r="B864" i="10"/>
  <c r="C864" i="10"/>
  <c r="D864" i="10"/>
  <c r="E864" i="10"/>
  <c r="F864" i="10"/>
  <c r="G864" i="10"/>
  <c r="H864" i="10"/>
  <c r="B865" i="10"/>
  <c r="C865" i="10"/>
  <c r="D865" i="10"/>
  <c r="E865" i="10"/>
  <c r="F865" i="10"/>
  <c r="G865" i="10"/>
  <c r="H865" i="10"/>
  <c r="B866" i="10"/>
  <c r="C866" i="10"/>
  <c r="D866" i="10"/>
  <c r="E866" i="10"/>
  <c r="F866" i="10"/>
  <c r="G866" i="10"/>
  <c r="H866" i="10"/>
  <c r="B867" i="10"/>
  <c r="C867" i="10"/>
  <c r="D867" i="10"/>
  <c r="E867" i="10"/>
  <c r="F867" i="10"/>
  <c r="G867" i="10"/>
  <c r="H867" i="10"/>
  <c r="B868" i="10"/>
  <c r="C868" i="10"/>
  <c r="D868" i="10"/>
  <c r="E868" i="10"/>
  <c r="F868" i="10"/>
  <c r="G868" i="10"/>
  <c r="H868" i="10"/>
  <c r="B869" i="10"/>
  <c r="C869" i="10"/>
  <c r="D869" i="10"/>
  <c r="E869" i="10"/>
  <c r="F869" i="10"/>
  <c r="G869" i="10"/>
  <c r="H869" i="10"/>
  <c r="B870" i="10"/>
  <c r="C870" i="10"/>
  <c r="D870" i="10"/>
  <c r="E870" i="10"/>
  <c r="F870" i="10"/>
  <c r="G870" i="10"/>
  <c r="H870" i="10"/>
  <c r="B871" i="10"/>
  <c r="C871" i="10"/>
  <c r="D871" i="10"/>
  <c r="E871" i="10"/>
  <c r="F871" i="10"/>
  <c r="G871" i="10"/>
  <c r="H871" i="10"/>
  <c r="B872" i="10"/>
  <c r="C872" i="10"/>
  <c r="D872" i="10"/>
  <c r="E872" i="10"/>
  <c r="F872" i="10"/>
  <c r="G872" i="10"/>
  <c r="H872" i="10"/>
  <c r="B873" i="10"/>
  <c r="C873" i="10"/>
  <c r="D873" i="10"/>
  <c r="E873" i="10"/>
  <c r="F873" i="10"/>
  <c r="G873" i="10"/>
  <c r="H873" i="10"/>
  <c r="B874" i="10"/>
  <c r="C874" i="10"/>
  <c r="D874" i="10"/>
  <c r="E874" i="10"/>
  <c r="F874" i="10"/>
  <c r="G874" i="10"/>
  <c r="H874" i="10"/>
  <c r="B875" i="10"/>
  <c r="C875" i="10"/>
  <c r="D875" i="10"/>
  <c r="E875" i="10"/>
  <c r="F875" i="10"/>
  <c r="G875" i="10"/>
  <c r="H875" i="10"/>
  <c r="B876" i="10"/>
  <c r="C876" i="10"/>
  <c r="D876" i="10"/>
  <c r="E876" i="10"/>
  <c r="F876" i="10"/>
  <c r="G876" i="10"/>
  <c r="H876" i="10"/>
  <c r="B877" i="10"/>
  <c r="C877" i="10"/>
  <c r="D877" i="10"/>
  <c r="E877" i="10"/>
  <c r="F877" i="10"/>
  <c r="G877" i="10"/>
  <c r="H877" i="10"/>
  <c r="B878" i="10"/>
  <c r="C878" i="10"/>
  <c r="D878" i="10"/>
  <c r="E878" i="10"/>
  <c r="F878" i="10"/>
  <c r="G878" i="10"/>
  <c r="H878" i="10"/>
  <c r="B879" i="10"/>
  <c r="C879" i="10"/>
  <c r="D879" i="10"/>
  <c r="E879" i="10"/>
  <c r="F879" i="10"/>
  <c r="G879" i="10"/>
  <c r="H879" i="10"/>
  <c r="B880" i="10"/>
  <c r="C880" i="10"/>
  <c r="D880" i="10"/>
  <c r="E880" i="10"/>
  <c r="F880" i="10"/>
  <c r="G880" i="10"/>
  <c r="H880" i="10"/>
  <c r="B881" i="10"/>
  <c r="C881" i="10"/>
  <c r="D881" i="10"/>
  <c r="E881" i="10"/>
  <c r="F881" i="10"/>
  <c r="G881" i="10"/>
  <c r="H881" i="10"/>
  <c r="B882" i="10"/>
  <c r="C882" i="10"/>
  <c r="D882" i="10"/>
  <c r="E882" i="10"/>
  <c r="F882" i="10"/>
  <c r="G882" i="10"/>
  <c r="H882" i="10"/>
  <c r="B883" i="10"/>
  <c r="C883" i="10"/>
  <c r="D883" i="10"/>
  <c r="E883" i="10"/>
  <c r="F883" i="10"/>
  <c r="G883" i="10"/>
  <c r="H883" i="10"/>
  <c r="B884" i="10"/>
  <c r="C884" i="10"/>
  <c r="D884" i="10"/>
  <c r="E884" i="10"/>
  <c r="F884" i="10"/>
  <c r="G884" i="10"/>
  <c r="H884" i="10"/>
  <c r="B885" i="10"/>
  <c r="C885" i="10"/>
  <c r="D885" i="10"/>
  <c r="E885" i="10"/>
  <c r="F885" i="10"/>
  <c r="G885" i="10"/>
  <c r="H885" i="10"/>
  <c r="B886" i="10"/>
  <c r="C886" i="10"/>
  <c r="D886" i="10"/>
  <c r="E886" i="10"/>
  <c r="F886" i="10"/>
  <c r="G886" i="10"/>
  <c r="H886" i="10"/>
  <c r="B887" i="10"/>
  <c r="C887" i="10"/>
  <c r="D887" i="10"/>
  <c r="E887" i="10"/>
  <c r="F887" i="10"/>
  <c r="G887" i="10"/>
  <c r="H887" i="10"/>
  <c r="B888" i="10"/>
  <c r="C888" i="10"/>
  <c r="D888" i="10"/>
  <c r="E888" i="10"/>
  <c r="F888" i="10"/>
  <c r="G888" i="10"/>
  <c r="H888" i="10"/>
  <c r="B889" i="10"/>
  <c r="C889" i="10"/>
  <c r="D889" i="10"/>
  <c r="E889" i="10"/>
  <c r="F889" i="10"/>
  <c r="G889" i="10"/>
  <c r="H889" i="10"/>
  <c r="B890" i="10"/>
  <c r="C890" i="10"/>
  <c r="D890" i="10"/>
  <c r="E890" i="10"/>
  <c r="F890" i="10"/>
  <c r="G890" i="10"/>
  <c r="H890" i="10"/>
  <c r="B891" i="10"/>
  <c r="C891" i="10"/>
  <c r="D891" i="10"/>
  <c r="E891" i="10"/>
  <c r="F891" i="10"/>
  <c r="G891" i="10"/>
  <c r="H891" i="10"/>
  <c r="B892" i="10"/>
  <c r="C892" i="10"/>
  <c r="D892" i="10"/>
  <c r="E892" i="10"/>
  <c r="F892" i="10"/>
  <c r="G892" i="10"/>
  <c r="H892" i="10"/>
  <c r="B893" i="10"/>
  <c r="C893" i="10"/>
  <c r="D893" i="10"/>
  <c r="E893" i="10"/>
  <c r="F893" i="10"/>
  <c r="G893" i="10"/>
  <c r="H893" i="10"/>
  <c r="B894" i="10"/>
  <c r="C894" i="10"/>
  <c r="D894" i="10"/>
  <c r="E894" i="10"/>
  <c r="F894" i="10"/>
  <c r="G894" i="10"/>
  <c r="H894" i="10"/>
  <c r="B895" i="10"/>
  <c r="C895" i="10"/>
  <c r="D895" i="10"/>
  <c r="E895" i="10"/>
  <c r="F895" i="10"/>
  <c r="G895" i="10"/>
  <c r="H895" i="10"/>
  <c r="B896" i="10"/>
  <c r="C896" i="10"/>
  <c r="D896" i="10"/>
  <c r="E896" i="10"/>
  <c r="F896" i="10"/>
  <c r="G896" i="10"/>
  <c r="H896" i="10"/>
  <c r="B897" i="10"/>
  <c r="C897" i="10"/>
  <c r="D897" i="10"/>
  <c r="E897" i="10"/>
  <c r="F897" i="10"/>
  <c r="G897" i="10"/>
  <c r="H897" i="10"/>
  <c r="B898" i="10"/>
  <c r="C898" i="10"/>
  <c r="D898" i="10"/>
  <c r="E898" i="10"/>
  <c r="F898" i="10"/>
  <c r="G898" i="10"/>
  <c r="H898" i="10"/>
  <c r="B899" i="10"/>
  <c r="C899" i="10"/>
  <c r="D899" i="10"/>
  <c r="E899" i="10"/>
  <c r="F899" i="10"/>
  <c r="G899" i="10"/>
  <c r="H899" i="10"/>
  <c r="B900" i="10"/>
  <c r="C900" i="10"/>
  <c r="D900" i="10"/>
  <c r="E900" i="10"/>
  <c r="F900" i="10"/>
  <c r="G900" i="10"/>
  <c r="H900" i="10"/>
  <c r="B901" i="10"/>
  <c r="C901" i="10"/>
  <c r="D901" i="10"/>
  <c r="E901" i="10"/>
  <c r="F901" i="10"/>
  <c r="G901" i="10"/>
  <c r="H901" i="10"/>
  <c r="B902" i="10"/>
  <c r="C902" i="10"/>
  <c r="D902" i="10"/>
  <c r="E902" i="10"/>
  <c r="F902" i="10"/>
  <c r="G902" i="10"/>
  <c r="H902" i="10"/>
  <c r="B903" i="10"/>
  <c r="C903" i="10"/>
  <c r="D903" i="10"/>
  <c r="E903" i="10"/>
  <c r="F903" i="10"/>
  <c r="G903" i="10"/>
  <c r="H903" i="10"/>
  <c r="B904" i="10"/>
  <c r="C904" i="10"/>
  <c r="D904" i="10"/>
  <c r="E904" i="10"/>
  <c r="F904" i="10"/>
  <c r="G904" i="10"/>
  <c r="H904" i="10"/>
  <c r="B905" i="10"/>
  <c r="C905" i="10"/>
  <c r="D905" i="10"/>
  <c r="E905" i="10"/>
  <c r="F905" i="10"/>
  <c r="G905" i="10"/>
  <c r="H905" i="10"/>
  <c r="B906" i="10"/>
  <c r="C906" i="10"/>
  <c r="D906" i="10"/>
  <c r="E906" i="10"/>
  <c r="F906" i="10"/>
  <c r="G906" i="10"/>
  <c r="H906" i="10"/>
  <c r="B907" i="10"/>
  <c r="C907" i="10"/>
  <c r="D907" i="10"/>
  <c r="E907" i="10"/>
  <c r="F907" i="10"/>
  <c r="G907" i="10"/>
  <c r="H907" i="10"/>
  <c r="B908" i="10"/>
  <c r="C908" i="10"/>
  <c r="D908" i="10"/>
  <c r="E908" i="10"/>
  <c r="F908" i="10"/>
  <c r="G908" i="10"/>
  <c r="H908" i="10"/>
  <c r="B909" i="10"/>
  <c r="C909" i="10"/>
  <c r="D909" i="10"/>
  <c r="E909" i="10"/>
  <c r="F909" i="10"/>
  <c r="G909" i="10"/>
  <c r="H909" i="10"/>
  <c r="B910" i="10"/>
  <c r="C910" i="10"/>
  <c r="D910" i="10"/>
  <c r="E910" i="10"/>
  <c r="F910" i="10"/>
  <c r="G910" i="10"/>
  <c r="H910" i="10"/>
  <c r="B911" i="10"/>
  <c r="C911" i="10"/>
  <c r="D911" i="10"/>
  <c r="E911" i="10"/>
  <c r="F911" i="10"/>
  <c r="G911" i="10"/>
  <c r="H911" i="10"/>
  <c r="B912" i="10"/>
  <c r="C912" i="10"/>
  <c r="D912" i="10"/>
  <c r="E912" i="10"/>
  <c r="F912" i="10"/>
  <c r="G912" i="10"/>
  <c r="H912" i="10"/>
  <c r="B913" i="10"/>
  <c r="C913" i="10"/>
  <c r="D913" i="10"/>
  <c r="E913" i="10"/>
  <c r="F913" i="10"/>
  <c r="G913" i="10"/>
  <c r="H913" i="10"/>
  <c r="B914" i="10"/>
  <c r="C914" i="10"/>
  <c r="D914" i="10"/>
  <c r="E914" i="10"/>
  <c r="F914" i="10"/>
  <c r="G914" i="10"/>
  <c r="H914" i="10"/>
  <c r="B915" i="10"/>
  <c r="C915" i="10"/>
  <c r="D915" i="10"/>
  <c r="E915" i="10"/>
  <c r="F915" i="10"/>
  <c r="G915" i="10"/>
  <c r="H915" i="10"/>
  <c r="B916" i="10"/>
  <c r="C916" i="10"/>
  <c r="D916" i="10"/>
  <c r="E916" i="10"/>
  <c r="F916" i="10"/>
  <c r="G916" i="10"/>
  <c r="H916" i="10"/>
  <c r="B917" i="10"/>
  <c r="C917" i="10"/>
  <c r="D917" i="10"/>
  <c r="E917" i="10"/>
  <c r="F917" i="10"/>
  <c r="G917" i="10"/>
  <c r="H917" i="10"/>
  <c r="B918" i="10"/>
  <c r="C918" i="10"/>
  <c r="D918" i="10"/>
  <c r="E918" i="10"/>
  <c r="F918" i="10"/>
  <c r="G918" i="10"/>
  <c r="H918" i="10"/>
  <c r="B919" i="10"/>
  <c r="C919" i="10"/>
  <c r="D919" i="10"/>
  <c r="E919" i="10"/>
  <c r="F919" i="10"/>
  <c r="G919" i="10"/>
  <c r="H919" i="10"/>
  <c r="B920" i="10"/>
  <c r="C920" i="10"/>
  <c r="D920" i="10"/>
  <c r="E920" i="10"/>
  <c r="F920" i="10"/>
  <c r="G920" i="10"/>
  <c r="H920" i="10"/>
  <c r="B921" i="10"/>
  <c r="C921" i="10"/>
  <c r="D921" i="10"/>
  <c r="E921" i="10"/>
  <c r="F921" i="10"/>
  <c r="G921" i="10"/>
  <c r="H921" i="10"/>
  <c r="B922" i="10"/>
  <c r="C922" i="10"/>
  <c r="D922" i="10"/>
  <c r="E922" i="10"/>
  <c r="F922" i="10"/>
  <c r="G922" i="10"/>
  <c r="H922" i="10"/>
  <c r="B923" i="10"/>
  <c r="C923" i="10"/>
  <c r="D923" i="10"/>
  <c r="E923" i="10"/>
  <c r="F923" i="10"/>
  <c r="G923" i="10"/>
  <c r="H923" i="10"/>
  <c r="B924" i="10"/>
  <c r="C924" i="10"/>
  <c r="D924" i="10"/>
  <c r="E924" i="10"/>
  <c r="F924" i="10"/>
  <c r="G924" i="10"/>
  <c r="H924" i="10"/>
  <c r="B925" i="10"/>
  <c r="C925" i="10"/>
  <c r="D925" i="10"/>
  <c r="E925" i="10"/>
  <c r="F925" i="10"/>
  <c r="G925" i="10"/>
  <c r="H925" i="10"/>
  <c r="B926" i="10"/>
  <c r="C926" i="10"/>
  <c r="D926" i="10"/>
  <c r="E926" i="10"/>
  <c r="F926" i="10"/>
  <c r="G926" i="10"/>
  <c r="H926" i="10"/>
  <c r="B927" i="10"/>
  <c r="C927" i="10"/>
  <c r="D927" i="10"/>
  <c r="E927" i="10"/>
  <c r="F927" i="10"/>
  <c r="G927" i="10"/>
  <c r="H927" i="10"/>
  <c r="B928" i="10"/>
  <c r="C928" i="10"/>
  <c r="D928" i="10"/>
  <c r="E928" i="10"/>
  <c r="F928" i="10"/>
  <c r="G928" i="10"/>
  <c r="H928" i="10"/>
  <c r="B929" i="10"/>
  <c r="C929" i="10"/>
  <c r="D929" i="10"/>
  <c r="E929" i="10"/>
  <c r="F929" i="10"/>
  <c r="G929" i="10"/>
  <c r="H929" i="10"/>
  <c r="B930" i="10"/>
  <c r="C930" i="10"/>
  <c r="D930" i="10"/>
  <c r="E930" i="10"/>
  <c r="F930" i="10"/>
  <c r="G930" i="10"/>
  <c r="H930" i="10"/>
  <c r="B931" i="10"/>
  <c r="C931" i="10"/>
  <c r="D931" i="10"/>
  <c r="E931" i="10"/>
  <c r="F931" i="10"/>
  <c r="G931" i="10"/>
  <c r="H931" i="10"/>
  <c r="B932" i="10"/>
  <c r="C932" i="10"/>
  <c r="D932" i="10"/>
  <c r="E932" i="10"/>
  <c r="F932" i="10"/>
  <c r="G932" i="10"/>
  <c r="H932" i="10"/>
  <c r="B933" i="10"/>
  <c r="C933" i="10"/>
  <c r="D933" i="10"/>
  <c r="E933" i="10"/>
  <c r="F933" i="10"/>
  <c r="G933" i="10"/>
  <c r="H933" i="10"/>
  <c r="B934" i="10"/>
  <c r="C934" i="10"/>
  <c r="D934" i="10"/>
  <c r="E934" i="10"/>
  <c r="F934" i="10"/>
  <c r="G934" i="10"/>
  <c r="H934" i="10"/>
  <c r="B935" i="10"/>
  <c r="C935" i="10"/>
  <c r="D935" i="10"/>
  <c r="E935" i="10"/>
  <c r="F935" i="10"/>
  <c r="G935" i="10"/>
  <c r="H935" i="10"/>
  <c r="B936" i="10"/>
  <c r="C936" i="10"/>
  <c r="D936" i="10"/>
  <c r="E936" i="10"/>
  <c r="F936" i="10"/>
  <c r="G936" i="10"/>
  <c r="H936" i="10"/>
  <c r="B937" i="10"/>
  <c r="C937" i="10"/>
  <c r="D937" i="10"/>
  <c r="E937" i="10"/>
  <c r="F937" i="10"/>
  <c r="G937" i="10"/>
  <c r="H937" i="10"/>
  <c r="B938" i="10"/>
  <c r="C938" i="10"/>
  <c r="D938" i="10"/>
  <c r="E938" i="10"/>
  <c r="F938" i="10"/>
  <c r="G938" i="10"/>
  <c r="H938" i="10"/>
  <c r="B939" i="10"/>
  <c r="C939" i="10"/>
  <c r="D939" i="10"/>
  <c r="E939" i="10"/>
  <c r="F939" i="10"/>
  <c r="G939" i="10"/>
  <c r="H939" i="10"/>
  <c r="B940" i="10"/>
  <c r="C940" i="10"/>
  <c r="D940" i="10"/>
  <c r="E940" i="10"/>
  <c r="F940" i="10"/>
  <c r="G940" i="10"/>
  <c r="H940" i="10"/>
  <c r="B941" i="10"/>
  <c r="C941" i="10"/>
  <c r="D941" i="10"/>
  <c r="E941" i="10"/>
  <c r="F941" i="10"/>
  <c r="G941" i="10"/>
  <c r="H941" i="10"/>
  <c r="B942" i="10"/>
  <c r="C942" i="10"/>
  <c r="D942" i="10"/>
  <c r="E942" i="10"/>
  <c r="F942" i="10"/>
  <c r="G942" i="10"/>
  <c r="H942" i="10"/>
  <c r="B943" i="10"/>
  <c r="C943" i="10"/>
  <c r="D943" i="10"/>
  <c r="E943" i="10"/>
  <c r="F943" i="10"/>
  <c r="G943" i="10"/>
  <c r="H943" i="10"/>
  <c r="B944" i="10"/>
  <c r="C944" i="10"/>
  <c r="D944" i="10"/>
  <c r="E944" i="10"/>
  <c r="F944" i="10"/>
  <c r="G944" i="10"/>
  <c r="H944" i="10"/>
  <c r="B945" i="10"/>
  <c r="C945" i="10"/>
  <c r="D945" i="10"/>
  <c r="E945" i="10"/>
  <c r="F945" i="10"/>
  <c r="G945" i="10"/>
  <c r="H945" i="10"/>
  <c r="B946" i="10"/>
  <c r="C946" i="10"/>
  <c r="D946" i="10"/>
  <c r="E946" i="10"/>
  <c r="F946" i="10"/>
  <c r="G946" i="10"/>
  <c r="H946" i="10"/>
  <c r="B947" i="10"/>
  <c r="C947" i="10"/>
  <c r="D947" i="10"/>
  <c r="E947" i="10"/>
  <c r="F947" i="10"/>
  <c r="G947" i="10"/>
  <c r="H947" i="10"/>
  <c r="B948" i="10"/>
  <c r="C948" i="10"/>
  <c r="D948" i="10"/>
  <c r="E948" i="10"/>
  <c r="F948" i="10"/>
  <c r="G948" i="10"/>
  <c r="H948" i="10"/>
  <c r="B949" i="10"/>
  <c r="C949" i="10"/>
  <c r="D949" i="10"/>
  <c r="E949" i="10"/>
  <c r="F949" i="10"/>
  <c r="G949" i="10"/>
  <c r="H949" i="10"/>
  <c r="B950" i="10"/>
  <c r="C950" i="10"/>
  <c r="D950" i="10"/>
  <c r="E950" i="10"/>
  <c r="F950" i="10"/>
  <c r="G950" i="10"/>
  <c r="H950" i="10"/>
  <c r="B951" i="10"/>
  <c r="C951" i="10"/>
  <c r="D951" i="10"/>
  <c r="E951" i="10"/>
  <c r="F951" i="10"/>
  <c r="G951" i="10"/>
  <c r="H951" i="10"/>
  <c r="B952" i="10"/>
  <c r="C952" i="10"/>
  <c r="D952" i="10"/>
  <c r="E952" i="10"/>
  <c r="F952" i="10"/>
  <c r="G952" i="10"/>
  <c r="H952" i="10"/>
  <c r="B953" i="10"/>
  <c r="C953" i="10"/>
  <c r="D953" i="10"/>
  <c r="E953" i="10"/>
  <c r="F953" i="10"/>
  <c r="G953" i="10"/>
  <c r="H953" i="10"/>
  <c r="B954" i="10"/>
  <c r="C954" i="10"/>
  <c r="D954" i="10"/>
  <c r="E954" i="10"/>
  <c r="F954" i="10"/>
  <c r="G954" i="10"/>
  <c r="H954" i="10"/>
  <c r="B955" i="10"/>
  <c r="C955" i="10"/>
  <c r="D955" i="10"/>
  <c r="E955" i="10"/>
  <c r="F955" i="10"/>
  <c r="G955" i="10"/>
  <c r="H955" i="10"/>
  <c r="B956" i="10"/>
  <c r="C956" i="10"/>
  <c r="D956" i="10"/>
  <c r="E956" i="10"/>
  <c r="F956" i="10"/>
  <c r="G956" i="10"/>
  <c r="H956" i="10"/>
  <c r="B957" i="10"/>
  <c r="C957" i="10"/>
  <c r="D957" i="10"/>
  <c r="E957" i="10"/>
  <c r="F957" i="10"/>
  <c r="G957" i="10"/>
  <c r="H957" i="10"/>
  <c r="B958" i="10"/>
  <c r="C958" i="10"/>
  <c r="D958" i="10"/>
  <c r="E958" i="10"/>
  <c r="F958" i="10"/>
  <c r="G958" i="10"/>
  <c r="H958" i="10"/>
  <c r="B959" i="10"/>
  <c r="C959" i="10"/>
  <c r="D959" i="10"/>
  <c r="E959" i="10"/>
  <c r="F959" i="10"/>
  <c r="G959" i="10"/>
  <c r="H959" i="10"/>
  <c r="B960" i="10"/>
  <c r="C960" i="10"/>
  <c r="D960" i="10"/>
  <c r="E960" i="10"/>
  <c r="F960" i="10"/>
  <c r="G960" i="10"/>
  <c r="H960" i="10"/>
  <c r="B961" i="10"/>
  <c r="C961" i="10"/>
  <c r="D961" i="10"/>
  <c r="E961" i="10"/>
  <c r="F961" i="10"/>
  <c r="G961" i="10"/>
  <c r="H961" i="10"/>
  <c r="B962" i="10"/>
  <c r="C962" i="10"/>
  <c r="D962" i="10"/>
  <c r="E962" i="10"/>
  <c r="F962" i="10"/>
  <c r="G962" i="10"/>
  <c r="H962" i="10"/>
  <c r="B963" i="10"/>
  <c r="C963" i="10"/>
  <c r="D963" i="10"/>
  <c r="E963" i="10"/>
  <c r="F963" i="10"/>
  <c r="G963" i="10"/>
  <c r="H963" i="10"/>
  <c r="B964" i="10"/>
  <c r="C964" i="10"/>
  <c r="D964" i="10"/>
  <c r="E964" i="10"/>
  <c r="F964" i="10"/>
  <c r="G964" i="10"/>
  <c r="H964" i="10"/>
  <c r="B965" i="10"/>
  <c r="C965" i="10"/>
  <c r="D965" i="10"/>
  <c r="E965" i="10"/>
  <c r="F965" i="10"/>
  <c r="G965" i="10"/>
  <c r="H965" i="10"/>
  <c r="B966" i="10"/>
  <c r="C966" i="10"/>
  <c r="D966" i="10"/>
  <c r="E966" i="10"/>
  <c r="F966" i="10"/>
  <c r="G966" i="10"/>
  <c r="H966" i="10"/>
  <c r="B967" i="10"/>
  <c r="C967" i="10"/>
  <c r="D967" i="10"/>
  <c r="E967" i="10"/>
  <c r="F967" i="10"/>
  <c r="G967" i="10"/>
  <c r="H967" i="10"/>
  <c r="B968" i="10"/>
  <c r="C968" i="10"/>
  <c r="D968" i="10"/>
  <c r="E968" i="10"/>
  <c r="F968" i="10"/>
  <c r="G968" i="10"/>
  <c r="H968" i="10"/>
  <c r="B969" i="10"/>
  <c r="C969" i="10"/>
  <c r="D969" i="10"/>
  <c r="E969" i="10"/>
  <c r="F969" i="10"/>
  <c r="G969" i="10"/>
  <c r="H969" i="10"/>
  <c r="B970" i="10"/>
  <c r="C970" i="10"/>
  <c r="D970" i="10"/>
  <c r="E970" i="10"/>
  <c r="F970" i="10"/>
  <c r="G970" i="10"/>
  <c r="H970" i="10"/>
  <c r="B971" i="10"/>
  <c r="C971" i="10"/>
  <c r="D971" i="10"/>
  <c r="E971" i="10"/>
  <c r="F971" i="10"/>
  <c r="G971" i="10"/>
  <c r="H971" i="10"/>
  <c r="B972" i="10"/>
  <c r="C972" i="10"/>
  <c r="D972" i="10"/>
  <c r="E972" i="10"/>
  <c r="F972" i="10"/>
  <c r="G972" i="10"/>
  <c r="H972" i="10"/>
  <c r="B973" i="10"/>
  <c r="C973" i="10"/>
  <c r="D973" i="10"/>
  <c r="E973" i="10"/>
  <c r="F973" i="10"/>
  <c r="G973" i="10"/>
  <c r="H973" i="10"/>
  <c r="B974" i="10"/>
  <c r="C974" i="10"/>
  <c r="D974" i="10"/>
  <c r="E974" i="10"/>
  <c r="F974" i="10"/>
  <c r="G974" i="10"/>
  <c r="H974" i="10"/>
  <c r="B975" i="10"/>
  <c r="C975" i="10"/>
  <c r="D975" i="10"/>
  <c r="E975" i="10"/>
  <c r="F975" i="10"/>
  <c r="G975" i="10"/>
  <c r="H975" i="10"/>
  <c r="B976" i="10"/>
  <c r="C976" i="10"/>
  <c r="D976" i="10"/>
  <c r="E976" i="10"/>
  <c r="F976" i="10"/>
  <c r="G976" i="10"/>
  <c r="H976" i="10"/>
  <c r="B977" i="10"/>
  <c r="C977" i="10"/>
  <c r="D977" i="10"/>
  <c r="E977" i="10"/>
  <c r="F977" i="10"/>
  <c r="G977" i="10"/>
  <c r="H977" i="10"/>
  <c r="B978" i="10"/>
  <c r="C978" i="10"/>
  <c r="D978" i="10"/>
  <c r="E978" i="10"/>
  <c r="F978" i="10"/>
  <c r="G978" i="10"/>
  <c r="H978" i="10"/>
  <c r="B979" i="10"/>
  <c r="C979" i="10"/>
  <c r="D979" i="10"/>
  <c r="E979" i="10"/>
  <c r="F979" i="10"/>
  <c r="G979" i="10"/>
  <c r="H979" i="10"/>
  <c r="B980" i="10"/>
  <c r="C980" i="10"/>
  <c r="D980" i="10"/>
  <c r="E980" i="10"/>
  <c r="F980" i="10"/>
  <c r="G980" i="10"/>
  <c r="H980" i="10"/>
  <c r="B981" i="10"/>
  <c r="C981" i="10"/>
  <c r="D981" i="10"/>
  <c r="E981" i="10"/>
  <c r="F981" i="10"/>
  <c r="G981" i="10"/>
  <c r="H981" i="10"/>
  <c r="B982" i="10"/>
  <c r="C982" i="10"/>
  <c r="D982" i="10"/>
  <c r="E982" i="10"/>
  <c r="F982" i="10"/>
  <c r="G982" i="10"/>
  <c r="H982" i="10"/>
  <c r="B983" i="10"/>
  <c r="C983" i="10"/>
  <c r="D983" i="10"/>
  <c r="E983" i="10"/>
  <c r="F983" i="10"/>
  <c r="G983" i="10"/>
  <c r="H983" i="10"/>
  <c r="B984" i="10"/>
  <c r="C984" i="10"/>
  <c r="D984" i="10"/>
  <c r="E984" i="10"/>
  <c r="F984" i="10"/>
  <c r="G984" i="10"/>
  <c r="H984" i="10"/>
  <c r="B985" i="10"/>
  <c r="C985" i="10"/>
  <c r="D985" i="10"/>
  <c r="E985" i="10"/>
  <c r="F985" i="10"/>
  <c r="G985" i="10"/>
  <c r="H985" i="10"/>
  <c r="B986" i="10"/>
  <c r="C986" i="10"/>
  <c r="D986" i="10"/>
  <c r="E986" i="10"/>
  <c r="F986" i="10"/>
  <c r="G986" i="10"/>
  <c r="H986" i="10"/>
  <c r="B987" i="10"/>
  <c r="C987" i="10"/>
  <c r="D987" i="10"/>
  <c r="E987" i="10"/>
  <c r="F987" i="10"/>
  <c r="G987" i="10"/>
  <c r="H987" i="10"/>
  <c r="B988" i="10"/>
  <c r="C988" i="10"/>
  <c r="D988" i="10"/>
  <c r="E988" i="10"/>
  <c r="F988" i="10"/>
  <c r="G988" i="10"/>
  <c r="H988" i="10"/>
  <c r="B989" i="10"/>
  <c r="C989" i="10"/>
  <c r="D989" i="10"/>
  <c r="E989" i="10"/>
  <c r="F989" i="10"/>
  <c r="G989" i="10"/>
  <c r="H989" i="10"/>
  <c r="B990" i="10"/>
  <c r="C990" i="10"/>
  <c r="D990" i="10"/>
  <c r="E990" i="10"/>
  <c r="F990" i="10"/>
  <c r="G990" i="10"/>
  <c r="H990" i="10"/>
  <c r="B991" i="10"/>
  <c r="C991" i="10"/>
  <c r="D991" i="10"/>
  <c r="E991" i="10"/>
  <c r="F991" i="10"/>
  <c r="G991" i="10"/>
  <c r="H991" i="10"/>
  <c r="B992" i="10"/>
  <c r="C992" i="10"/>
  <c r="D992" i="10"/>
  <c r="E992" i="10"/>
  <c r="F992" i="10"/>
  <c r="G992" i="10"/>
  <c r="H992" i="10"/>
  <c r="B993" i="10"/>
  <c r="C993" i="10"/>
  <c r="D993" i="10"/>
  <c r="E993" i="10"/>
  <c r="F993" i="10"/>
  <c r="G993" i="10"/>
  <c r="H993" i="10"/>
  <c r="B994" i="10"/>
  <c r="C994" i="10"/>
  <c r="D994" i="10"/>
  <c r="E994" i="10"/>
  <c r="F994" i="10"/>
  <c r="G994" i="10"/>
  <c r="H994" i="10"/>
  <c r="B995" i="10"/>
  <c r="C995" i="10"/>
  <c r="D995" i="10"/>
  <c r="E995" i="10"/>
  <c r="F995" i="10"/>
  <c r="G995" i="10"/>
  <c r="H995" i="10"/>
  <c r="B996" i="10"/>
  <c r="C996" i="10"/>
  <c r="D996" i="10"/>
  <c r="E996" i="10"/>
  <c r="F996" i="10"/>
  <c r="G996" i="10"/>
  <c r="H996" i="10"/>
  <c r="B997" i="10"/>
  <c r="C997" i="10"/>
  <c r="D997" i="10"/>
  <c r="E997" i="10"/>
  <c r="F997" i="10"/>
  <c r="G997" i="10"/>
  <c r="H997" i="10"/>
  <c r="B998" i="10"/>
  <c r="C998" i="10"/>
  <c r="D998" i="10"/>
  <c r="E998" i="10"/>
  <c r="F998" i="10"/>
  <c r="G998" i="10"/>
  <c r="H998" i="10"/>
  <c r="B999" i="10"/>
  <c r="C999" i="10"/>
  <c r="D999" i="10"/>
  <c r="E999" i="10"/>
  <c r="F999" i="10"/>
  <c r="G999" i="10"/>
  <c r="H999" i="10"/>
  <c r="B1000" i="10"/>
  <c r="C1000" i="10"/>
  <c r="D1000" i="10"/>
  <c r="E1000" i="10"/>
  <c r="F1000" i="10"/>
  <c r="G1000" i="10"/>
  <c r="H1000" i="10"/>
  <c r="B1001" i="10"/>
  <c r="C1001" i="10"/>
  <c r="D1001" i="10"/>
  <c r="E1001" i="10"/>
  <c r="F1001" i="10"/>
  <c r="G1001" i="10"/>
  <c r="H1001" i="10"/>
  <c r="B1002" i="10"/>
  <c r="C1002" i="10"/>
  <c r="D1002" i="10"/>
  <c r="E1002" i="10"/>
  <c r="F1002" i="10"/>
  <c r="G1002" i="10"/>
  <c r="H1002" i="10"/>
  <c r="B1003" i="10"/>
  <c r="C1003" i="10"/>
  <c r="D1003" i="10"/>
  <c r="E1003" i="10"/>
  <c r="F1003" i="10"/>
  <c r="G1003" i="10"/>
  <c r="H1003" i="10"/>
  <c r="B1004" i="10"/>
  <c r="C1004" i="10"/>
  <c r="D1004" i="10"/>
  <c r="E1004" i="10"/>
  <c r="F1004" i="10"/>
  <c r="G1004" i="10"/>
  <c r="H1004" i="10"/>
  <c r="B1005" i="10"/>
  <c r="C1005" i="10"/>
  <c r="D1005" i="10"/>
  <c r="E1005" i="10"/>
  <c r="F1005" i="10"/>
  <c r="G1005" i="10"/>
  <c r="H1005" i="10"/>
  <c r="B1006" i="10"/>
  <c r="C1006" i="10"/>
  <c r="D1006" i="10"/>
  <c r="E1006" i="10"/>
  <c r="F1006" i="10"/>
  <c r="G1006" i="10"/>
  <c r="H1006" i="10"/>
  <c r="B1007" i="10"/>
  <c r="C1007" i="10"/>
  <c r="D1007" i="10"/>
  <c r="E1007" i="10"/>
  <c r="F1007" i="10"/>
  <c r="G1007" i="10"/>
  <c r="H1007" i="10"/>
  <c r="B1008" i="10"/>
  <c r="C1008" i="10"/>
  <c r="D1008" i="10"/>
  <c r="E1008" i="10"/>
  <c r="F1008" i="10"/>
  <c r="G1008" i="10"/>
  <c r="H1008" i="10"/>
  <c r="B1009" i="10"/>
  <c r="C1009" i="10"/>
  <c r="D1009" i="10"/>
  <c r="E1009" i="10"/>
  <c r="F1009" i="10"/>
  <c r="G1009" i="10"/>
  <c r="H1009" i="10"/>
  <c r="B1010" i="10"/>
  <c r="C1010" i="10"/>
  <c r="D1010" i="10"/>
  <c r="E1010" i="10"/>
  <c r="F1010" i="10"/>
  <c r="G1010" i="10"/>
  <c r="H1010" i="10"/>
  <c r="B1011" i="10"/>
  <c r="C1011" i="10"/>
  <c r="D1011" i="10"/>
  <c r="E1011" i="10"/>
  <c r="F1011" i="10"/>
  <c r="G1011" i="10"/>
  <c r="H1011" i="10"/>
  <c r="B1012" i="10"/>
  <c r="C1012" i="10"/>
  <c r="D1012" i="10"/>
  <c r="E1012" i="10"/>
  <c r="F1012" i="10"/>
  <c r="G1012" i="10"/>
  <c r="H1012" i="10"/>
  <c r="B1013" i="10"/>
  <c r="C1013" i="10"/>
  <c r="D1013" i="10"/>
  <c r="E1013" i="10"/>
  <c r="F1013" i="10"/>
  <c r="G1013" i="10"/>
  <c r="H1013" i="10"/>
  <c r="B1014" i="10"/>
  <c r="C1014" i="10"/>
  <c r="D1014" i="10"/>
  <c r="E1014" i="10"/>
  <c r="F1014" i="10"/>
  <c r="G1014" i="10"/>
  <c r="H1014" i="10"/>
  <c r="B1015" i="10"/>
  <c r="C1015" i="10"/>
  <c r="D1015" i="10"/>
  <c r="E1015" i="10"/>
  <c r="F1015" i="10"/>
  <c r="G1015" i="10"/>
  <c r="H1015" i="10"/>
  <c r="B1016" i="10"/>
  <c r="C1016" i="10"/>
  <c r="D1016" i="10"/>
  <c r="E1016" i="10"/>
  <c r="F1016" i="10"/>
  <c r="G1016" i="10"/>
  <c r="H1016" i="10"/>
  <c r="B1017" i="10"/>
  <c r="C1017" i="10"/>
  <c r="D1017" i="10"/>
  <c r="E1017" i="10"/>
  <c r="F1017" i="10"/>
  <c r="G1017" i="10"/>
  <c r="H1017" i="10"/>
  <c r="B1018" i="10"/>
  <c r="C1018" i="10"/>
  <c r="D1018" i="10"/>
  <c r="E1018" i="10"/>
  <c r="F1018" i="10"/>
  <c r="G1018" i="10"/>
  <c r="H1018" i="10"/>
  <c r="B1019" i="10"/>
  <c r="C1019" i="10"/>
  <c r="D1019" i="10"/>
  <c r="E1019" i="10"/>
  <c r="F1019" i="10"/>
  <c r="G1019" i="10"/>
  <c r="H1019" i="10"/>
  <c r="B1020" i="10"/>
  <c r="C1020" i="10"/>
  <c r="D1020" i="10"/>
  <c r="E1020" i="10"/>
  <c r="F1020" i="10"/>
  <c r="G1020" i="10"/>
  <c r="H1020" i="10"/>
  <c r="B1021" i="10"/>
  <c r="C1021" i="10"/>
  <c r="D1021" i="10"/>
  <c r="E1021" i="10"/>
  <c r="F1021" i="10"/>
  <c r="G1021" i="10"/>
  <c r="H1021" i="10"/>
  <c r="B1022" i="10"/>
  <c r="C1022" i="10"/>
  <c r="D1022" i="10"/>
  <c r="E1022" i="10"/>
  <c r="F1022" i="10"/>
  <c r="G1022" i="10"/>
  <c r="H1022" i="10"/>
  <c r="B1023" i="10"/>
  <c r="C1023" i="10"/>
  <c r="D1023" i="10"/>
  <c r="E1023" i="10"/>
  <c r="F1023" i="10"/>
  <c r="G1023" i="10"/>
  <c r="H1023" i="10"/>
  <c r="B1024" i="10"/>
  <c r="C1024" i="10"/>
  <c r="D1024" i="10"/>
  <c r="E1024" i="10"/>
  <c r="F1024" i="10"/>
  <c r="G1024" i="10"/>
  <c r="H1024" i="10"/>
  <c r="B1025" i="10"/>
  <c r="C1025" i="10"/>
  <c r="D1025" i="10"/>
  <c r="E1025" i="10"/>
  <c r="F1025" i="10"/>
  <c r="G1025" i="10"/>
  <c r="H1025" i="10"/>
  <c r="B1026" i="10"/>
  <c r="C1026" i="10"/>
  <c r="D1026" i="10"/>
  <c r="E1026" i="10"/>
  <c r="F1026" i="10"/>
  <c r="G1026" i="10"/>
  <c r="H1026" i="10"/>
  <c r="B1027" i="10"/>
  <c r="C1027" i="10"/>
  <c r="D1027" i="10"/>
  <c r="E1027" i="10"/>
  <c r="F1027" i="10"/>
  <c r="G1027" i="10"/>
  <c r="H1027" i="10"/>
  <c r="B1028" i="10"/>
  <c r="C1028" i="10"/>
  <c r="D1028" i="10"/>
  <c r="E1028" i="10"/>
  <c r="F1028" i="10"/>
  <c r="G1028" i="10"/>
  <c r="H1028" i="10"/>
  <c r="B1029" i="10"/>
  <c r="C1029" i="10"/>
  <c r="D1029" i="10"/>
  <c r="E1029" i="10"/>
  <c r="F1029" i="10"/>
  <c r="G1029" i="10"/>
  <c r="H1029" i="10"/>
  <c r="B1030" i="10"/>
  <c r="C1030" i="10"/>
  <c r="D1030" i="10"/>
  <c r="E1030" i="10"/>
  <c r="F1030" i="10"/>
  <c r="G1030" i="10"/>
  <c r="H1030" i="10"/>
  <c r="B1031" i="10"/>
  <c r="C1031" i="10"/>
  <c r="D1031" i="10"/>
  <c r="E1031" i="10"/>
  <c r="F1031" i="10"/>
  <c r="G1031" i="10"/>
  <c r="H1031" i="10"/>
  <c r="B1032" i="10"/>
  <c r="C1032" i="10"/>
  <c r="D1032" i="10"/>
  <c r="E1032" i="10"/>
  <c r="F1032" i="10"/>
  <c r="G1032" i="10"/>
  <c r="H1032" i="10"/>
  <c r="B1033" i="10"/>
  <c r="C1033" i="10"/>
  <c r="D1033" i="10"/>
  <c r="E1033" i="10"/>
  <c r="F1033" i="10"/>
  <c r="G1033" i="10"/>
  <c r="H1033" i="10"/>
  <c r="B1034" i="10"/>
  <c r="C1034" i="10"/>
  <c r="D1034" i="10"/>
  <c r="E1034" i="10"/>
  <c r="F1034" i="10"/>
  <c r="G1034" i="10"/>
  <c r="H1034" i="10"/>
  <c r="B1035" i="10"/>
  <c r="C1035" i="10"/>
  <c r="D1035" i="10"/>
  <c r="E1035" i="10"/>
  <c r="F1035" i="10"/>
  <c r="G1035" i="10"/>
  <c r="H1035" i="10"/>
  <c r="B1036" i="10"/>
  <c r="C1036" i="10"/>
  <c r="D1036" i="10"/>
  <c r="E1036" i="10"/>
  <c r="F1036" i="10"/>
  <c r="G1036" i="10"/>
  <c r="H1036" i="10"/>
  <c r="B1037" i="10"/>
  <c r="C1037" i="10"/>
  <c r="D1037" i="10"/>
  <c r="E1037" i="10"/>
  <c r="F1037" i="10"/>
  <c r="G1037" i="10"/>
  <c r="H1037" i="10"/>
  <c r="B1038" i="10"/>
  <c r="C1038" i="10"/>
  <c r="D1038" i="10"/>
  <c r="E1038" i="10"/>
  <c r="F1038" i="10"/>
  <c r="G1038" i="10"/>
  <c r="H1038" i="10"/>
  <c r="B1039" i="10"/>
  <c r="C1039" i="10"/>
  <c r="D1039" i="10"/>
  <c r="E1039" i="10"/>
  <c r="F1039" i="10"/>
  <c r="G1039" i="10"/>
  <c r="H1039" i="10"/>
  <c r="B1040" i="10"/>
  <c r="C1040" i="10"/>
  <c r="D1040" i="10"/>
  <c r="E1040" i="10"/>
  <c r="F1040" i="10"/>
  <c r="G1040" i="10"/>
  <c r="H1040" i="10"/>
  <c r="B1041" i="10"/>
  <c r="C1041" i="10"/>
  <c r="D1041" i="10"/>
  <c r="E1041" i="10"/>
  <c r="F1041" i="10"/>
  <c r="G1041" i="10"/>
  <c r="H1041" i="10"/>
  <c r="B1042" i="10"/>
  <c r="C1042" i="10"/>
  <c r="D1042" i="10"/>
  <c r="E1042" i="10"/>
  <c r="F1042" i="10"/>
  <c r="G1042" i="10"/>
  <c r="H1042" i="10"/>
  <c r="B1043" i="10"/>
  <c r="C1043" i="10"/>
  <c r="D1043" i="10"/>
  <c r="E1043" i="10"/>
  <c r="F1043" i="10"/>
  <c r="G1043" i="10"/>
  <c r="H1043" i="10"/>
  <c r="B1044" i="10"/>
  <c r="C1044" i="10"/>
  <c r="D1044" i="10"/>
  <c r="E1044" i="10"/>
  <c r="F1044" i="10"/>
  <c r="G1044" i="10"/>
  <c r="H1044" i="10"/>
  <c r="B1045" i="10"/>
  <c r="C1045" i="10"/>
  <c r="D1045" i="10"/>
  <c r="E1045" i="10"/>
  <c r="F1045" i="10"/>
  <c r="G1045" i="10"/>
  <c r="H1045" i="10"/>
  <c r="B1046" i="10"/>
  <c r="C1046" i="10"/>
  <c r="D1046" i="10"/>
  <c r="E1046" i="10"/>
  <c r="F1046" i="10"/>
  <c r="G1046" i="10"/>
  <c r="H1046" i="10"/>
  <c r="B1047" i="10"/>
  <c r="C1047" i="10"/>
  <c r="D1047" i="10"/>
  <c r="E1047" i="10"/>
  <c r="F1047" i="10"/>
  <c r="G1047" i="10"/>
  <c r="H1047" i="10"/>
  <c r="B1048" i="10"/>
  <c r="C1048" i="10"/>
  <c r="D1048" i="10"/>
  <c r="E1048" i="10"/>
  <c r="F1048" i="10"/>
  <c r="G1048" i="10"/>
  <c r="H1048" i="10"/>
  <c r="B1049" i="10"/>
  <c r="C1049" i="10"/>
  <c r="D1049" i="10"/>
  <c r="E1049" i="10"/>
  <c r="F1049" i="10"/>
  <c r="G1049" i="10"/>
  <c r="H1049" i="10"/>
  <c r="B1050" i="10"/>
  <c r="C1050" i="10"/>
  <c r="D1050" i="10"/>
  <c r="E1050" i="10"/>
  <c r="F1050" i="10"/>
  <c r="G1050" i="10"/>
  <c r="H1050" i="10"/>
  <c r="B1051" i="10"/>
  <c r="C1051" i="10"/>
  <c r="D1051" i="10"/>
  <c r="E1051" i="10"/>
  <c r="F1051" i="10"/>
  <c r="G1051" i="10"/>
  <c r="H1051" i="10"/>
  <c r="B1052" i="10"/>
  <c r="C1052" i="10"/>
  <c r="D1052" i="10"/>
  <c r="E1052" i="10"/>
  <c r="F1052" i="10"/>
  <c r="G1052" i="10"/>
  <c r="H1052" i="10"/>
  <c r="B1053" i="10"/>
  <c r="C1053" i="10"/>
  <c r="D1053" i="10"/>
  <c r="E1053" i="10"/>
  <c r="F1053" i="10"/>
  <c r="G1053" i="10"/>
  <c r="H1053" i="10"/>
  <c r="B1054" i="10"/>
  <c r="C1054" i="10"/>
  <c r="D1054" i="10"/>
  <c r="E1054" i="10"/>
  <c r="F1054" i="10"/>
  <c r="G1054" i="10"/>
  <c r="H1054" i="10"/>
  <c r="B1055" i="10"/>
  <c r="C1055" i="10"/>
  <c r="D1055" i="10"/>
  <c r="E1055" i="10"/>
  <c r="F1055" i="10"/>
  <c r="G1055" i="10"/>
  <c r="H1055" i="10"/>
  <c r="B1056" i="10"/>
  <c r="C1056" i="10"/>
  <c r="D1056" i="10"/>
  <c r="E1056" i="10"/>
  <c r="F1056" i="10"/>
  <c r="G1056" i="10"/>
  <c r="H1056" i="10"/>
  <c r="B1057" i="10"/>
  <c r="C1057" i="10"/>
  <c r="D1057" i="10"/>
  <c r="E1057" i="10"/>
  <c r="F1057" i="10"/>
  <c r="G1057" i="10"/>
  <c r="H1057" i="10"/>
  <c r="B1058" i="10"/>
  <c r="C1058" i="10"/>
  <c r="D1058" i="10"/>
  <c r="E1058" i="10"/>
  <c r="F1058" i="10"/>
  <c r="G1058" i="10"/>
  <c r="H1058" i="10"/>
  <c r="B1059" i="10"/>
  <c r="C1059" i="10"/>
  <c r="D1059" i="10"/>
  <c r="E1059" i="10"/>
  <c r="F1059" i="10"/>
  <c r="G1059" i="10"/>
  <c r="H1059" i="10"/>
  <c r="B1060" i="10"/>
  <c r="C1060" i="10"/>
  <c r="D1060" i="10"/>
  <c r="E1060" i="10"/>
  <c r="F1060" i="10"/>
  <c r="G1060" i="10"/>
  <c r="H1060" i="10"/>
  <c r="B1061" i="10"/>
  <c r="C1061" i="10"/>
  <c r="D1061" i="10"/>
  <c r="E1061" i="10"/>
  <c r="F1061" i="10"/>
  <c r="G1061" i="10"/>
  <c r="H1061" i="10"/>
  <c r="B1062" i="10"/>
  <c r="C1062" i="10"/>
  <c r="D1062" i="10"/>
  <c r="E1062" i="10"/>
  <c r="F1062" i="10"/>
  <c r="G1062" i="10"/>
  <c r="H1062" i="10"/>
  <c r="B1063" i="10"/>
  <c r="C1063" i="10"/>
  <c r="D1063" i="10"/>
  <c r="E1063" i="10"/>
  <c r="F1063" i="10"/>
  <c r="G1063" i="10"/>
  <c r="H1063" i="10"/>
  <c r="B1064" i="10"/>
  <c r="C1064" i="10"/>
  <c r="D1064" i="10"/>
  <c r="E1064" i="10"/>
  <c r="F1064" i="10"/>
  <c r="G1064" i="10"/>
  <c r="H1064" i="10"/>
  <c r="B1065" i="10"/>
  <c r="C1065" i="10"/>
  <c r="D1065" i="10"/>
  <c r="E1065" i="10"/>
  <c r="F1065" i="10"/>
  <c r="G1065" i="10"/>
  <c r="H1065" i="10"/>
  <c r="B1066" i="10"/>
  <c r="C1066" i="10"/>
  <c r="D1066" i="10"/>
  <c r="E1066" i="10"/>
  <c r="F1066" i="10"/>
  <c r="G1066" i="10"/>
  <c r="H1066" i="10"/>
  <c r="B1067" i="10"/>
  <c r="C1067" i="10"/>
  <c r="D1067" i="10"/>
  <c r="E1067" i="10"/>
  <c r="F1067" i="10"/>
  <c r="G1067" i="10"/>
  <c r="H1067" i="10"/>
  <c r="B1068" i="10"/>
  <c r="C1068" i="10"/>
  <c r="D1068" i="10"/>
  <c r="E1068" i="10"/>
  <c r="F1068" i="10"/>
  <c r="G1068" i="10"/>
  <c r="H1068" i="10"/>
  <c r="B1069" i="10"/>
  <c r="C1069" i="10"/>
  <c r="D1069" i="10"/>
  <c r="E1069" i="10"/>
  <c r="F1069" i="10"/>
  <c r="G1069" i="10"/>
  <c r="H1069" i="10"/>
  <c r="B1070" i="10"/>
  <c r="C1070" i="10"/>
  <c r="D1070" i="10"/>
  <c r="E1070" i="10"/>
  <c r="F1070" i="10"/>
  <c r="G1070" i="10"/>
  <c r="H1070" i="10"/>
  <c r="B1071" i="10"/>
  <c r="C1071" i="10"/>
  <c r="D1071" i="10"/>
  <c r="E1071" i="10"/>
  <c r="F1071" i="10"/>
  <c r="G1071" i="10"/>
  <c r="H1071" i="10"/>
  <c r="B1072" i="10"/>
  <c r="C1072" i="10"/>
  <c r="D1072" i="10"/>
  <c r="E1072" i="10"/>
  <c r="F1072" i="10"/>
  <c r="G1072" i="10"/>
  <c r="H1072" i="10"/>
  <c r="B1073" i="10"/>
  <c r="C1073" i="10"/>
  <c r="D1073" i="10"/>
  <c r="E1073" i="10"/>
  <c r="F1073" i="10"/>
  <c r="G1073" i="10"/>
  <c r="H1073" i="10"/>
  <c r="B1074" i="10"/>
  <c r="C1074" i="10"/>
  <c r="D1074" i="10"/>
  <c r="E1074" i="10"/>
  <c r="F1074" i="10"/>
  <c r="G1074" i="10"/>
  <c r="H1074" i="10"/>
  <c r="B1075" i="10"/>
  <c r="C1075" i="10"/>
  <c r="D1075" i="10"/>
  <c r="E1075" i="10"/>
  <c r="F1075" i="10"/>
  <c r="G1075" i="10"/>
  <c r="H1075" i="10"/>
  <c r="B1076" i="10"/>
  <c r="C1076" i="10"/>
  <c r="D1076" i="10"/>
  <c r="E1076" i="10"/>
  <c r="F1076" i="10"/>
  <c r="G1076" i="10"/>
  <c r="H1076" i="10"/>
  <c r="B1077" i="10"/>
  <c r="C1077" i="10"/>
  <c r="D1077" i="10"/>
  <c r="E1077" i="10"/>
  <c r="F1077" i="10"/>
  <c r="G1077" i="10"/>
  <c r="H1077" i="10"/>
  <c r="B1078" i="10"/>
  <c r="C1078" i="10"/>
  <c r="D1078" i="10"/>
  <c r="E1078" i="10"/>
  <c r="F1078" i="10"/>
  <c r="G1078" i="10"/>
  <c r="H1078" i="10"/>
  <c r="B1079" i="10"/>
  <c r="C1079" i="10"/>
  <c r="D1079" i="10"/>
  <c r="E1079" i="10"/>
  <c r="F1079" i="10"/>
  <c r="G1079" i="10"/>
  <c r="H1079" i="10"/>
  <c r="B1080" i="10"/>
  <c r="C1080" i="10"/>
  <c r="D1080" i="10"/>
  <c r="E1080" i="10"/>
  <c r="F1080" i="10"/>
  <c r="G1080" i="10"/>
  <c r="H1080" i="10"/>
  <c r="B1081" i="10"/>
  <c r="C1081" i="10"/>
  <c r="D1081" i="10"/>
  <c r="E1081" i="10"/>
  <c r="F1081" i="10"/>
  <c r="G1081" i="10"/>
  <c r="H1081" i="10"/>
  <c r="B1082" i="10"/>
  <c r="C1082" i="10"/>
  <c r="D1082" i="10"/>
  <c r="E1082" i="10"/>
  <c r="F1082" i="10"/>
  <c r="G1082" i="10"/>
  <c r="H1082" i="10"/>
  <c r="B1083" i="10"/>
  <c r="C1083" i="10"/>
  <c r="D1083" i="10"/>
  <c r="E1083" i="10"/>
  <c r="F1083" i="10"/>
  <c r="G1083" i="10"/>
  <c r="H1083" i="10"/>
  <c r="B1084" i="10"/>
  <c r="C1084" i="10"/>
  <c r="D1084" i="10"/>
  <c r="E1084" i="10"/>
  <c r="F1084" i="10"/>
  <c r="G1084" i="10"/>
  <c r="H1084" i="10"/>
  <c r="B1085" i="10"/>
  <c r="C1085" i="10"/>
  <c r="D1085" i="10"/>
  <c r="E1085" i="10"/>
  <c r="F1085" i="10"/>
  <c r="G1085" i="10"/>
  <c r="H1085" i="10"/>
  <c r="B1086" i="10"/>
  <c r="C1086" i="10"/>
  <c r="D1086" i="10"/>
  <c r="E1086" i="10"/>
  <c r="F1086" i="10"/>
  <c r="G1086" i="10"/>
  <c r="H1086" i="10"/>
  <c r="B1087" i="10"/>
  <c r="C1087" i="10"/>
  <c r="D1087" i="10"/>
  <c r="E1087" i="10"/>
  <c r="F1087" i="10"/>
  <c r="G1087" i="10"/>
  <c r="H1087" i="10"/>
  <c r="B1088" i="10"/>
  <c r="C1088" i="10"/>
  <c r="D1088" i="10"/>
  <c r="E1088" i="10"/>
  <c r="F1088" i="10"/>
  <c r="G1088" i="10"/>
  <c r="H1088" i="10"/>
  <c r="B1089" i="10"/>
  <c r="C1089" i="10"/>
  <c r="D1089" i="10"/>
  <c r="E1089" i="10"/>
  <c r="F1089" i="10"/>
  <c r="G1089" i="10"/>
  <c r="H1089" i="10"/>
  <c r="B1090" i="10"/>
  <c r="C1090" i="10"/>
  <c r="D1090" i="10"/>
  <c r="E1090" i="10"/>
  <c r="F1090" i="10"/>
  <c r="G1090" i="10"/>
  <c r="H1090" i="10"/>
  <c r="B1091" i="10"/>
  <c r="C1091" i="10"/>
  <c r="D1091" i="10"/>
  <c r="E1091" i="10"/>
  <c r="F1091" i="10"/>
  <c r="G1091" i="10"/>
  <c r="H1091" i="10"/>
  <c r="B1092" i="10"/>
  <c r="C1092" i="10"/>
  <c r="D1092" i="10"/>
  <c r="E1092" i="10"/>
  <c r="F1092" i="10"/>
  <c r="G1092" i="10"/>
  <c r="H1092" i="10"/>
  <c r="B1093" i="10"/>
  <c r="C1093" i="10"/>
  <c r="D1093" i="10"/>
  <c r="E1093" i="10"/>
  <c r="F1093" i="10"/>
  <c r="G1093" i="10"/>
  <c r="H1093" i="10"/>
  <c r="B1094" i="10"/>
  <c r="C1094" i="10"/>
  <c r="D1094" i="10"/>
  <c r="E1094" i="10"/>
  <c r="F1094" i="10"/>
  <c r="G1094" i="10"/>
  <c r="H1094" i="10"/>
  <c r="B1095" i="10"/>
  <c r="C1095" i="10"/>
  <c r="D1095" i="10"/>
  <c r="E1095" i="10"/>
  <c r="F1095" i="10"/>
  <c r="G1095" i="10"/>
  <c r="H1095" i="10"/>
  <c r="B1096" i="10"/>
  <c r="C1096" i="10"/>
  <c r="D1096" i="10"/>
  <c r="E1096" i="10"/>
  <c r="F1096" i="10"/>
  <c r="G1096" i="10"/>
  <c r="H1096" i="10"/>
  <c r="B1097" i="10"/>
  <c r="C1097" i="10"/>
  <c r="D1097" i="10"/>
  <c r="E1097" i="10"/>
  <c r="F1097" i="10"/>
  <c r="G1097" i="10"/>
  <c r="H1097" i="10"/>
  <c r="B1098" i="10"/>
  <c r="C1098" i="10"/>
  <c r="D1098" i="10"/>
  <c r="E1098" i="10"/>
  <c r="F1098" i="10"/>
  <c r="G1098" i="10"/>
  <c r="H1098" i="10"/>
  <c r="B1099" i="10"/>
  <c r="C1099" i="10"/>
  <c r="D1099" i="10"/>
  <c r="E1099" i="10"/>
  <c r="F1099" i="10"/>
  <c r="G1099" i="10"/>
  <c r="H1099" i="10"/>
  <c r="B1100" i="10"/>
  <c r="C1100" i="10"/>
  <c r="D1100" i="10"/>
  <c r="E1100" i="10"/>
  <c r="F1100" i="10"/>
  <c r="G1100" i="10"/>
  <c r="H1100" i="10"/>
  <c r="B1101" i="10"/>
  <c r="C1101" i="10"/>
  <c r="D1101" i="10"/>
  <c r="E1101" i="10"/>
  <c r="F1101" i="10"/>
  <c r="G1101" i="10"/>
  <c r="H1101" i="10"/>
  <c r="B1102" i="10"/>
  <c r="C1102" i="10"/>
  <c r="D1102" i="10"/>
  <c r="E1102" i="10"/>
  <c r="F1102" i="10"/>
  <c r="G1102" i="10"/>
  <c r="H1102" i="10"/>
  <c r="B1103" i="10"/>
  <c r="C1103" i="10"/>
  <c r="D1103" i="10"/>
  <c r="E1103" i="10"/>
  <c r="F1103" i="10"/>
  <c r="G1103" i="10"/>
  <c r="H1103" i="10"/>
  <c r="B1104" i="10"/>
  <c r="C1104" i="10"/>
  <c r="D1104" i="10"/>
  <c r="E1104" i="10"/>
  <c r="F1104" i="10"/>
  <c r="G1104" i="10"/>
  <c r="H1104" i="10"/>
  <c r="B1105" i="10"/>
  <c r="C1105" i="10"/>
  <c r="D1105" i="10"/>
  <c r="E1105" i="10"/>
  <c r="F1105" i="10"/>
  <c r="G1105" i="10"/>
  <c r="H1105" i="10"/>
  <c r="B1106" i="10"/>
  <c r="C1106" i="10"/>
  <c r="D1106" i="10"/>
  <c r="E1106" i="10"/>
  <c r="F1106" i="10"/>
  <c r="G1106" i="10"/>
  <c r="H1106" i="10"/>
  <c r="B1107" i="10"/>
  <c r="C1107" i="10"/>
  <c r="D1107" i="10"/>
  <c r="E1107" i="10"/>
  <c r="F1107" i="10"/>
  <c r="G1107" i="10"/>
  <c r="H1107" i="10"/>
  <c r="B1108" i="10"/>
  <c r="C1108" i="10"/>
  <c r="D1108" i="10"/>
  <c r="E1108" i="10"/>
  <c r="F1108" i="10"/>
  <c r="G1108" i="10"/>
  <c r="H1108" i="10"/>
  <c r="B1109" i="10"/>
  <c r="C1109" i="10"/>
  <c r="D1109" i="10"/>
  <c r="E1109" i="10"/>
  <c r="F1109" i="10"/>
  <c r="G1109" i="10"/>
  <c r="H1109" i="10"/>
  <c r="B1110" i="10"/>
  <c r="C1110" i="10"/>
  <c r="D1110" i="10"/>
  <c r="E1110" i="10"/>
  <c r="F1110" i="10"/>
  <c r="G1110" i="10"/>
  <c r="H1110" i="10"/>
  <c r="B1111" i="10"/>
  <c r="C1111" i="10"/>
  <c r="D1111" i="10"/>
  <c r="E1111" i="10"/>
  <c r="F1111" i="10"/>
  <c r="G1111" i="10"/>
  <c r="H1111" i="10"/>
  <c r="B1112" i="10"/>
  <c r="C1112" i="10"/>
  <c r="D1112" i="10"/>
  <c r="E1112" i="10"/>
  <c r="F1112" i="10"/>
  <c r="G1112" i="10"/>
  <c r="H1112" i="10"/>
  <c r="B1113" i="10"/>
  <c r="C1113" i="10"/>
  <c r="D1113" i="10"/>
  <c r="E1113" i="10"/>
  <c r="F1113" i="10"/>
  <c r="G1113" i="10"/>
  <c r="H1113" i="10"/>
  <c r="B1114" i="10"/>
  <c r="C1114" i="10"/>
  <c r="D1114" i="10"/>
  <c r="E1114" i="10"/>
  <c r="F1114" i="10"/>
  <c r="G1114" i="10"/>
  <c r="H1114" i="10"/>
  <c r="B1115" i="10"/>
  <c r="C1115" i="10"/>
  <c r="D1115" i="10"/>
  <c r="E1115" i="10"/>
  <c r="F1115" i="10"/>
  <c r="G1115" i="10"/>
  <c r="H1115" i="10"/>
  <c r="B1116" i="10"/>
  <c r="C1116" i="10"/>
  <c r="D1116" i="10"/>
  <c r="E1116" i="10"/>
  <c r="F1116" i="10"/>
  <c r="G1116" i="10"/>
  <c r="H1116" i="10"/>
  <c r="B1117" i="10"/>
  <c r="C1117" i="10"/>
  <c r="D1117" i="10"/>
  <c r="E1117" i="10"/>
  <c r="F1117" i="10"/>
  <c r="G1117" i="10"/>
  <c r="H1117" i="10"/>
  <c r="B1118" i="10"/>
  <c r="C1118" i="10"/>
  <c r="D1118" i="10"/>
  <c r="E1118" i="10"/>
  <c r="F1118" i="10"/>
  <c r="G1118" i="10"/>
  <c r="H1118" i="10"/>
  <c r="B1119" i="10"/>
  <c r="C1119" i="10"/>
  <c r="D1119" i="10"/>
  <c r="E1119" i="10"/>
  <c r="F1119" i="10"/>
  <c r="G1119" i="10"/>
  <c r="H1119" i="10"/>
  <c r="B1120" i="10"/>
  <c r="C1120" i="10"/>
  <c r="D1120" i="10"/>
  <c r="E1120" i="10"/>
  <c r="F1120" i="10"/>
  <c r="G1120" i="10"/>
  <c r="H1120" i="10"/>
  <c r="B1121" i="10"/>
  <c r="C1121" i="10"/>
  <c r="D1121" i="10"/>
  <c r="E1121" i="10"/>
  <c r="F1121" i="10"/>
  <c r="G1121" i="10"/>
  <c r="H1121" i="10"/>
  <c r="B1122" i="10"/>
  <c r="C1122" i="10"/>
  <c r="D1122" i="10"/>
  <c r="E1122" i="10"/>
  <c r="F1122" i="10"/>
  <c r="G1122" i="10"/>
  <c r="H1122" i="10"/>
  <c r="B1123" i="10"/>
  <c r="C1123" i="10"/>
  <c r="D1123" i="10"/>
  <c r="E1123" i="10"/>
  <c r="F1123" i="10"/>
  <c r="G1123" i="10"/>
  <c r="H1123" i="10"/>
  <c r="B1124" i="10"/>
  <c r="C1124" i="10"/>
  <c r="D1124" i="10"/>
  <c r="E1124" i="10"/>
  <c r="F1124" i="10"/>
  <c r="G1124" i="10"/>
  <c r="H1124" i="10"/>
  <c r="B1125" i="10"/>
  <c r="C1125" i="10"/>
  <c r="D1125" i="10"/>
  <c r="E1125" i="10"/>
  <c r="F1125" i="10"/>
  <c r="G1125" i="10"/>
  <c r="H1125" i="10"/>
  <c r="B1126" i="10"/>
  <c r="C1126" i="10"/>
  <c r="D1126" i="10"/>
  <c r="E1126" i="10"/>
  <c r="F1126" i="10"/>
  <c r="G1126" i="10"/>
  <c r="H1126" i="10"/>
  <c r="B1127" i="10"/>
  <c r="C1127" i="10"/>
  <c r="D1127" i="10"/>
  <c r="E1127" i="10"/>
  <c r="F1127" i="10"/>
  <c r="G1127" i="10"/>
  <c r="H1127" i="10"/>
  <c r="B1128" i="10"/>
  <c r="C1128" i="10"/>
  <c r="D1128" i="10"/>
  <c r="E1128" i="10"/>
  <c r="F1128" i="10"/>
  <c r="G1128" i="10"/>
  <c r="H1128" i="10"/>
  <c r="B1129" i="10"/>
  <c r="C1129" i="10"/>
  <c r="D1129" i="10"/>
  <c r="E1129" i="10"/>
  <c r="F1129" i="10"/>
  <c r="G1129" i="10"/>
  <c r="H1129" i="10"/>
  <c r="B1130" i="10"/>
  <c r="C1130" i="10"/>
  <c r="D1130" i="10"/>
  <c r="E1130" i="10"/>
  <c r="F1130" i="10"/>
  <c r="G1130" i="10"/>
  <c r="H1130" i="10"/>
  <c r="B1131" i="10"/>
  <c r="C1131" i="10"/>
  <c r="D1131" i="10"/>
  <c r="E1131" i="10"/>
  <c r="F1131" i="10"/>
  <c r="G1131" i="10"/>
  <c r="H1131" i="10"/>
  <c r="B1132" i="10"/>
  <c r="C1132" i="10"/>
  <c r="D1132" i="10"/>
  <c r="E1132" i="10"/>
  <c r="F1132" i="10"/>
  <c r="G1132" i="10"/>
  <c r="H1132" i="10"/>
  <c r="B1133" i="10"/>
  <c r="C1133" i="10"/>
  <c r="D1133" i="10"/>
  <c r="E1133" i="10"/>
  <c r="F1133" i="10"/>
  <c r="G1133" i="10"/>
  <c r="H1133" i="10"/>
  <c r="B1134" i="10"/>
  <c r="C1134" i="10"/>
  <c r="D1134" i="10"/>
  <c r="E1134" i="10"/>
  <c r="F1134" i="10"/>
  <c r="G1134" i="10"/>
  <c r="H1134" i="10"/>
  <c r="B1135" i="10"/>
  <c r="C1135" i="10"/>
  <c r="D1135" i="10"/>
  <c r="E1135" i="10"/>
  <c r="F1135" i="10"/>
  <c r="G1135" i="10"/>
  <c r="H1135" i="10"/>
  <c r="B1136" i="10"/>
  <c r="C1136" i="10"/>
  <c r="D1136" i="10"/>
  <c r="E1136" i="10"/>
  <c r="F1136" i="10"/>
  <c r="G1136" i="10"/>
  <c r="H1136" i="10"/>
  <c r="B1137" i="10"/>
  <c r="C1137" i="10"/>
  <c r="D1137" i="10"/>
  <c r="E1137" i="10"/>
  <c r="F1137" i="10"/>
  <c r="G1137" i="10"/>
  <c r="H1137" i="10"/>
  <c r="B1138" i="10"/>
  <c r="C1138" i="10"/>
  <c r="D1138" i="10"/>
  <c r="E1138" i="10"/>
  <c r="F1138" i="10"/>
  <c r="G1138" i="10"/>
  <c r="H1138" i="10"/>
  <c r="B1139" i="10"/>
  <c r="C1139" i="10"/>
  <c r="D1139" i="10"/>
  <c r="E1139" i="10"/>
  <c r="F1139" i="10"/>
  <c r="G1139" i="10"/>
  <c r="H1139" i="10"/>
  <c r="B1140" i="10"/>
  <c r="C1140" i="10"/>
  <c r="D1140" i="10"/>
  <c r="E1140" i="10"/>
  <c r="F1140" i="10"/>
  <c r="G1140" i="10"/>
  <c r="H1140" i="10"/>
  <c r="B1141" i="10"/>
  <c r="C1141" i="10"/>
  <c r="D1141" i="10"/>
  <c r="E1141" i="10"/>
  <c r="F1141" i="10"/>
  <c r="G1141" i="10"/>
  <c r="H1141" i="10"/>
  <c r="B1142" i="10"/>
  <c r="C1142" i="10"/>
  <c r="D1142" i="10"/>
  <c r="E1142" i="10"/>
  <c r="F1142" i="10"/>
  <c r="G1142" i="10"/>
  <c r="H1142" i="10"/>
  <c r="B1143" i="10"/>
  <c r="C1143" i="10"/>
  <c r="D1143" i="10"/>
  <c r="E1143" i="10"/>
  <c r="F1143" i="10"/>
  <c r="G1143" i="10"/>
  <c r="H1143" i="10"/>
  <c r="B1144" i="10"/>
  <c r="C1144" i="10"/>
  <c r="D1144" i="10"/>
  <c r="E1144" i="10"/>
  <c r="F1144" i="10"/>
  <c r="G1144" i="10"/>
  <c r="H1144" i="10"/>
  <c r="B1145" i="10"/>
  <c r="C1145" i="10"/>
  <c r="D1145" i="10"/>
  <c r="E1145" i="10"/>
  <c r="F1145" i="10"/>
  <c r="G1145" i="10"/>
  <c r="H1145" i="10"/>
  <c r="B1146" i="10"/>
  <c r="C1146" i="10"/>
  <c r="D1146" i="10"/>
  <c r="E1146" i="10"/>
  <c r="F1146" i="10"/>
  <c r="G1146" i="10"/>
  <c r="H1146" i="10"/>
  <c r="B1147" i="10"/>
  <c r="C1147" i="10"/>
  <c r="D1147" i="10"/>
  <c r="E1147" i="10"/>
  <c r="F1147" i="10"/>
  <c r="G1147" i="10"/>
  <c r="H1147" i="10"/>
  <c r="B1148" i="10"/>
  <c r="C1148" i="10"/>
  <c r="D1148" i="10"/>
  <c r="E1148" i="10"/>
  <c r="F1148" i="10"/>
  <c r="G1148" i="10"/>
  <c r="H1148" i="10"/>
  <c r="B1149" i="10"/>
  <c r="C1149" i="10"/>
  <c r="D1149" i="10"/>
  <c r="E1149" i="10"/>
  <c r="F1149" i="10"/>
  <c r="G1149" i="10"/>
  <c r="H1149" i="10"/>
  <c r="B1150" i="10"/>
  <c r="C1150" i="10"/>
  <c r="D1150" i="10"/>
  <c r="E1150" i="10"/>
  <c r="F1150" i="10"/>
  <c r="G1150" i="10"/>
  <c r="H1150" i="10"/>
  <c r="B1151" i="10"/>
  <c r="C1151" i="10"/>
  <c r="D1151" i="10"/>
  <c r="E1151" i="10"/>
  <c r="F1151" i="10"/>
  <c r="G1151" i="10"/>
  <c r="H1151" i="10"/>
  <c r="B1152" i="10"/>
  <c r="C1152" i="10"/>
  <c r="D1152" i="10"/>
  <c r="E1152" i="10"/>
  <c r="F1152" i="10"/>
  <c r="G1152" i="10"/>
  <c r="H1152" i="10"/>
  <c r="B1153" i="10"/>
  <c r="C1153" i="10"/>
  <c r="D1153" i="10"/>
  <c r="E1153" i="10"/>
  <c r="F1153" i="10"/>
  <c r="G1153" i="10"/>
  <c r="H1153" i="10"/>
  <c r="B1154" i="10"/>
  <c r="C1154" i="10"/>
  <c r="D1154" i="10"/>
  <c r="E1154" i="10"/>
  <c r="F1154" i="10"/>
  <c r="G1154" i="10"/>
  <c r="H1154" i="10"/>
  <c r="B1155" i="10"/>
  <c r="C1155" i="10"/>
  <c r="D1155" i="10"/>
  <c r="E1155" i="10"/>
  <c r="F1155" i="10"/>
  <c r="G1155" i="10"/>
  <c r="H1155" i="10"/>
  <c r="B1156" i="10"/>
  <c r="C1156" i="10"/>
  <c r="D1156" i="10"/>
  <c r="E1156" i="10"/>
  <c r="F1156" i="10"/>
  <c r="G1156" i="10"/>
  <c r="H1156" i="10"/>
  <c r="B1157" i="10"/>
  <c r="C1157" i="10"/>
  <c r="D1157" i="10"/>
  <c r="E1157" i="10"/>
  <c r="F1157" i="10"/>
  <c r="G1157" i="10"/>
  <c r="H1157" i="10"/>
  <c r="B1158" i="10"/>
  <c r="C1158" i="10"/>
  <c r="D1158" i="10"/>
  <c r="E1158" i="10"/>
  <c r="F1158" i="10"/>
  <c r="G1158" i="10"/>
  <c r="H1158" i="10"/>
  <c r="B1159" i="10"/>
  <c r="C1159" i="10"/>
  <c r="D1159" i="10"/>
  <c r="E1159" i="10"/>
  <c r="F1159" i="10"/>
  <c r="G1159" i="10"/>
  <c r="H1159" i="10"/>
  <c r="B1160" i="10"/>
  <c r="C1160" i="10"/>
  <c r="D1160" i="10"/>
  <c r="E1160" i="10"/>
  <c r="F1160" i="10"/>
  <c r="G1160" i="10"/>
  <c r="H1160" i="10"/>
  <c r="B1161" i="10"/>
  <c r="C1161" i="10"/>
  <c r="D1161" i="10"/>
  <c r="E1161" i="10"/>
  <c r="F1161" i="10"/>
  <c r="G1161" i="10"/>
  <c r="H1161" i="10"/>
  <c r="B1162" i="10"/>
  <c r="C1162" i="10"/>
  <c r="D1162" i="10"/>
  <c r="E1162" i="10"/>
  <c r="F1162" i="10"/>
  <c r="G1162" i="10"/>
  <c r="H1162" i="10"/>
  <c r="B1163" i="10"/>
  <c r="C1163" i="10"/>
  <c r="D1163" i="10"/>
  <c r="E1163" i="10"/>
  <c r="F1163" i="10"/>
  <c r="G1163" i="10"/>
  <c r="H1163" i="10"/>
  <c r="B1164" i="10"/>
  <c r="C1164" i="10"/>
  <c r="D1164" i="10"/>
  <c r="E1164" i="10"/>
  <c r="F1164" i="10"/>
  <c r="G1164" i="10"/>
  <c r="H1164" i="10"/>
  <c r="B1165" i="10"/>
  <c r="C1165" i="10"/>
  <c r="D1165" i="10"/>
  <c r="E1165" i="10"/>
  <c r="F1165" i="10"/>
  <c r="G1165" i="10"/>
  <c r="H1165" i="10"/>
  <c r="B1166" i="10"/>
  <c r="C1166" i="10"/>
  <c r="D1166" i="10"/>
  <c r="E1166" i="10"/>
  <c r="F1166" i="10"/>
  <c r="G1166" i="10"/>
  <c r="H1166" i="10"/>
  <c r="B1167" i="10"/>
  <c r="C1167" i="10"/>
  <c r="D1167" i="10"/>
  <c r="E1167" i="10"/>
  <c r="F1167" i="10"/>
  <c r="G1167" i="10"/>
  <c r="H1167" i="10"/>
  <c r="B1168" i="10"/>
  <c r="C1168" i="10"/>
  <c r="D1168" i="10"/>
  <c r="E1168" i="10"/>
  <c r="F1168" i="10"/>
  <c r="G1168" i="10"/>
  <c r="H1168" i="10"/>
  <c r="B1169" i="10"/>
  <c r="C1169" i="10"/>
  <c r="D1169" i="10"/>
  <c r="E1169" i="10"/>
  <c r="F1169" i="10"/>
  <c r="G1169" i="10"/>
  <c r="H1169" i="10"/>
  <c r="B1170" i="10"/>
  <c r="C1170" i="10"/>
  <c r="D1170" i="10"/>
  <c r="E1170" i="10"/>
  <c r="F1170" i="10"/>
  <c r="G1170" i="10"/>
  <c r="H1170" i="10"/>
  <c r="B1171" i="10"/>
  <c r="C1171" i="10"/>
  <c r="D1171" i="10"/>
  <c r="E1171" i="10"/>
  <c r="F1171" i="10"/>
  <c r="G1171" i="10"/>
  <c r="H1171" i="10"/>
  <c r="B1172" i="10"/>
  <c r="C1172" i="10"/>
  <c r="D1172" i="10"/>
  <c r="E1172" i="10"/>
  <c r="F1172" i="10"/>
  <c r="G1172" i="10"/>
  <c r="H1172" i="10"/>
  <c r="B1173" i="10"/>
  <c r="C1173" i="10"/>
  <c r="D1173" i="10"/>
  <c r="E1173" i="10"/>
  <c r="F1173" i="10"/>
  <c r="G1173" i="10"/>
  <c r="H1173" i="10"/>
  <c r="B1174" i="10"/>
  <c r="C1174" i="10"/>
  <c r="D1174" i="10"/>
  <c r="E1174" i="10"/>
  <c r="F1174" i="10"/>
  <c r="G1174" i="10"/>
  <c r="H1174" i="10"/>
  <c r="B1175" i="10"/>
  <c r="C1175" i="10"/>
  <c r="D1175" i="10"/>
  <c r="E1175" i="10"/>
  <c r="F1175" i="10"/>
  <c r="G1175" i="10"/>
  <c r="H1175" i="10"/>
  <c r="B1176" i="10"/>
  <c r="C1176" i="10"/>
  <c r="D1176" i="10"/>
  <c r="E1176" i="10"/>
  <c r="F1176" i="10"/>
  <c r="G1176" i="10"/>
  <c r="H1176" i="10"/>
  <c r="B1177" i="10"/>
  <c r="C1177" i="10"/>
  <c r="D1177" i="10"/>
  <c r="E1177" i="10"/>
  <c r="F1177" i="10"/>
  <c r="G1177" i="10"/>
  <c r="H1177" i="10"/>
  <c r="B1178" i="10"/>
  <c r="C1178" i="10"/>
  <c r="D1178" i="10"/>
  <c r="E1178" i="10"/>
  <c r="F1178" i="10"/>
  <c r="G1178" i="10"/>
  <c r="H1178" i="10"/>
  <c r="B1179" i="10"/>
  <c r="C1179" i="10"/>
  <c r="D1179" i="10"/>
  <c r="E1179" i="10"/>
  <c r="F1179" i="10"/>
  <c r="G1179" i="10"/>
  <c r="H1179" i="10"/>
  <c r="B1180" i="10"/>
  <c r="C1180" i="10"/>
  <c r="D1180" i="10"/>
  <c r="E1180" i="10"/>
  <c r="F1180" i="10"/>
  <c r="G1180" i="10"/>
  <c r="H1180" i="10"/>
  <c r="B1181" i="10"/>
  <c r="C1181" i="10"/>
  <c r="D1181" i="10"/>
  <c r="E1181" i="10"/>
  <c r="F1181" i="10"/>
  <c r="G1181" i="10"/>
  <c r="H1181" i="10"/>
  <c r="B1182" i="10"/>
  <c r="C1182" i="10"/>
  <c r="D1182" i="10"/>
  <c r="E1182" i="10"/>
  <c r="F1182" i="10"/>
  <c r="G1182" i="10"/>
  <c r="H1182" i="10"/>
  <c r="B1183" i="10"/>
  <c r="C1183" i="10"/>
  <c r="D1183" i="10"/>
  <c r="E1183" i="10"/>
  <c r="F1183" i="10"/>
  <c r="G1183" i="10"/>
  <c r="H1183" i="10"/>
  <c r="B1184" i="10"/>
  <c r="C1184" i="10"/>
  <c r="D1184" i="10"/>
  <c r="E1184" i="10"/>
  <c r="F1184" i="10"/>
  <c r="G1184" i="10"/>
  <c r="H1184" i="10"/>
  <c r="B1185" i="10"/>
  <c r="C1185" i="10"/>
  <c r="D1185" i="10"/>
  <c r="E1185" i="10"/>
  <c r="F1185" i="10"/>
  <c r="G1185" i="10"/>
  <c r="H1185" i="10"/>
  <c r="B1186" i="10"/>
  <c r="C1186" i="10"/>
  <c r="D1186" i="10"/>
  <c r="E1186" i="10"/>
  <c r="F1186" i="10"/>
  <c r="G1186" i="10"/>
  <c r="H1186" i="10"/>
  <c r="B1187" i="10"/>
  <c r="C1187" i="10"/>
  <c r="D1187" i="10"/>
  <c r="E1187" i="10"/>
  <c r="F1187" i="10"/>
  <c r="G1187" i="10"/>
  <c r="H1187" i="10"/>
  <c r="B1188" i="10"/>
  <c r="C1188" i="10"/>
  <c r="D1188" i="10"/>
  <c r="E1188" i="10"/>
  <c r="F1188" i="10"/>
  <c r="G1188" i="10"/>
  <c r="H1188" i="10"/>
  <c r="B1189" i="10"/>
  <c r="C1189" i="10"/>
  <c r="D1189" i="10"/>
  <c r="E1189" i="10"/>
  <c r="F1189" i="10"/>
  <c r="G1189" i="10"/>
  <c r="H1189" i="10"/>
  <c r="B1190" i="10"/>
  <c r="C1190" i="10"/>
  <c r="D1190" i="10"/>
  <c r="E1190" i="10"/>
  <c r="F1190" i="10"/>
  <c r="G1190" i="10"/>
  <c r="H1190" i="10"/>
  <c r="B1191" i="10"/>
  <c r="C1191" i="10"/>
  <c r="D1191" i="10"/>
  <c r="E1191" i="10"/>
  <c r="F1191" i="10"/>
  <c r="G1191" i="10"/>
  <c r="H1191" i="10"/>
  <c r="B1192" i="10"/>
  <c r="C1192" i="10"/>
  <c r="D1192" i="10"/>
  <c r="E1192" i="10"/>
  <c r="F1192" i="10"/>
  <c r="G1192" i="10"/>
  <c r="H1192" i="10"/>
  <c r="B1193" i="10"/>
  <c r="C1193" i="10"/>
  <c r="D1193" i="10"/>
  <c r="E1193" i="10"/>
  <c r="F1193" i="10"/>
  <c r="G1193" i="10"/>
  <c r="H1193" i="10"/>
  <c r="B1194" i="10"/>
  <c r="C1194" i="10"/>
  <c r="D1194" i="10"/>
  <c r="E1194" i="10"/>
  <c r="F1194" i="10"/>
  <c r="G1194" i="10"/>
  <c r="H1194" i="10"/>
  <c r="B1195" i="10"/>
  <c r="C1195" i="10"/>
  <c r="D1195" i="10"/>
  <c r="E1195" i="10"/>
  <c r="F1195" i="10"/>
  <c r="G1195" i="10"/>
  <c r="H1195" i="10"/>
  <c r="B1196" i="10"/>
  <c r="C1196" i="10"/>
  <c r="D1196" i="10"/>
  <c r="E1196" i="10"/>
  <c r="F1196" i="10"/>
  <c r="G1196" i="10"/>
  <c r="H1196" i="10"/>
  <c r="B1197" i="10"/>
  <c r="C1197" i="10"/>
  <c r="D1197" i="10"/>
  <c r="E1197" i="10"/>
  <c r="F1197" i="10"/>
  <c r="G1197" i="10"/>
  <c r="H1197" i="10"/>
  <c r="B1198" i="10"/>
  <c r="C1198" i="10"/>
  <c r="D1198" i="10"/>
  <c r="E1198" i="10"/>
  <c r="F1198" i="10"/>
  <c r="G1198" i="10"/>
  <c r="H1198" i="10"/>
  <c r="B1199" i="10"/>
  <c r="C1199" i="10"/>
  <c r="D1199" i="10"/>
  <c r="E1199" i="10"/>
  <c r="F1199" i="10"/>
  <c r="G1199" i="10"/>
  <c r="H1199" i="10"/>
  <c r="B1200" i="10"/>
  <c r="C1200" i="10"/>
  <c r="D1200" i="10"/>
  <c r="E1200" i="10"/>
  <c r="F1200" i="10"/>
  <c r="G1200" i="10"/>
  <c r="H1200" i="10"/>
  <c r="B1201" i="10"/>
  <c r="C1201" i="10"/>
  <c r="D1201" i="10"/>
  <c r="E1201" i="10"/>
  <c r="F1201" i="10"/>
  <c r="G1201" i="10"/>
  <c r="H1201" i="10"/>
  <c r="B1202" i="10"/>
  <c r="C1202" i="10"/>
  <c r="D1202" i="10"/>
  <c r="E1202" i="10"/>
  <c r="F1202" i="10"/>
  <c r="G1202" i="10"/>
  <c r="H1202" i="10"/>
  <c r="B1203" i="10"/>
  <c r="C1203" i="10"/>
  <c r="D1203" i="10"/>
  <c r="E1203" i="10"/>
  <c r="F1203" i="10"/>
  <c r="G1203" i="10"/>
  <c r="H1203" i="10"/>
  <c r="B1204" i="10"/>
  <c r="C1204" i="10"/>
  <c r="D1204" i="10"/>
  <c r="E1204" i="10"/>
  <c r="F1204" i="10"/>
  <c r="G1204" i="10"/>
  <c r="H1204" i="10"/>
  <c r="B1205" i="10"/>
  <c r="C1205" i="10"/>
  <c r="D1205" i="10"/>
  <c r="E1205" i="10"/>
  <c r="F1205" i="10"/>
  <c r="G1205" i="10"/>
  <c r="H1205" i="10"/>
  <c r="B1206" i="10"/>
  <c r="C1206" i="10"/>
  <c r="D1206" i="10"/>
  <c r="E1206" i="10"/>
  <c r="F1206" i="10"/>
  <c r="G1206" i="10"/>
  <c r="H1206" i="10"/>
  <c r="B1207" i="10"/>
  <c r="C1207" i="10"/>
  <c r="D1207" i="10"/>
  <c r="E1207" i="10"/>
  <c r="F1207" i="10"/>
  <c r="G1207" i="10"/>
  <c r="H1207" i="10"/>
  <c r="B1208" i="10"/>
  <c r="C1208" i="10"/>
  <c r="D1208" i="10"/>
  <c r="E1208" i="10"/>
  <c r="F1208" i="10"/>
  <c r="G1208" i="10"/>
  <c r="H1208" i="10"/>
  <c r="B1209" i="10"/>
  <c r="C1209" i="10"/>
  <c r="D1209" i="10"/>
  <c r="E1209" i="10"/>
  <c r="F1209" i="10"/>
  <c r="G1209" i="10"/>
  <c r="H1209" i="10"/>
  <c r="B1210" i="10"/>
  <c r="C1210" i="10"/>
  <c r="D1210" i="10"/>
  <c r="E1210" i="10"/>
  <c r="F1210" i="10"/>
  <c r="G1210" i="10"/>
  <c r="H1210" i="10"/>
  <c r="B1211" i="10"/>
  <c r="C1211" i="10"/>
  <c r="D1211" i="10"/>
  <c r="E1211" i="10"/>
  <c r="F1211" i="10"/>
  <c r="G1211" i="10"/>
  <c r="H1211" i="10"/>
  <c r="B1212" i="10"/>
  <c r="C1212" i="10"/>
  <c r="D1212" i="10"/>
  <c r="E1212" i="10"/>
  <c r="F1212" i="10"/>
  <c r="G1212" i="10"/>
  <c r="H1212" i="10"/>
  <c r="B1213" i="10"/>
  <c r="C1213" i="10"/>
  <c r="D1213" i="10"/>
  <c r="E1213" i="10"/>
  <c r="F1213" i="10"/>
  <c r="G1213" i="10"/>
  <c r="H1213" i="10"/>
  <c r="B1214" i="10"/>
  <c r="C1214" i="10"/>
  <c r="D1214" i="10"/>
  <c r="E1214" i="10"/>
  <c r="F1214" i="10"/>
  <c r="G1214" i="10"/>
  <c r="H1214" i="10"/>
  <c r="B1215" i="10"/>
  <c r="C1215" i="10"/>
  <c r="D1215" i="10"/>
  <c r="E1215" i="10"/>
  <c r="F1215" i="10"/>
  <c r="G1215" i="10"/>
  <c r="H1215" i="10"/>
  <c r="B1216" i="10"/>
  <c r="C1216" i="10"/>
  <c r="D1216" i="10"/>
  <c r="E1216" i="10"/>
  <c r="F1216" i="10"/>
  <c r="G1216" i="10"/>
  <c r="H1216" i="10"/>
  <c r="B1217" i="10"/>
  <c r="C1217" i="10"/>
  <c r="D1217" i="10"/>
  <c r="E1217" i="10"/>
  <c r="F1217" i="10"/>
  <c r="G1217" i="10"/>
  <c r="H1217" i="10"/>
  <c r="B1218" i="10"/>
  <c r="C1218" i="10"/>
  <c r="D1218" i="10"/>
  <c r="E1218" i="10"/>
  <c r="F1218" i="10"/>
  <c r="G1218" i="10"/>
  <c r="H1218" i="10"/>
  <c r="B1219" i="10"/>
  <c r="C1219" i="10"/>
  <c r="D1219" i="10"/>
  <c r="E1219" i="10"/>
  <c r="F1219" i="10"/>
  <c r="G1219" i="10"/>
  <c r="H1219" i="10"/>
  <c r="B1220" i="10"/>
  <c r="C1220" i="10"/>
  <c r="D1220" i="10"/>
  <c r="E1220" i="10"/>
  <c r="F1220" i="10"/>
  <c r="G1220" i="10"/>
  <c r="H1220" i="10"/>
  <c r="B1221" i="10"/>
  <c r="C1221" i="10"/>
  <c r="D1221" i="10"/>
  <c r="E1221" i="10"/>
  <c r="F1221" i="10"/>
  <c r="G1221" i="10"/>
  <c r="H1221" i="10"/>
  <c r="B1222" i="10"/>
  <c r="C1222" i="10"/>
  <c r="D1222" i="10"/>
  <c r="E1222" i="10"/>
  <c r="F1222" i="10"/>
  <c r="G1222" i="10"/>
  <c r="H1222" i="10"/>
  <c r="B1223" i="10"/>
  <c r="C1223" i="10"/>
  <c r="D1223" i="10"/>
  <c r="E1223" i="10"/>
  <c r="F1223" i="10"/>
  <c r="G1223" i="10"/>
  <c r="H1223" i="10"/>
  <c r="B1224" i="10"/>
  <c r="C1224" i="10"/>
  <c r="D1224" i="10"/>
  <c r="E1224" i="10"/>
  <c r="F1224" i="10"/>
  <c r="G1224" i="10"/>
  <c r="H1224" i="10"/>
  <c r="B1225" i="10"/>
  <c r="C1225" i="10"/>
  <c r="D1225" i="10"/>
  <c r="E1225" i="10"/>
  <c r="F1225" i="10"/>
  <c r="G1225" i="10"/>
  <c r="H1225" i="10"/>
  <c r="B1226" i="10"/>
  <c r="C1226" i="10"/>
  <c r="D1226" i="10"/>
  <c r="E1226" i="10"/>
  <c r="F1226" i="10"/>
  <c r="G1226" i="10"/>
  <c r="H1226" i="10"/>
  <c r="B1227" i="10"/>
  <c r="C1227" i="10"/>
  <c r="D1227" i="10"/>
  <c r="E1227" i="10"/>
  <c r="F1227" i="10"/>
  <c r="G1227" i="10"/>
  <c r="H1227" i="10"/>
  <c r="B1228" i="10"/>
  <c r="C1228" i="10"/>
  <c r="D1228" i="10"/>
  <c r="E1228" i="10"/>
  <c r="F1228" i="10"/>
  <c r="G1228" i="10"/>
  <c r="H1228" i="10"/>
  <c r="B1229" i="10"/>
  <c r="C1229" i="10"/>
  <c r="D1229" i="10"/>
  <c r="E1229" i="10"/>
  <c r="F1229" i="10"/>
  <c r="G1229" i="10"/>
  <c r="H1229" i="10"/>
  <c r="B1230" i="10"/>
  <c r="C1230" i="10"/>
  <c r="D1230" i="10"/>
  <c r="E1230" i="10"/>
  <c r="F1230" i="10"/>
  <c r="G1230" i="10"/>
  <c r="H1230" i="10"/>
  <c r="B1231" i="10"/>
  <c r="C1231" i="10"/>
  <c r="D1231" i="10"/>
  <c r="E1231" i="10"/>
  <c r="F1231" i="10"/>
  <c r="G1231" i="10"/>
  <c r="H1231" i="10"/>
  <c r="B1232" i="10"/>
  <c r="C1232" i="10"/>
  <c r="D1232" i="10"/>
  <c r="E1232" i="10"/>
  <c r="F1232" i="10"/>
  <c r="G1232" i="10"/>
  <c r="H1232" i="10"/>
  <c r="B1233" i="10"/>
  <c r="C1233" i="10"/>
  <c r="D1233" i="10"/>
  <c r="E1233" i="10"/>
  <c r="F1233" i="10"/>
  <c r="G1233" i="10"/>
  <c r="H1233" i="10"/>
  <c r="B1234" i="10"/>
  <c r="C1234" i="10"/>
  <c r="D1234" i="10"/>
  <c r="E1234" i="10"/>
  <c r="F1234" i="10"/>
  <c r="G1234" i="10"/>
  <c r="H1234" i="10"/>
  <c r="B1235" i="10"/>
  <c r="C1235" i="10"/>
  <c r="D1235" i="10"/>
  <c r="E1235" i="10"/>
  <c r="F1235" i="10"/>
  <c r="G1235" i="10"/>
  <c r="H1235" i="10"/>
  <c r="B1236" i="10"/>
  <c r="C1236" i="10"/>
  <c r="D1236" i="10"/>
  <c r="E1236" i="10"/>
  <c r="F1236" i="10"/>
  <c r="G1236" i="10"/>
  <c r="H1236" i="10"/>
  <c r="B1237" i="10"/>
  <c r="C1237" i="10"/>
  <c r="D1237" i="10"/>
  <c r="E1237" i="10"/>
  <c r="F1237" i="10"/>
  <c r="G1237" i="10"/>
  <c r="H1237" i="10"/>
  <c r="B1238" i="10"/>
  <c r="C1238" i="10"/>
  <c r="D1238" i="10"/>
  <c r="E1238" i="10"/>
  <c r="F1238" i="10"/>
  <c r="G1238" i="10"/>
  <c r="H1238" i="10"/>
  <c r="B1239" i="10"/>
  <c r="C1239" i="10"/>
  <c r="D1239" i="10"/>
  <c r="E1239" i="10"/>
  <c r="F1239" i="10"/>
  <c r="G1239" i="10"/>
  <c r="H1239" i="10"/>
  <c r="B1240" i="10"/>
  <c r="C1240" i="10"/>
  <c r="D1240" i="10"/>
  <c r="E1240" i="10"/>
  <c r="F1240" i="10"/>
  <c r="G1240" i="10"/>
  <c r="H1240" i="10"/>
  <c r="B1241" i="10"/>
  <c r="C1241" i="10"/>
  <c r="D1241" i="10"/>
  <c r="E1241" i="10"/>
  <c r="F1241" i="10"/>
  <c r="G1241" i="10"/>
  <c r="H1241" i="10"/>
  <c r="B1242" i="10"/>
  <c r="C1242" i="10"/>
  <c r="D1242" i="10"/>
  <c r="E1242" i="10"/>
  <c r="F1242" i="10"/>
  <c r="G1242" i="10"/>
  <c r="H1242" i="10"/>
  <c r="B1243" i="10"/>
  <c r="C1243" i="10"/>
  <c r="D1243" i="10"/>
  <c r="E1243" i="10"/>
  <c r="F1243" i="10"/>
  <c r="G1243" i="10"/>
  <c r="H1243" i="10"/>
  <c r="B1244" i="10"/>
  <c r="C1244" i="10"/>
  <c r="D1244" i="10"/>
  <c r="E1244" i="10"/>
  <c r="F1244" i="10"/>
  <c r="G1244" i="10"/>
  <c r="H1244" i="10"/>
  <c r="B1245" i="10"/>
  <c r="C1245" i="10"/>
  <c r="D1245" i="10"/>
  <c r="E1245" i="10"/>
  <c r="F1245" i="10"/>
  <c r="G1245" i="10"/>
  <c r="H1245" i="10"/>
  <c r="B1246" i="10"/>
  <c r="C1246" i="10"/>
  <c r="D1246" i="10"/>
  <c r="E1246" i="10"/>
  <c r="F1246" i="10"/>
  <c r="G1246" i="10"/>
  <c r="H1246" i="10"/>
  <c r="B1247" i="10"/>
  <c r="C1247" i="10"/>
  <c r="D1247" i="10"/>
  <c r="E1247" i="10"/>
  <c r="F1247" i="10"/>
  <c r="G1247" i="10"/>
  <c r="H1247" i="10"/>
  <c r="B1248" i="10"/>
  <c r="C1248" i="10"/>
  <c r="D1248" i="10"/>
  <c r="E1248" i="10"/>
  <c r="F1248" i="10"/>
  <c r="G1248" i="10"/>
  <c r="H1248" i="10"/>
  <c r="B1249" i="10"/>
  <c r="C1249" i="10"/>
  <c r="D1249" i="10"/>
  <c r="E1249" i="10"/>
  <c r="F1249" i="10"/>
  <c r="G1249" i="10"/>
  <c r="H1249" i="10"/>
  <c r="B1250" i="10"/>
  <c r="C1250" i="10"/>
  <c r="D1250" i="10"/>
  <c r="E1250" i="10"/>
  <c r="F1250" i="10"/>
  <c r="G1250" i="10"/>
  <c r="H1250" i="10"/>
  <c r="B1251" i="10"/>
  <c r="C1251" i="10"/>
  <c r="D1251" i="10"/>
  <c r="E1251" i="10"/>
  <c r="F1251" i="10"/>
  <c r="G1251" i="10"/>
  <c r="H1251" i="10"/>
  <c r="B1252" i="10"/>
  <c r="C1252" i="10"/>
  <c r="D1252" i="10"/>
  <c r="E1252" i="10"/>
  <c r="F1252" i="10"/>
  <c r="G1252" i="10"/>
  <c r="H1252" i="10"/>
  <c r="B1253" i="10"/>
  <c r="C1253" i="10"/>
  <c r="D1253" i="10"/>
  <c r="E1253" i="10"/>
  <c r="F1253" i="10"/>
  <c r="G1253" i="10"/>
  <c r="H1253" i="10"/>
  <c r="B1254" i="10"/>
  <c r="C1254" i="10"/>
  <c r="D1254" i="10"/>
  <c r="E1254" i="10"/>
  <c r="F1254" i="10"/>
  <c r="G1254" i="10"/>
  <c r="H1254" i="10"/>
  <c r="B1255" i="10"/>
  <c r="C1255" i="10"/>
  <c r="D1255" i="10"/>
  <c r="E1255" i="10"/>
  <c r="F1255" i="10"/>
  <c r="G1255" i="10"/>
  <c r="H1255" i="10"/>
  <c r="B1256" i="10"/>
  <c r="C1256" i="10"/>
  <c r="D1256" i="10"/>
  <c r="E1256" i="10"/>
  <c r="F1256" i="10"/>
  <c r="G1256" i="10"/>
  <c r="H1256" i="10"/>
  <c r="B1257" i="10"/>
  <c r="C1257" i="10"/>
  <c r="D1257" i="10"/>
  <c r="E1257" i="10"/>
  <c r="F1257" i="10"/>
  <c r="G1257" i="10"/>
  <c r="H1257" i="10"/>
  <c r="B1258" i="10"/>
  <c r="C1258" i="10"/>
  <c r="D1258" i="10"/>
  <c r="E1258" i="10"/>
  <c r="F1258" i="10"/>
  <c r="G1258" i="10"/>
  <c r="H1258" i="10"/>
  <c r="B1259" i="10"/>
  <c r="C1259" i="10"/>
  <c r="D1259" i="10"/>
  <c r="E1259" i="10"/>
  <c r="F1259" i="10"/>
  <c r="G1259" i="10"/>
  <c r="H1259" i="10"/>
  <c r="B1260" i="10"/>
  <c r="C1260" i="10"/>
  <c r="D1260" i="10"/>
  <c r="E1260" i="10"/>
  <c r="F1260" i="10"/>
  <c r="G1260" i="10"/>
  <c r="H1260" i="10"/>
  <c r="B1261" i="10"/>
  <c r="C1261" i="10"/>
  <c r="D1261" i="10"/>
  <c r="E1261" i="10"/>
  <c r="F1261" i="10"/>
  <c r="G1261" i="10"/>
  <c r="H1261" i="10"/>
  <c r="B1262" i="10"/>
  <c r="C1262" i="10"/>
  <c r="D1262" i="10"/>
  <c r="E1262" i="10"/>
  <c r="F1262" i="10"/>
  <c r="G1262" i="10"/>
  <c r="H1262" i="10"/>
  <c r="B1263" i="10"/>
  <c r="C1263" i="10"/>
  <c r="D1263" i="10"/>
  <c r="E1263" i="10"/>
  <c r="F1263" i="10"/>
  <c r="G1263" i="10"/>
  <c r="H1263" i="10"/>
  <c r="B1264" i="10"/>
  <c r="C1264" i="10"/>
  <c r="D1264" i="10"/>
  <c r="E1264" i="10"/>
  <c r="F1264" i="10"/>
  <c r="G1264" i="10"/>
  <c r="H1264" i="10"/>
  <c r="B1265" i="10"/>
  <c r="C1265" i="10"/>
  <c r="D1265" i="10"/>
  <c r="E1265" i="10"/>
  <c r="F1265" i="10"/>
  <c r="G1265" i="10"/>
  <c r="H1265" i="10"/>
  <c r="B1266" i="10"/>
  <c r="C1266" i="10"/>
  <c r="D1266" i="10"/>
  <c r="E1266" i="10"/>
  <c r="F1266" i="10"/>
  <c r="G1266" i="10"/>
  <c r="H1266" i="10"/>
  <c r="B1267" i="10"/>
  <c r="C1267" i="10"/>
  <c r="D1267" i="10"/>
  <c r="E1267" i="10"/>
  <c r="F1267" i="10"/>
  <c r="G1267" i="10"/>
  <c r="H1267" i="10"/>
  <c r="B1268" i="10"/>
  <c r="C1268" i="10"/>
  <c r="D1268" i="10"/>
  <c r="E1268" i="10"/>
  <c r="F1268" i="10"/>
  <c r="G1268" i="10"/>
  <c r="H1268" i="10"/>
  <c r="B1269" i="10"/>
  <c r="C1269" i="10"/>
  <c r="D1269" i="10"/>
  <c r="E1269" i="10"/>
  <c r="F1269" i="10"/>
  <c r="G1269" i="10"/>
  <c r="H1269" i="10"/>
  <c r="B1270" i="10"/>
  <c r="C1270" i="10"/>
  <c r="D1270" i="10"/>
  <c r="E1270" i="10"/>
  <c r="F1270" i="10"/>
  <c r="G1270" i="10"/>
  <c r="H1270" i="10"/>
  <c r="B1271" i="10"/>
  <c r="C1271" i="10"/>
  <c r="D1271" i="10"/>
  <c r="E1271" i="10"/>
  <c r="F1271" i="10"/>
  <c r="G1271" i="10"/>
  <c r="H1271" i="10"/>
  <c r="B1272" i="10"/>
  <c r="C1272" i="10"/>
  <c r="D1272" i="10"/>
  <c r="E1272" i="10"/>
  <c r="F1272" i="10"/>
  <c r="G1272" i="10"/>
  <c r="H1272" i="10"/>
  <c r="B1273" i="10"/>
  <c r="C1273" i="10"/>
  <c r="D1273" i="10"/>
  <c r="E1273" i="10"/>
  <c r="F1273" i="10"/>
  <c r="G1273" i="10"/>
  <c r="H1273" i="10"/>
  <c r="B1274" i="10"/>
  <c r="C1274" i="10"/>
  <c r="D1274" i="10"/>
  <c r="E1274" i="10"/>
  <c r="F1274" i="10"/>
  <c r="G1274" i="10"/>
  <c r="H1274" i="10"/>
  <c r="B1275" i="10"/>
  <c r="C1275" i="10"/>
  <c r="D1275" i="10"/>
  <c r="E1275" i="10"/>
  <c r="F1275" i="10"/>
  <c r="G1275" i="10"/>
  <c r="H1275" i="10"/>
  <c r="B1276" i="10"/>
  <c r="C1276" i="10"/>
  <c r="D1276" i="10"/>
  <c r="E1276" i="10"/>
  <c r="F1276" i="10"/>
  <c r="G1276" i="10"/>
  <c r="H1276" i="10"/>
  <c r="B1277" i="10"/>
  <c r="C1277" i="10"/>
  <c r="D1277" i="10"/>
  <c r="E1277" i="10"/>
  <c r="F1277" i="10"/>
  <c r="G1277" i="10"/>
  <c r="H1277" i="10"/>
  <c r="B1278" i="10"/>
  <c r="C1278" i="10"/>
  <c r="D1278" i="10"/>
  <c r="E1278" i="10"/>
  <c r="F1278" i="10"/>
  <c r="G1278" i="10"/>
  <c r="H1278" i="10"/>
  <c r="B1279" i="10"/>
  <c r="C1279" i="10"/>
  <c r="D1279" i="10"/>
  <c r="E1279" i="10"/>
  <c r="F1279" i="10"/>
  <c r="G1279" i="10"/>
  <c r="H1279" i="10"/>
  <c r="B1280" i="10"/>
  <c r="C1280" i="10"/>
  <c r="D1280" i="10"/>
  <c r="E1280" i="10"/>
  <c r="F1280" i="10"/>
  <c r="G1280" i="10"/>
  <c r="H1280" i="10"/>
  <c r="B1281" i="10"/>
  <c r="C1281" i="10"/>
  <c r="D1281" i="10"/>
  <c r="E1281" i="10"/>
  <c r="F1281" i="10"/>
  <c r="G1281" i="10"/>
  <c r="H1281" i="10"/>
  <c r="B1282" i="10"/>
  <c r="C1282" i="10"/>
  <c r="D1282" i="10"/>
  <c r="E1282" i="10"/>
  <c r="F1282" i="10"/>
  <c r="G1282" i="10"/>
  <c r="H1282" i="10"/>
  <c r="B1283" i="10"/>
  <c r="C1283" i="10"/>
  <c r="D1283" i="10"/>
  <c r="E1283" i="10"/>
  <c r="F1283" i="10"/>
  <c r="G1283" i="10"/>
  <c r="H1283" i="10"/>
  <c r="B1284" i="10"/>
  <c r="C1284" i="10"/>
  <c r="D1284" i="10"/>
  <c r="E1284" i="10"/>
  <c r="F1284" i="10"/>
  <c r="G1284" i="10"/>
  <c r="H1284" i="10"/>
  <c r="B1285" i="10"/>
  <c r="C1285" i="10"/>
  <c r="D1285" i="10"/>
  <c r="E1285" i="10"/>
  <c r="F1285" i="10"/>
  <c r="G1285" i="10"/>
  <c r="H1285" i="10"/>
  <c r="B1286" i="10"/>
  <c r="C1286" i="10"/>
  <c r="D1286" i="10"/>
  <c r="E1286" i="10"/>
  <c r="F1286" i="10"/>
  <c r="G1286" i="10"/>
  <c r="H1286" i="10"/>
  <c r="B1287" i="10"/>
  <c r="C1287" i="10"/>
  <c r="D1287" i="10"/>
  <c r="E1287" i="10"/>
  <c r="F1287" i="10"/>
  <c r="G1287" i="10"/>
  <c r="H1287" i="10"/>
  <c r="B1288" i="10"/>
  <c r="C1288" i="10"/>
  <c r="D1288" i="10"/>
  <c r="E1288" i="10"/>
  <c r="F1288" i="10"/>
  <c r="G1288" i="10"/>
  <c r="H1288" i="10"/>
  <c r="B1289" i="10"/>
  <c r="C1289" i="10"/>
  <c r="D1289" i="10"/>
  <c r="E1289" i="10"/>
  <c r="F1289" i="10"/>
  <c r="G1289" i="10"/>
  <c r="H1289" i="10"/>
  <c r="B1290" i="10"/>
  <c r="C1290" i="10"/>
  <c r="D1290" i="10"/>
  <c r="E1290" i="10"/>
  <c r="F1290" i="10"/>
  <c r="G1290" i="10"/>
  <c r="H1290" i="10"/>
  <c r="B1291" i="10"/>
  <c r="C1291" i="10"/>
  <c r="D1291" i="10"/>
  <c r="E1291" i="10"/>
  <c r="F1291" i="10"/>
  <c r="G1291" i="10"/>
  <c r="H1291" i="10"/>
  <c r="B1292" i="10"/>
  <c r="C1292" i="10"/>
  <c r="D1292" i="10"/>
  <c r="E1292" i="10"/>
  <c r="F1292" i="10"/>
  <c r="G1292" i="10"/>
  <c r="H1292" i="10"/>
  <c r="B1293" i="10"/>
  <c r="C1293" i="10"/>
  <c r="D1293" i="10"/>
  <c r="E1293" i="10"/>
  <c r="F1293" i="10"/>
  <c r="G1293" i="10"/>
  <c r="H1293" i="10"/>
  <c r="B1294" i="10"/>
  <c r="C1294" i="10"/>
  <c r="D1294" i="10"/>
  <c r="E1294" i="10"/>
  <c r="F1294" i="10"/>
  <c r="G1294" i="10"/>
  <c r="H1294" i="10"/>
  <c r="B1295" i="10"/>
  <c r="C1295" i="10"/>
  <c r="D1295" i="10"/>
  <c r="E1295" i="10"/>
  <c r="F1295" i="10"/>
  <c r="G1295" i="10"/>
  <c r="H1295" i="10"/>
  <c r="B1296" i="10"/>
  <c r="C1296" i="10"/>
  <c r="D1296" i="10"/>
  <c r="E1296" i="10"/>
  <c r="F1296" i="10"/>
  <c r="G1296" i="10"/>
  <c r="H1296" i="10"/>
  <c r="B1297" i="10"/>
  <c r="C1297" i="10"/>
  <c r="D1297" i="10"/>
  <c r="E1297" i="10"/>
  <c r="F1297" i="10"/>
  <c r="G1297" i="10"/>
  <c r="H1297" i="10"/>
  <c r="B1298" i="10"/>
  <c r="C1298" i="10"/>
  <c r="D1298" i="10"/>
  <c r="E1298" i="10"/>
  <c r="F1298" i="10"/>
  <c r="G1298" i="10"/>
  <c r="H1298" i="10"/>
  <c r="B1299" i="10"/>
  <c r="C1299" i="10"/>
  <c r="D1299" i="10"/>
  <c r="E1299" i="10"/>
  <c r="F1299" i="10"/>
  <c r="G1299" i="10"/>
  <c r="H1299" i="10"/>
  <c r="B1300" i="10"/>
  <c r="C1300" i="10"/>
  <c r="D1300" i="10"/>
  <c r="E1300" i="10"/>
  <c r="F1300" i="10"/>
  <c r="G1300" i="10"/>
  <c r="H1300" i="10"/>
  <c r="B1301" i="10"/>
  <c r="C1301" i="10"/>
  <c r="D1301" i="10"/>
  <c r="E1301" i="10"/>
  <c r="F1301" i="10"/>
  <c r="G1301" i="10"/>
  <c r="H1301" i="10"/>
  <c r="B1302" i="10"/>
  <c r="C1302" i="10"/>
  <c r="D1302" i="10"/>
  <c r="E1302" i="10"/>
  <c r="F1302" i="10"/>
  <c r="G1302" i="10"/>
  <c r="H1302" i="10"/>
  <c r="B1303" i="10"/>
  <c r="C1303" i="10"/>
  <c r="D1303" i="10"/>
  <c r="E1303" i="10"/>
  <c r="F1303" i="10"/>
  <c r="G1303" i="10"/>
  <c r="H1303" i="10"/>
  <c r="B1304" i="10"/>
  <c r="C1304" i="10"/>
  <c r="D1304" i="10"/>
  <c r="E1304" i="10"/>
  <c r="F1304" i="10"/>
  <c r="G1304" i="10"/>
  <c r="H1304" i="10"/>
  <c r="B1305" i="10"/>
  <c r="C1305" i="10"/>
  <c r="D1305" i="10"/>
  <c r="E1305" i="10"/>
  <c r="F1305" i="10"/>
  <c r="G1305" i="10"/>
  <c r="H1305" i="10"/>
  <c r="B1306" i="10"/>
  <c r="C1306" i="10"/>
  <c r="D1306" i="10"/>
  <c r="E1306" i="10"/>
  <c r="F1306" i="10"/>
  <c r="G1306" i="10"/>
  <c r="H1306" i="10"/>
  <c r="B1307" i="10"/>
  <c r="C1307" i="10"/>
  <c r="D1307" i="10"/>
  <c r="E1307" i="10"/>
  <c r="F1307" i="10"/>
  <c r="G1307" i="10"/>
  <c r="H1307" i="10"/>
  <c r="B1308" i="10"/>
  <c r="C1308" i="10"/>
  <c r="D1308" i="10"/>
  <c r="E1308" i="10"/>
  <c r="F1308" i="10"/>
  <c r="G1308" i="10"/>
  <c r="H1308" i="10"/>
  <c r="B1309" i="10"/>
  <c r="C1309" i="10"/>
  <c r="D1309" i="10"/>
  <c r="E1309" i="10"/>
  <c r="F1309" i="10"/>
  <c r="G1309" i="10"/>
  <c r="H1309" i="10"/>
  <c r="B1310" i="10"/>
  <c r="C1310" i="10"/>
  <c r="D1310" i="10"/>
  <c r="E1310" i="10"/>
  <c r="F1310" i="10"/>
  <c r="G1310" i="10"/>
  <c r="H1310" i="10"/>
  <c r="B1311" i="10"/>
  <c r="C1311" i="10"/>
  <c r="D1311" i="10"/>
  <c r="E1311" i="10"/>
  <c r="F1311" i="10"/>
  <c r="G1311" i="10"/>
  <c r="H1311" i="10"/>
  <c r="B1312" i="10"/>
  <c r="C1312" i="10"/>
  <c r="D1312" i="10"/>
  <c r="E1312" i="10"/>
  <c r="F1312" i="10"/>
  <c r="G1312" i="10"/>
  <c r="H1312" i="10"/>
  <c r="B1313" i="10"/>
  <c r="C1313" i="10"/>
  <c r="D1313" i="10"/>
  <c r="E1313" i="10"/>
  <c r="F1313" i="10"/>
  <c r="G1313" i="10"/>
  <c r="H1313" i="10"/>
  <c r="B1314" i="10"/>
  <c r="C1314" i="10"/>
  <c r="D1314" i="10"/>
  <c r="E1314" i="10"/>
  <c r="F1314" i="10"/>
  <c r="G1314" i="10"/>
  <c r="H1314" i="10"/>
  <c r="B1315" i="10"/>
  <c r="C1315" i="10"/>
  <c r="D1315" i="10"/>
  <c r="E1315" i="10"/>
  <c r="F1315" i="10"/>
  <c r="G1315" i="10"/>
  <c r="H1315" i="10"/>
  <c r="B1316" i="10"/>
  <c r="C1316" i="10"/>
  <c r="D1316" i="10"/>
  <c r="E1316" i="10"/>
  <c r="F1316" i="10"/>
  <c r="G1316" i="10"/>
  <c r="H1316" i="10"/>
  <c r="B1317" i="10"/>
  <c r="C1317" i="10"/>
  <c r="D1317" i="10"/>
  <c r="E1317" i="10"/>
  <c r="F1317" i="10"/>
  <c r="G1317" i="10"/>
  <c r="H1317" i="10"/>
  <c r="B1318" i="10"/>
  <c r="C1318" i="10"/>
  <c r="D1318" i="10"/>
  <c r="E1318" i="10"/>
  <c r="F1318" i="10"/>
  <c r="G1318" i="10"/>
  <c r="H1318" i="10"/>
  <c r="B1319" i="10"/>
  <c r="C1319" i="10"/>
  <c r="D1319" i="10"/>
  <c r="E1319" i="10"/>
  <c r="F1319" i="10"/>
  <c r="G1319" i="10"/>
  <c r="H1319" i="10"/>
  <c r="B1320" i="10"/>
  <c r="C1320" i="10"/>
  <c r="D1320" i="10"/>
  <c r="E1320" i="10"/>
  <c r="F1320" i="10"/>
  <c r="G1320" i="10"/>
  <c r="H1320" i="10"/>
  <c r="B1321" i="10"/>
  <c r="C1321" i="10"/>
  <c r="D1321" i="10"/>
  <c r="E1321" i="10"/>
  <c r="F1321" i="10"/>
  <c r="G1321" i="10"/>
  <c r="H1321" i="10"/>
  <c r="B1322" i="10"/>
  <c r="C1322" i="10"/>
  <c r="D1322" i="10"/>
  <c r="E1322" i="10"/>
  <c r="F1322" i="10"/>
  <c r="G1322" i="10"/>
  <c r="H1322" i="10"/>
  <c r="B1323" i="10"/>
  <c r="C1323" i="10"/>
  <c r="D1323" i="10"/>
  <c r="E1323" i="10"/>
  <c r="F1323" i="10"/>
  <c r="G1323" i="10"/>
  <c r="H1323" i="10"/>
  <c r="B1324" i="10"/>
  <c r="C1324" i="10"/>
  <c r="D1324" i="10"/>
  <c r="E1324" i="10"/>
  <c r="F1324" i="10"/>
  <c r="G1324" i="10"/>
  <c r="H1324" i="10"/>
  <c r="B1325" i="10"/>
  <c r="C1325" i="10"/>
  <c r="D1325" i="10"/>
  <c r="E1325" i="10"/>
  <c r="F1325" i="10"/>
  <c r="G1325" i="10"/>
  <c r="H1325" i="10"/>
  <c r="B1326" i="10"/>
  <c r="C1326" i="10"/>
  <c r="D1326" i="10"/>
  <c r="E1326" i="10"/>
  <c r="F1326" i="10"/>
  <c r="G1326" i="10"/>
  <c r="H1326" i="10"/>
  <c r="B1327" i="10"/>
  <c r="C1327" i="10"/>
  <c r="D1327" i="10"/>
  <c r="E1327" i="10"/>
  <c r="F1327" i="10"/>
  <c r="G1327" i="10"/>
  <c r="H1327" i="10"/>
  <c r="B1328" i="10"/>
  <c r="C1328" i="10"/>
  <c r="D1328" i="10"/>
  <c r="E1328" i="10"/>
  <c r="F1328" i="10"/>
  <c r="G1328" i="10"/>
  <c r="H1328" i="10"/>
  <c r="B1329" i="10"/>
  <c r="C1329" i="10"/>
  <c r="D1329" i="10"/>
  <c r="E1329" i="10"/>
  <c r="F1329" i="10"/>
  <c r="G1329" i="10"/>
  <c r="H1329" i="10"/>
  <c r="B1330" i="10"/>
  <c r="C1330" i="10"/>
  <c r="D1330" i="10"/>
  <c r="E1330" i="10"/>
  <c r="F1330" i="10"/>
  <c r="G1330" i="10"/>
  <c r="H1330" i="10"/>
  <c r="B1331" i="10"/>
  <c r="C1331" i="10"/>
  <c r="D1331" i="10"/>
  <c r="E1331" i="10"/>
  <c r="F1331" i="10"/>
  <c r="G1331" i="10"/>
  <c r="H1331" i="10"/>
  <c r="B1332" i="10"/>
  <c r="C1332" i="10"/>
  <c r="D1332" i="10"/>
  <c r="E1332" i="10"/>
  <c r="F1332" i="10"/>
  <c r="G1332" i="10"/>
  <c r="H1332" i="10"/>
  <c r="B1333" i="10"/>
  <c r="C1333" i="10"/>
  <c r="D1333" i="10"/>
  <c r="E1333" i="10"/>
  <c r="F1333" i="10"/>
  <c r="G1333" i="10"/>
  <c r="H1333" i="10"/>
  <c r="B1334" i="10"/>
  <c r="C1334" i="10"/>
  <c r="D1334" i="10"/>
  <c r="E1334" i="10"/>
  <c r="F1334" i="10"/>
  <c r="G1334" i="10"/>
  <c r="H1334" i="10"/>
  <c r="B1335" i="10"/>
  <c r="C1335" i="10"/>
  <c r="D1335" i="10"/>
  <c r="E1335" i="10"/>
  <c r="F1335" i="10"/>
  <c r="G1335" i="10"/>
  <c r="H1335" i="10"/>
  <c r="B1336" i="10"/>
  <c r="C1336" i="10"/>
  <c r="D1336" i="10"/>
  <c r="E1336" i="10"/>
  <c r="F1336" i="10"/>
  <c r="G1336" i="10"/>
  <c r="H1336" i="10"/>
  <c r="B1337" i="10"/>
  <c r="C1337" i="10"/>
  <c r="D1337" i="10"/>
  <c r="E1337" i="10"/>
  <c r="F1337" i="10"/>
  <c r="G1337" i="10"/>
  <c r="H1337" i="10"/>
  <c r="B1338" i="10"/>
  <c r="C1338" i="10"/>
  <c r="D1338" i="10"/>
  <c r="E1338" i="10"/>
  <c r="F1338" i="10"/>
  <c r="G1338" i="10"/>
  <c r="H1338" i="10"/>
  <c r="B1339" i="10"/>
  <c r="C1339" i="10"/>
  <c r="D1339" i="10"/>
  <c r="E1339" i="10"/>
  <c r="F1339" i="10"/>
  <c r="G1339" i="10"/>
  <c r="H1339" i="10"/>
  <c r="B1340" i="10"/>
  <c r="C1340" i="10"/>
  <c r="D1340" i="10"/>
  <c r="E1340" i="10"/>
  <c r="F1340" i="10"/>
  <c r="G1340" i="10"/>
  <c r="H1340" i="10"/>
  <c r="B1341" i="10"/>
  <c r="C1341" i="10"/>
  <c r="D1341" i="10"/>
  <c r="E1341" i="10"/>
  <c r="F1341" i="10"/>
  <c r="G1341" i="10"/>
  <c r="H1341" i="10"/>
  <c r="B1342" i="10"/>
  <c r="C1342" i="10"/>
  <c r="D1342" i="10"/>
  <c r="E1342" i="10"/>
  <c r="F1342" i="10"/>
  <c r="G1342" i="10"/>
  <c r="H1342" i="10"/>
  <c r="B1343" i="10"/>
  <c r="C1343" i="10"/>
  <c r="D1343" i="10"/>
  <c r="E1343" i="10"/>
  <c r="F1343" i="10"/>
  <c r="G1343" i="10"/>
  <c r="H1343" i="10"/>
  <c r="B1344" i="10"/>
  <c r="C1344" i="10"/>
  <c r="D1344" i="10"/>
  <c r="E1344" i="10"/>
  <c r="F1344" i="10"/>
  <c r="G1344" i="10"/>
  <c r="H1344" i="10"/>
  <c r="B1345" i="10"/>
  <c r="C1345" i="10"/>
  <c r="D1345" i="10"/>
  <c r="E1345" i="10"/>
  <c r="F1345" i="10"/>
  <c r="G1345" i="10"/>
  <c r="H1345" i="10"/>
  <c r="B1346" i="10"/>
  <c r="C1346" i="10"/>
  <c r="D1346" i="10"/>
  <c r="E1346" i="10"/>
  <c r="F1346" i="10"/>
  <c r="G1346" i="10"/>
  <c r="H1346" i="10"/>
  <c r="B1347" i="10"/>
  <c r="C1347" i="10"/>
  <c r="D1347" i="10"/>
  <c r="E1347" i="10"/>
  <c r="F1347" i="10"/>
  <c r="G1347" i="10"/>
  <c r="H1347" i="10"/>
  <c r="B1348" i="10"/>
  <c r="C1348" i="10"/>
  <c r="D1348" i="10"/>
  <c r="E1348" i="10"/>
  <c r="F1348" i="10"/>
  <c r="G1348" i="10"/>
  <c r="H1348" i="10"/>
  <c r="B1349" i="10"/>
  <c r="C1349" i="10"/>
  <c r="D1349" i="10"/>
  <c r="E1349" i="10"/>
  <c r="F1349" i="10"/>
  <c r="G1349" i="10"/>
  <c r="H1349" i="10"/>
  <c r="B1350" i="10"/>
  <c r="C1350" i="10"/>
  <c r="D1350" i="10"/>
  <c r="E1350" i="10"/>
  <c r="F1350" i="10"/>
  <c r="G1350" i="10"/>
  <c r="H1350" i="10"/>
  <c r="B1351" i="10"/>
  <c r="C1351" i="10"/>
  <c r="D1351" i="10"/>
  <c r="E1351" i="10"/>
  <c r="F1351" i="10"/>
  <c r="G1351" i="10"/>
  <c r="H1351" i="10"/>
  <c r="B1352" i="10"/>
  <c r="C1352" i="10"/>
  <c r="D1352" i="10"/>
  <c r="E1352" i="10"/>
  <c r="F1352" i="10"/>
  <c r="G1352" i="10"/>
  <c r="H1352" i="10"/>
  <c r="B1353" i="10"/>
  <c r="C1353" i="10"/>
  <c r="D1353" i="10"/>
  <c r="E1353" i="10"/>
  <c r="F1353" i="10"/>
  <c r="G1353" i="10"/>
  <c r="H1353" i="10"/>
  <c r="B1354" i="10"/>
  <c r="C1354" i="10"/>
  <c r="D1354" i="10"/>
  <c r="E1354" i="10"/>
  <c r="F1354" i="10"/>
  <c r="G1354" i="10"/>
  <c r="H1354" i="10"/>
  <c r="B1355" i="10"/>
  <c r="C1355" i="10"/>
  <c r="D1355" i="10"/>
  <c r="E1355" i="10"/>
  <c r="F1355" i="10"/>
  <c r="G1355" i="10"/>
  <c r="H1355" i="10"/>
  <c r="B1356" i="10"/>
  <c r="C1356" i="10"/>
  <c r="D1356" i="10"/>
  <c r="E1356" i="10"/>
  <c r="F1356" i="10"/>
  <c r="G1356" i="10"/>
  <c r="H1356" i="10"/>
  <c r="B1357" i="10"/>
  <c r="C1357" i="10"/>
  <c r="D1357" i="10"/>
  <c r="E1357" i="10"/>
  <c r="F1357" i="10"/>
  <c r="G1357" i="10"/>
  <c r="H1357" i="10"/>
  <c r="B1358" i="10"/>
  <c r="C1358" i="10"/>
  <c r="D1358" i="10"/>
  <c r="E1358" i="10"/>
  <c r="F1358" i="10"/>
  <c r="G1358" i="10"/>
  <c r="H1358" i="10"/>
  <c r="B1359" i="10"/>
  <c r="C1359" i="10"/>
  <c r="D1359" i="10"/>
  <c r="E1359" i="10"/>
  <c r="F1359" i="10"/>
  <c r="G1359" i="10"/>
  <c r="H1359" i="10"/>
  <c r="B1360" i="10"/>
  <c r="C1360" i="10"/>
  <c r="D1360" i="10"/>
  <c r="E1360" i="10"/>
  <c r="F1360" i="10"/>
  <c r="G1360" i="10"/>
  <c r="H1360" i="10"/>
  <c r="B1361" i="10"/>
  <c r="C1361" i="10"/>
  <c r="D1361" i="10"/>
  <c r="E1361" i="10"/>
  <c r="F1361" i="10"/>
  <c r="G1361" i="10"/>
  <c r="H1361" i="10"/>
  <c r="B1362" i="10"/>
  <c r="C1362" i="10"/>
  <c r="D1362" i="10"/>
  <c r="E1362" i="10"/>
  <c r="F1362" i="10"/>
  <c r="G1362" i="10"/>
  <c r="H1362" i="10"/>
  <c r="B1363" i="10"/>
  <c r="C1363" i="10"/>
  <c r="D1363" i="10"/>
  <c r="E1363" i="10"/>
  <c r="F1363" i="10"/>
  <c r="G1363" i="10"/>
  <c r="H1363" i="10"/>
  <c r="B1364" i="10"/>
  <c r="C1364" i="10"/>
  <c r="D1364" i="10"/>
  <c r="E1364" i="10"/>
  <c r="F1364" i="10"/>
  <c r="G1364" i="10"/>
  <c r="H1364" i="10"/>
  <c r="B1365" i="10"/>
  <c r="C1365" i="10"/>
  <c r="D1365" i="10"/>
  <c r="E1365" i="10"/>
  <c r="F1365" i="10"/>
  <c r="G1365" i="10"/>
  <c r="H1365" i="10"/>
  <c r="B1366" i="10"/>
  <c r="C1366" i="10"/>
  <c r="D1366" i="10"/>
  <c r="E1366" i="10"/>
  <c r="F1366" i="10"/>
  <c r="G1366" i="10"/>
  <c r="H1366" i="10"/>
  <c r="B1367" i="10"/>
  <c r="C1367" i="10"/>
  <c r="D1367" i="10"/>
  <c r="E1367" i="10"/>
  <c r="F1367" i="10"/>
  <c r="G1367" i="10"/>
  <c r="H1367" i="10"/>
  <c r="B1368" i="10"/>
  <c r="C1368" i="10"/>
  <c r="D1368" i="10"/>
  <c r="E1368" i="10"/>
  <c r="F1368" i="10"/>
  <c r="G1368" i="10"/>
  <c r="H1368" i="10"/>
  <c r="B1369" i="10"/>
  <c r="C1369" i="10"/>
  <c r="D1369" i="10"/>
  <c r="E1369" i="10"/>
  <c r="F1369" i="10"/>
  <c r="G1369" i="10"/>
  <c r="H1369" i="10"/>
  <c r="B1370" i="10"/>
  <c r="C1370" i="10"/>
  <c r="D1370" i="10"/>
  <c r="E1370" i="10"/>
  <c r="F1370" i="10"/>
  <c r="G1370" i="10"/>
  <c r="H1370" i="10"/>
  <c r="B1371" i="10"/>
  <c r="C1371" i="10"/>
  <c r="D1371" i="10"/>
  <c r="E1371" i="10"/>
  <c r="F1371" i="10"/>
  <c r="G1371" i="10"/>
  <c r="H1371" i="10"/>
  <c r="B1372" i="10"/>
  <c r="C1372" i="10"/>
  <c r="D1372" i="10"/>
  <c r="E1372" i="10"/>
  <c r="F1372" i="10"/>
  <c r="G1372" i="10"/>
  <c r="H1372" i="10"/>
  <c r="B1373" i="10"/>
  <c r="C1373" i="10"/>
  <c r="D1373" i="10"/>
  <c r="E1373" i="10"/>
  <c r="F1373" i="10"/>
  <c r="G1373" i="10"/>
  <c r="H1373" i="10"/>
  <c r="B1374" i="10"/>
  <c r="C1374" i="10"/>
  <c r="D1374" i="10"/>
  <c r="E1374" i="10"/>
  <c r="F1374" i="10"/>
  <c r="G1374" i="10"/>
  <c r="H1374" i="10"/>
  <c r="B1375" i="10"/>
  <c r="C1375" i="10"/>
  <c r="D1375" i="10"/>
  <c r="E1375" i="10"/>
  <c r="F1375" i="10"/>
  <c r="G1375" i="10"/>
  <c r="H1375" i="10"/>
  <c r="B1376" i="10"/>
  <c r="C1376" i="10"/>
  <c r="D1376" i="10"/>
  <c r="E1376" i="10"/>
  <c r="F1376" i="10"/>
  <c r="G1376" i="10"/>
  <c r="H1376" i="10"/>
  <c r="B1377" i="10"/>
  <c r="C1377" i="10"/>
  <c r="D1377" i="10"/>
  <c r="E1377" i="10"/>
  <c r="F1377" i="10"/>
  <c r="G1377" i="10"/>
  <c r="H1377" i="10"/>
  <c r="B1378" i="10"/>
  <c r="C1378" i="10"/>
  <c r="D1378" i="10"/>
  <c r="E1378" i="10"/>
  <c r="F1378" i="10"/>
  <c r="G1378" i="10"/>
  <c r="H1378" i="10"/>
  <c r="B1379" i="10"/>
  <c r="C1379" i="10"/>
  <c r="D1379" i="10"/>
  <c r="E1379" i="10"/>
  <c r="F1379" i="10"/>
  <c r="G1379" i="10"/>
  <c r="H1379" i="10"/>
  <c r="B1380" i="10"/>
  <c r="C1380" i="10"/>
  <c r="D1380" i="10"/>
  <c r="E1380" i="10"/>
  <c r="F1380" i="10"/>
  <c r="G1380" i="10"/>
  <c r="H1380" i="10"/>
  <c r="B1381" i="10"/>
  <c r="C1381" i="10"/>
  <c r="D1381" i="10"/>
  <c r="E1381" i="10"/>
  <c r="F1381" i="10"/>
  <c r="G1381" i="10"/>
  <c r="H1381" i="10"/>
  <c r="B1382" i="10"/>
  <c r="C1382" i="10"/>
  <c r="D1382" i="10"/>
  <c r="E1382" i="10"/>
  <c r="F1382" i="10"/>
  <c r="G1382" i="10"/>
  <c r="H1382" i="10"/>
  <c r="B1383" i="10"/>
  <c r="C1383" i="10"/>
  <c r="D1383" i="10"/>
  <c r="E1383" i="10"/>
  <c r="F1383" i="10"/>
  <c r="G1383" i="10"/>
  <c r="H1383" i="10"/>
  <c r="B1384" i="10"/>
  <c r="C1384" i="10"/>
  <c r="D1384" i="10"/>
  <c r="E1384" i="10"/>
  <c r="F1384" i="10"/>
  <c r="G1384" i="10"/>
  <c r="H1384" i="10"/>
  <c r="B1385" i="10"/>
  <c r="C1385" i="10"/>
  <c r="D1385" i="10"/>
  <c r="E1385" i="10"/>
  <c r="F1385" i="10"/>
  <c r="G1385" i="10"/>
  <c r="H1385" i="10"/>
  <c r="B1386" i="10"/>
  <c r="C1386" i="10"/>
  <c r="D1386" i="10"/>
  <c r="E1386" i="10"/>
  <c r="F1386" i="10"/>
  <c r="G1386" i="10"/>
  <c r="H1386" i="10"/>
  <c r="B1387" i="10"/>
  <c r="C1387" i="10"/>
  <c r="D1387" i="10"/>
  <c r="E1387" i="10"/>
  <c r="F1387" i="10"/>
  <c r="G1387" i="10"/>
  <c r="H1387" i="10"/>
  <c r="B1388" i="10"/>
  <c r="C1388" i="10"/>
  <c r="D1388" i="10"/>
  <c r="E1388" i="10"/>
  <c r="F1388" i="10"/>
  <c r="G1388" i="10"/>
  <c r="H1388" i="10"/>
  <c r="B1389" i="10"/>
  <c r="C1389" i="10"/>
  <c r="D1389" i="10"/>
  <c r="E1389" i="10"/>
  <c r="F1389" i="10"/>
  <c r="G1389" i="10"/>
  <c r="H1389" i="10"/>
  <c r="B1390" i="10"/>
  <c r="C1390" i="10"/>
  <c r="D1390" i="10"/>
  <c r="E1390" i="10"/>
  <c r="F1390" i="10"/>
  <c r="G1390" i="10"/>
  <c r="H1390" i="10"/>
  <c r="B1391" i="10"/>
  <c r="C1391" i="10"/>
  <c r="D1391" i="10"/>
  <c r="E1391" i="10"/>
  <c r="F1391" i="10"/>
  <c r="G1391" i="10"/>
  <c r="H1391" i="10"/>
  <c r="B1392" i="10"/>
  <c r="C1392" i="10"/>
  <c r="D1392" i="10"/>
  <c r="E1392" i="10"/>
  <c r="F1392" i="10"/>
  <c r="G1392" i="10"/>
  <c r="H1392" i="10"/>
  <c r="B1393" i="10"/>
  <c r="C1393" i="10"/>
  <c r="D1393" i="10"/>
  <c r="E1393" i="10"/>
  <c r="F1393" i="10"/>
  <c r="G1393" i="10"/>
  <c r="H1393" i="10"/>
  <c r="B1394" i="10"/>
  <c r="C1394" i="10"/>
  <c r="D1394" i="10"/>
  <c r="E1394" i="10"/>
  <c r="F1394" i="10"/>
  <c r="G1394" i="10"/>
  <c r="H1394" i="10"/>
  <c r="B1395" i="10"/>
  <c r="C1395" i="10"/>
  <c r="D1395" i="10"/>
  <c r="E1395" i="10"/>
  <c r="F1395" i="10"/>
  <c r="G1395" i="10"/>
  <c r="H1395" i="10"/>
  <c r="B1396" i="10"/>
  <c r="C1396" i="10"/>
  <c r="D1396" i="10"/>
  <c r="E1396" i="10"/>
  <c r="F1396" i="10"/>
  <c r="G1396" i="10"/>
  <c r="H1396" i="10"/>
  <c r="B1397" i="10"/>
  <c r="C1397" i="10"/>
  <c r="D1397" i="10"/>
  <c r="E1397" i="10"/>
  <c r="F1397" i="10"/>
  <c r="G1397" i="10"/>
  <c r="H1397" i="10"/>
  <c r="B1398" i="10"/>
  <c r="C1398" i="10"/>
  <c r="D1398" i="10"/>
  <c r="E1398" i="10"/>
  <c r="F1398" i="10"/>
  <c r="G1398" i="10"/>
  <c r="H1398" i="10"/>
  <c r="B1399" i="10"/>
  <c r="C1399" i="10"/>
  <c r="D1399" i="10"/>
  <c r="E1399" i="10"/>
  <c r="F1399" i="10"/>
  <c r="G1399" i="10"/>
  <c r="H1399" i="10"/>
  <c r="B1400" i="10"/>
  <c r="C1400" i="10"/>
  <c r="D1400" i="10"/>
  <c r="E1400" i="10"/>
  <c r="F1400" i="10"/>
  <c r="G1400" i="10"/>
  <c r="H1400" i="10"/>
  <c r="B1401" i="10"/>
  <c r="C1401" i="10"/>
  <c r="D1401" i="10"/>
  <c r="E1401" i="10"/>
  <c r="F1401" i="10"/>
  <c r="G1401" i="10"/>
  <c r="H1401" i="10"/>
  <c r="B1402" i="10"/>
  <c r="C1402" i="10"/>
  <c r="D1402" i="10"/>
  <c r="E1402" i="10"/>
  <c r="F1402" i="10"/>
  <c r="G1402" i="10"/>
  <c r="H1402" i="10"/>
  <c r="B1403" i="10"/>
  <c r="C1403" i="10"/>
  <c r="D1403" i="10"/>
  <c r="E1403" i="10"/>
  <c r="F1403" i="10"/>
  <c r="G1403" i="10"/>
  <c r="H1403" i="10"/>
  <c r="B1404" i="10"/>
  <c r="C1404" i="10"/>
  <c r="D1404" i="10"/>
  <c r="E1404" i="10"/>
  <c r="F1404" i="10"/>
  <c r="G1404" i="10"/>
  <c r="H1404" i="10"/>
  <c r="B1405" i="10"/>
  <c r="C1405" i="10"/>
  <c r="D1405" i="10"/>
  <c r="E1405" i="10"/>
  <c r="F1405" i="10"/>
  <c r="G1405" i="10"/>
  <c r="H1405" i="10"/>
  <c r="B1406" i="10"/>
  <c r="C1406" i="10"/>
  <c r="D1406" i="10"/>
  <c r="E1406" i="10"/>
  <c r="F1406" i="10"/>
  <c r="G1406" i="10"/>
  <c r="H1406" i="10"/>
  <c r="B1407" i="10"/>
  <c r="C1407" i="10"/>
  <c r="D1407" i="10"/>
  <c r="E1407" i="10"/>
  <c r="F1407" i="10"/>
  <c r="G1407" i="10"/>
  <c r="H1407" i="10"/>
  <c r="B1408" i="10"/>
  <c r="C1408" i="10"/>
  <c r="D1408" i="10"/>
  <c r="E1408" i="10"/>
  <c r="F1408" i="10"/>
  <c r="G1408" i="10"/>
  <c r="H1408" i="10"/>
  <c r="B1409" i="10"/>
  <c r="C1409" i="10"/>
  <c r="D1409" i="10"/>
  <c r="E1409" i="10"/>
  <c r="F1409" i="10"/>
  <c r="G1409" i="10"/>
  <c r="H1409" i="10"/>
  <c r="B1410" i="10"/>
  <c r="C1410" i="10"/>
  <c r="D1410" i="10"/>
  <c r="E1410" i="10"/>
  <c r="F1410" i="10"/>
  <c r="G1410" i="10"/>
  <c r="H1410" i="10"/>
  <c r="B1411" i="10"/>
  <c r="C1411" i="10"/>
  <c r="D1411" i="10"/>
  <c r="E1411" i="10"/>
  <c r="F1411" i="10"/>
  <c r="G1411" i="10"/>
  <c r="H1411" i="10"/>
  <c r="B1412" i="10"/>
  <c r="C1412" i="10"/>
  <c r="D1412" i="10"/>
  <c r="E1412" i="10"/>
  <c r="F1412" i="10"/>
  <c r="G1412" i="10"/>
  <c r="H1412" i="10"/>
  <c r="B1413" i="10"/>
  <c r="C1413" i="10"/>
  <c r="D1413" i="10"/>
  <c r="E1413" i="10"/>
  <c r="F1413" i="10"/>
  <c r="G1413" i="10"/>
  <c r="H1413" i="10"/>
  <c r="B1414" i="10"/>
  <c r="C1414" i="10"/>
  <c r="D1414" i="10"/>
  <c r="E1414" i="10"/>
  <c r="F1414" i="10"/>
  <c r="G1414" i="10"/>
  <c r="H1414" i="10"/>
  <c r="B1415" i="10"/>
  <c r="C1415" i="10"/>
  <c r="D1415" i="10"/>
  <c r="E1415" i="10"/>
  <c r="F1415" i="10"/>
  <c r="G1415" i="10"/>
  <c r="H1415" i="10"/>
  <c r="B1416" i="10"/>
  <c r="C1416" i="10"/>
  <c r="D1416" i="10"/>
  <c r="E1416" i="10"/>
  <c r="F1416" i="10"/>
  <c r="G1416" i="10"/>
  <c r="H1416" i="10"/>
  <c r="B1417" i="10"/>
  <c r="C1417" i="10"/>
  <c r="D1417" i="10"/>
  <c r="E1417" i="10"/>
  <c r="F1417" i="10"/>
  <c r="G1417" i="10"/>
  <c r="H1417" i="10"/>
  <c r="B1418" i="10"/>
  <c r="C1418" i="10"/>
  <c r="D1418" i="10"/>
  <c r="E1418" i="10"/>
  <c r="F1418" i="10"/>
  <c r="G1418" i="10"/>
  <c r="H1418" i="10"/>
  <c r="B1419" i="10"/>
  <c r="C1419" i="10"/>
  <c r="D1419" i="10"/>
  <c r="E1419" i="10"/>
  <c r="F1419" i="10"/>
  <c r="G1419" i="10"/>
  <c r="H1419" i="10"/>
  <c r="B1420" i="10"/>
  <c r="C1420" i="10"/>
  <c r="D1420" i="10"/>
  <c r="E1420" i="10"/>
  <c r="F1420" i="10"/>
  <c r="G1420" i="10"/>
  <c r="H1420" i="10"/>
  <c r="B1421" i="10"/>
  <c r="C1421" i="10"/>
  <c r="D1421" i="10"/>
  <c r="E1421" i="10"/>
  <c r="F1421" i="10"/>
  <c r="G1421" i="10"/>
  <c r="H1421" i="10"/>
  <c r="B1422" i="10"/>
  <c r="C1422" i="10"/>
  <c r="D1422" i="10"/>
  <c r="E1422" i="10"/>
  <c r="F1422" i="10"/>
  <c r="G1422" i="10"/>
  <c r="H1422" i="10"/>
  <c r="B1423" i="10"/>
  <c r="C1423" i="10"/>
  <c r="D1423" i="10"/>
  <c r="E1423" i="10"/>
  <c r="F1423" i="10"/>
  <c r="G1423" i="10"/>
  <c r="H1423" i="10"/>
  <c r="B1424" i="10"/>
  <c r="C1424" i="10"/>
  <c r="D1424" i="10"/>
  <c r="E1424" i="10"/>
  <c r="F1424" i="10"/>
  <c r="G1424" i="10"/>
  <c r="H1424" i="10"/>
  <c r="B1425" i="10"/>
  <c r="C1425" i="10"/>
  <c r="D1425" i="10"/>
  <c r="E1425" i="10"/>
  <c r="F1425" i="10"/>
  <c r="G1425" i="10"/>
  <c r="H1425" i="10"/>
  <c r="B1426" i="10"/>
  <c r="C1426" i="10"/>
  <c r="D1426" i="10"/>
  <c r="E1426" i="10"/>
  <c r="F1426" i="10"/>
  <c r="G1426" i="10"/>
  <c r="H1426" i="10"/>
  <c r="B1427" i="10"/>
  <c r="C1427" i="10"/>
  <c r="D1427" i="10"/>
  <c r="E1427" i="10"/>
  <c r="F1427" i="10"/>
  <c r="G1427" i="10"/>
  <c r="H1427" i="10"/>
  <c r="B1428" i="10"/>
  <c r="C1428" i="10"/>
  <c r="D1428" i="10"/>
  <c r="E1428" i="10"/>
  <c r="F1428" i="10"/>
  <c r="G1428" i="10"/>
  <c r="H1428" i="10"/>
  <c r="B1429" i="10"/>
  <c r="C1429" i="10"/>
  <c r="D1429" i="10"/>
  <c r="E1429" i="10"/>
  <c r="F1429" i="10"/>
  <c r="G1429" i="10"/>
  <c r="H1429" i="10"/>
  <c r="B1430" i="10"/>
  <c r="C1430" i="10"/>
  <c r="D1430" i="10"/>
  <c r="E1430" i="10"/>
  <c r="F1430" i="10"/>
  <c r="G1430" i="10"/>
  <c r="H1430" i="10"/>
  <c r="B1431" i="10"/>
  <c r="C1431" i="10"/>
  <c r="D1431" i="10"/>
  <c r="E1431" i="10"/>
  <c r="F1431" i="10"/>
  <c r="G1431" i="10"/>
  <c r="H1431" i="10"/>
  <c r="B1432" i="10"/>
  <c r="C1432" i="10"/>
  <c r="D1432" i="10"/>
  <c r="E1432" i="10"/>
  <c r="F1432" i="10"/>
  <c r="G1432" i="10"/>
  <c r="H1432" i="10"/>
  <c r="B1433" i="10"/>
  <c r="C1433" i="10"/>
  <c r="D1433" i="10"/>
  <c r="E1433" i="10"/>
  <c r="F1433" i="10"/>
  <c r="G1433" i="10"/>
  <c r="H1433" i="10"/>
  <c r="B1434" i="10"/>
  <c r="C1434" i="10"/>
  <c r="D1434" i="10"/>
  <c r="E1434" i="10"/>
  <c r="F1434" i="10"/>
  <c r="G1434" i="10"/>
  <c r="H1434" i="10"/>
  <c r="B1435" i="10"/>
  <c r="C1435" i="10"/>
  <c r="D1435" i="10"/>
  <c r="E1435" i="10"/>
  <c r="F1435" i="10"/>
  <c r="G1435" i="10"/>
  <c r="H1435" i="10"/>
  <c r="B1436" i="10"/>
  <c r="C1436" i="10"/>
  <c r="D1436" i="10"/>
  <c r="E1436" i="10"/>
  <c r="F1436" i="10"/>
  <c r="G1436" i="10"/>
  <c r="H1436" i="10"/>
  <c r="B1437" i="10"/>
  <c r="C1437" i="10"/>
  <c r="D1437" i="10"/>
  <c r="E1437" i="10"/>
  <c r="F1437" i="10"/>
  <c r="G1437" i="10"/>
  <c r="H1437" i="10"/>
  <c r="B1438" i="10"/>
  <c r="C1438" i="10"/>
  <c r="D1438" i="10"/>
  <c r="E1438" i="10"/>
  <c r="F1438" i="10"/>
  <c r="G1438" i="10"/>
  <c r="H1438" i="10"/>
  <c r="B1439" i="10"/>
  <c r="C1439" i="10"/>
  <c r="D1439" i="10"/>
  <c r="E1439" i="10"/>
  <c r="F1439" i="10"/>
  <c r="G1439" i="10"/>
  <c r="H1439" i="10"/>
  <c r="B1440" i="10"/>
  <c r="C1440" i="10"/>
  <c r="D1440" i="10"/>
  <c r="E1440" i="10"/>
  <c r="F1440" i="10"/>
  <c r="G1440" i="10"/>
  <c r="H1440" i="10"/>
  <c r="B1441" i="10"/>
  <c r="C1441" i="10"/>
  <c r="D1441" i="10"/>
  <c r="E1441" i="10"/>
  <c r="F1441" i="10"/>
  <c r="G1441" i="10"/>
  <c r="H1441" i="10"/>
  <c r="B1442" i="10"/>
  <c r="C1442" i="10"/>
  <c r="D1442" i="10"/>
  <c r="E1442" i="10"/>
  <c r="F1442" i="10"/>
  <c r="G1442" i="10"/>
  <c r="H1442" i="10"/>
  <c r="B1443" i="10"/>
  <c r="C1443" i="10"/>
  <c r="D1443" i="10"/>
  <c r="E1443" i="10"/>
  <c r="F1443" i="10"/>
  <c r="G1443" i="10"/>
  <c r="H1443" i="10"/>
  <c r="B1444" i="10"/>
  <c r="C1444" i="10"/>
  <c r="D1444" i="10"/>
  <c r="E1444" i="10"/>
  <c r="F1444" i="10"/>
  <c r="G1444" i="10"/>
  <c r="H1444" i="10"/>
  <c r="B1445" i="10"/>
  <c r="C1445" i="10"/>
  <c r="D1445" i="10"/>
  <c r="E1445" i="10"/>
  <c r="F1445" i="10"/>
  <c r="G1445" i="10"/>
  <c r="H1445" i="10"/>
  <c r="B1446" i="10"/>
  <c r="C1446" i="10"/>
  <c r="D1446" i="10"/>
  <c r="E1446" i="10"/>
  <c r="F1446" i="10"/>
  <c r="G1446" i="10"/>
  <c r="H1446" i="10"/>
  <c r="B1447" i="10"/>
  <c r="C1447" i="10"/>
  <c r="D1447" i="10"/>
  <c r="E1447" i="10"/>
  <c r="F1447" i="10"/>
  <c r="G1447" i="10"/>
  <c r="H1447" i="10"/>
  <c r="B1448" i="10"/>
  <c r="C1448" i="10"/>
  <c r="D1448" i="10"/>
  <c r="E1448" i="10"/>
  <c r="F1448" i="10"/>
  <c r="G1448" i="10"/>
  <c r="H1448" i="10"/>
  <c r="B1449" i="10"/>
  <c r="C1449" i="10"/>
  <c r="D1449" i="10"/>
  <c r="E1449" i="10"/>
  <c r="F1449" i="10"/>
  <c r="G1449" i="10"/>
  <c r="H1449" i="10"/>
  <c r="B1450" i="10"/>
  <c r="C1450" i="10"/>
  <c r="D1450" i="10"/>
  <c r="E1450" i="10"/>
  <c r="F1450" i="10"/>
  <c r="G1450" i="10"/>
  <c r="H1450" i="10"/>
  <c r="B1451" i="10"/>
  <c r="C1451" i="10"/>
  <c r="D1451" i="10"/>
  <c r="E1451" i="10"/>
  <c r="F1451" i="10"/>
  <c r="G1451" i="10"/>
  <c r="H1451" i="10"/>
  <c r="B1452" i="10"/>
  <c r="C1452" i="10"/>
  <c r="D1452" i="10"/>
  <c r="E1452" i="10"/>
  <c r="F1452" i="10"/>
  <c r="G1452" i="10"/>
  <c r="H1452" i="10"/>
  <c r="B1453" i="10"/>
  <c r="C1453" i="10"/>
  <c r="D1453" i="10"/>
  <c r="E1453" i="10"/>
  <c r="F1453" i="10"/>
  <c r="G1453" i="10"/>
  <c r="H1453" i="10"/>
  <c r="B1454" i="10"/>
  <c r="C1454" i="10"/>
  <c r="D1454" i="10"/>
  <c r="E1454" i="10"/>
  <c r="F1454" i="10"/>
  <c r="G1454" i="10"/>
  <c r="H1454" i="10"/>
  <c r="B1455" i="10"/>
  <c r="C1455" i="10"/>
  <c r="D1455" i="10"/>
  <c r="E1455" i="10"/>
  <c r="F1455" i="10"/>
  <c r="G1455" i="10"/>
  <c r="H1455" i="10"/>
  <c r="B1456" i="10"/>
  <c r="C1456" i="10"/>
  <c r="D1456" i="10"/>
  <c r="E1456" i="10"/>
  <c r="F1456" i="10"/>
  <c r="G1456" i="10"/>
  <c r="H1456" i="10"/>
  <c r="B1457" i="10"/>
  <c r="C1457" i="10"/>
  <c r="D1457" i="10"/>
  <c r="E1457" i="10"/>
  <c r="F1457" i="10"/>
  <c r="G1457" i="10"/>
  <c r="H1457" i="10"/>
  <c r="B1458" i="10"/>
  <c r="C1458" i="10"/>
  <c r="D1458" i="10"/>
  <c r="E1458" i="10"/>
  <c r="F1458" i="10"/>
  <c r="G1458" i="10"/>
  <c r="H1458" i="10"/>
  <c r="B1459" i="10"/>
  <c r="C1459" i="10"/>
  <c r="D1459" i="10"/>
  <c r="E1459" i="10"/>
  <c r="F1459" i="10"/>
  <c r="G1459" i="10"/>
  <c r="H1459" i="10"/>
  <c r="B1460" i="10"/>
  <c r="C1460" i="10"/>
  <c r="D1460" i="10"/>
  <c r="E1460" i="10"/>
  <c r="F1460" i="10"/>
  <c r="G1460" i="10"/>
  <c r="H1460" i="10"/>
  <c r="B1461" i="10"/>
  <c r="C1461" i="10"/>
  <c r="D1461" i="10"/>
  <c r="E1461" i="10"/>
  <c r="F1461" i="10"/>
  <c r="G1461" i="10"/>
  <c r="H1461" i="10"/>
  <c r="B1462" i="10"/>
  <c r="C1462" i="10"/>
  <c r="D1462" i="10"/>
  <c r="E1462" i="10"/>
  <c r="F1462" i="10"/>
  <c r="G1462" i="10"/>
  <c r="H1462" i="10"/>
  <c r="B1463" i="10"/>
  <c r="C1463" i="10"/>
  <c r="D1463" i="10"/>
  <c r="E1463" i="10"/>
  <c r="F1463" i="10"/>
  <c r="G1463" i="10"/>
  <c r="H1463" i="10"/>
  <c r="B1464" i="10"/>
  <c r="C1464" i="10"/>
  <c r="D1464" i="10"/>
  <c r="E1464" i="10"/>
  <c r="F1464" i="10"/>
  <c r="G1464" i="10"/>
  <c r="H1464" i="10"/>
  <c r="B1465" i="10"/>
  <c r="C1465" i="10"/>
  <c r="D1465" i="10"/>
  <c r="E1465" i="10"/>
  <c r="F1465" i="10"/>
  <c r="G1465" i="10"/>
  <c r="H1465" i="10"/>
  <c r="B1466" i="10"/>
  <c r="C1466" i="10"/>
  <c r="D1466" i="10"/>
  <c r="E1466" i="10"/>
  <c r="F1466" i="10"/>
  <c r="G1466" i="10"/>
  <c r="H1466" i="10"/>
  <c r="B1467" i="10"/>
  <c r="C1467" i="10"/>
  <c r="D1467" i="10"/>
  <c r="E1467" i="10"/>
  <c r="F1467" i="10"/>
  <c r="G1467" i="10"/>
  <c r="H1467" i="10"/>
  <c r="B1468" i="10"/>
  <c r="C1468" i="10"/>
  <c r="D1468" i="10"/>
  <c r="E1468" i="10"/>
  <c r="F1468" i="10"/>
  <c r="G1468" i="10"/>
  <c r="H1468" i="10"/>
  <c r="B1469" i="10"/>
  <c r="C1469" i="10"/>
  <c r="D1469" i="10"/>
  <c r="E1469" i="10"/>
  <c r="F1469" i="10"/>
  <c r="G1469" i="10"/>
  <c r="H1469" i="10"/>
  <c r="B1470" i="10"/>
  <c r="C1470" i="10"/>
  <c r="D1470" i="10"/>
  <c r="E1470" i="10"/>
  <c r="F1470" i="10"/>
  <c r="G1470" i="10"/>
  <c r="H1470" i="10"/>
  <c r="B1471" i="10"/>
  <c r="C1471" i="10"/>
  <c r="D1471" i="10"/>
  <c r="E1471" i="10"/>
  <c r="F1471" i="10"/>
  <c r="G1471" i="10"/>
  <c r="H1471" i="10"/>
  <c r="B1472" i="10"/>
  <c r="C1472" i="10"/>
  <c r="D1472" i="10"/>
  <c r="E1472" i="10"/>
  <c r="F1472" i="10"/>
  <c r="G1472" i="10"/>
  <c r="H1472" i="10"/>
  <c r="B1473" i="10"/>
  <c r="C1473" i="10"/>
  <c r="D1473" i="10"/>
  <c r="E1473" i="10"/>
  <c r="F1473" i="10"/>
  <c r="G1473" i="10"/>
  <c r="H1473" i="10"/>
  <c r="B1474" i="10"/>
  <c r="C1474" i="10"/>
  <c r="D1474" i="10"/>
  <c r="E1474" i="10"/>
  <c r="F1474" i="10"/>
  <c r="G1474" i="10"/>
  <c r="H1474" i="10"/>
  <c r="B1475" i="10"/>
  <c r="C1475" i="10"/>
  <c r="D1475" i="10"/>
  <c r="E1475" i="10"/>
  <c r="F1475" i="10"/>
  <c r="G1475" i="10"/>
  <c r="H1475" i="10"/>
  <c r="B1476" i="10"/>
  <c r="C1476" i="10"/>
  <c r="D1476" i="10"/>
  <c r="E1476" i="10"/>
  <c r="F1476" i="10"/>
  <c r="G1476" i="10"/>
  <c r="H1476" i="10"/>
  <c r="B1477" i="10"/>
  <c r="C1477" i="10"/>
  <c r="D1477" i="10"/>
  <c r="E1477" i="10"/>
  <c r="F1477" i="10"/>
  <c r="G1477" i="10"/>
  <c r="H1477" i="10"/>
  <c r="B1478" i="10"/>
  <c r="C1478" i="10"/>
  <c r="D1478" i="10"/>
  <c r="E1478" i="10"/>
  <c r="F1478" i="10"/>
  <c r="G1478" i="10"/>
  <c r="H1478" i="10"/>
  <c r="B1479" i="10"/>
  <c r="C1479" i="10"/>
  <c r="D1479" i="10"/>
  <c r="E1479" i="10"/>
  <c r="F1479" i="10"/>
  <c r="G1479" i="10"/>
  <c r="H1479" i="10"/>
  <c r="B1480" i="10"/>
  <c r="C1480" i="10"/>
  <c r="D1480" i="10"/>
  <c r="E1480" i="10"/>
  <c r="F1480" i="10"/>
  <c r="G1480" i="10"/>
  <c r="H1480" i="10"/>
  <c r="B1481" i="10"/>
  <c r="C1481" i="10"/>
  <c r="D1481" i="10"/>
  <c r="E1481" i="10"/>
  <c r="F1481" i="10"/>
  <c r="G1481" i="10"/>
  <c r="H1481" i="10"/>
  <c r="B1482" i="10"/>
  <c r="C1482" i="10"/>
  <c r="D1482" i="10"/>
  <c r="E1482" i="10"/>
  <c r="F1482" i="10"/>
  <c r="G1482" i="10"/>
  <c r="H1482" i="10"/>
  <c r="B1483" i="10"/>
  <c r="C1483" i="10"/>
  <c r="D1483" i="10"/>
  <c r="E1483" i="10"/>
  <c r="F1483" i="10"/>
  <c r="G1483" i="10"/>
  <c r="H1483" i="10"/>
  <c r="B1484" i="10"/>
  <c r="C1484" i="10"/>
  <c r="D1484" i="10"/>
  <c r="E1484" i="10"/>
  <c r="F1484" i="10"/>
  <c r="G1484" i="10"/>
  <c r="H1484" i="10"/>
  <c r="B1485" i="10"/>
  <c r="C1485" i="10"/>
  <c r="D1485" i="10"/>
  <c r="E1485" i="10"/>
  <c r="F1485" i="10"/>
  <c r="G1485" i="10"/>
  <c r="H1485" i="10"/>
  <c r="B1486" i="10"/>
  <c r="C1486" i="10"/>
  <c r="D1486" i="10"/>
  <c r="E1486" i="10"/>
  <c r="F1486" i="10"/>
  <c r="G1486" i="10"/>
  <c r="H1486" i="10"/>
  <c r="B1487" i="10"/>
  <c r="C1487" i="10"/>
  <c r="D1487" i="10"/>
  <c r="E1487" i="10"/>
  <c r="F1487" i="10"/>
  <c r="G1487" i="10"/>
  <c r="H1487" i="10"/>
  <c r="B1488" i="10"/>
  <c r="C1488" i="10"/>
  <c r="D1488" i="10"/>
  <c r="E1488" i="10"/>
  <c r="F1488" i="10"/>
  <c r="G1488" i="10"/>
  <c r="H1488" i="10"/>
  <c r="B1489" i="10"/>
  <c r="C1489" i="10"/>
  <c r="D1489" i="10"/>
  <c r="E1489" i="10"/>
  <c r="F1489" i="10"/>
  <c r="G1489" i="10"/>
  <c r="H1489" i="10"/>
  <c r="B1490" i="10"/>
  <c r="C1490" i="10"/>
  <c r="D1490" i="10"/>
  <c r="E1490" i="10"/>
  <c r="F1490" i="10"/>
  <c r="G1490" i="10"/>
  <c r="H1490" i="10"/>
  <c r="B1491" i="10"/>
  <c r="C1491" i="10"/>
  <c r="D1491" i="10"/>
  <c r="E1491" i="10"/>
  <c r="F1491" i="10"/>
  <c r="G1491" i="10"/>
  <c r="H1491" i="10"/>
  <c r="B1492" i="10"/>
  <c r="C1492" i="10"/>
  <c r="D1492" i="10"/>
  <c r="E1492" i="10"/>
  <c r="F1492" i="10"/>
  <c r="G1492" i="10"/>
  <c r="H1492" i="10"/>
  <c r="B1493" i="10"/>
  <c r="C1493" i="10"/>
  <c r="D1493" i="10"/>
  <c r="E1493" i="10"/>
  <c r="F1493" i="10"/>
  <c r="G1493" i="10"/>
  <c r="H1493" i="10"/>
  <c r="B1494" i="10"/>
  <c r="C1494" i="10"/>
  <c r="D1494" i="10"/>
  <c r="E1494" i="10"/>
  <c r="F1494" i="10"/>
  <c r="G1494" i="10"/>
  <c r="H1494" i="10"/>
  <c r="B1495" i="10"/>
  <c r="C1495" i="10"/>
  <c r="D1495" i="10"/>
  <c r="E1495" i="10"/>
  <c r="F1495" i="10"/>
  <c r="G1495" i="10"/>
  <c r="H1495" i="10"/>
  <c r="B1496" i="10"/>
  <c r="C1496" i="10"/>
  <c r="D1496" i="10"/>
  <c r="E1496" i="10"/>
  <c r="F1496" i="10"/>
  <c r="G1496" i="10"/>
  <c r="H1496" i="10"/>
  <c r="B1497" i="10"/>
  <c r="C1497" i="10"/>
  <c r="D1497" i="10"/>
  <c r="E1497" i="10"/>
  <c r="F1497" i="10"/>
  <c r="G1497" i="10"/>
  <c r="H1497" i="10"/>
  <c r="B1498" i="10"/>
  <c r="C1498" i="10"/>
  <c r="D1498" i="10"/>
  <c r="E1498" i="10"/>
  <c r="F1498" i="10"/>
  <c r="G1498" i="10"/>
  <c r="H1498" i="10"/>
  <c r="B1499" i="10"/>
  <c r="C1499" i="10"/>
  <c r="D1499" i="10"/>
  <c r="E1499" i="10"/>
  <c r="F1499" i="10"/>
  <c r="G1499" i="10"/>
  <c r="H1499" i="10"/>
  <c r="B1500" i="10"/>
  <c r="C1500" i="10"/>
  <c r="D1500" i="10"/>
  <c r="E1500" i="10"/>
  <c r="F1500" i="10"/>
  <c r="G1500" i="10"/>
  <c r="H1500" i="10"/>
  <c r="B1501" i="10"/>
  <c r="C1501" i="10"/>
  <c r="D1501" i="10"/>
  <c r="E1501" i="10"/>
  <c r="F1501" i="10"/>
  <c r="G1501" i="10"/>
  <c r="H1501" i="10"/>
  <c r="B1502" i="10"/>
  <c r="C1502" i="10"/>
  <c r="D1502" i="10"/>
  <c r="E1502" i="10"/>
  <c r="F1502" i="10"/>
  <c r="G1502" i="10"/>
  <c r="H1502" i="10"/>
  <c r="B1503" i="10"/>
  <c r="C1503" i="10"/>
  <c r="D1503" i="10"/>
  <c r="E1503" i="10"/>
  <c r="F1503" i="10"/>
  <c r="G1503" i="10"/>
  <c r="H1503" i="10"/>
  <c r="B1504" i="10"/>
  <c r="C1504" i="10"/>
  <c r="D1504" i="10"/>
  <c r="E1504" i="10"/>
  <c r="F1504" i="10"/>
  <c r="G1504" i="10"/>
  <c r="H1504" i="10"/>
  <c r="B1505" i="10"/>
  <c r="C1505" i="10"/>
  <c r="D1505" i="10"/>
  <c r="E1505" i="10"/>
  <c r="F1505" i="10"/>
  <c r="G1505" i="10"/>
  <c r="H1505" i="10"/>
  <c r="B1506" i="10"/>
  <c r="C1506" i="10"/>
  <c r="D1506" i="10"/>
  <c r="E1506" i="10"/>
  <c r="F1506" i="10"/>
  <c r="G1506" i="10"/>
  <c r="H1506" i="10"/>
  <c r="B1507" i="10"/>
  <c r="C1507" i="10"/>
  <c r="D1507" i="10"/>
  <c r="E1507" i="10"/>
  <c r="F1507" i="10"/>
  <c r="G1507" i="10"/>
  <c r="H1507" i="10"/>
  <c r="B1508" i="10"/>
  <c r="C1508" i="10"/>
  <c r="D1508" i="10"/>
  <c r="E1508" i="10"/>
  <c r="F1508" i="10"/>
  <c r="G1508" i="10"/>
  <c r="H1508" i="10"/>
  <c r="B1509" i="10"/>
  <c r="C1509" i="10"/>
  <c r="D1509" i="10"/>
  <c r="E1509" i="10"/>
  <c r="F1509" i="10"/>
  <c r="G1509" i="10"/>
  <c r="H1509" i="10"/>
  <c r="B1510" i="10"/>
  <c r="C1510" i="10"/>
  <c r="D1510" i="10"/>
  <c r="E1510" i="10"/>
  <c r="F1510" i="10"/>
  <c r="G1510" i="10"/>
  <c r="H1510" i="10"/>
  <c r="B1511" i="10"/>
  <c r="C1511" i="10"/>
  <c r="D1511" i="10"/>
  <c r="E1511" i="10"/>
  <c r="F1511" i="10"/>
  <c r="G1511" i="10"/>
  <c r="H1511" i="10"/>
  <c r="B1512" i="10"/>
  <c r="C1512" i="10"/>
  <c r="D1512" i="10"/>
  <c r="E1512" i="10"/>
  <c r="F1512" i="10"/>
  <c r="G1512" i="10"/>
  <c r="H1512" i="10"/>
  <c r="B1513" i="10"/>
  <c r="C1513" i="10"/>
  <c r="D1513" i="10"/>
  <c r="E1513" i="10"/>
  <c r="F1513" i="10"/>
  <c r="G1513" i="10"/>
  <c r="H1513" i="10"/>
  <c r="B1514" i="10"/>
  <c r="C1514" i="10"/>
  <c r="D1514" i="10"/>
  <c r="E1514" i="10"/>
  <c r="F1514" i="10"/>
  <c r="G1514" i="10"/>
  <c r="H1514" i="10"/>
  <c r="B1515" i="10"/>
  <c r="C1515" i="10"/>
  <c r="D1515" i="10"/>
  <c r="E1515" i="10"/>
  <c r="F1515" i="10"/>
  <c r="G1515" i="10"/>
  <c r="H1515" i="10"/>
  <c r="B1516" i="10"/>
  <c r="C1516" i="10"/>
  <c r="D1516" i="10"/>
  <c r="E1516" i="10"/>
  <c r="F1516" i="10"/>
  <c r="G1516" i="10"/>
  <c r="H1516" i="10"/>
  <c r="B1517" i="10"/>
  <c r="C1517" i="10"/>
  <c r="D1517" i="10"/>
  <c r="E1517" i="10"/>
  <c r="F1517" i="10"/>
  <c r="G1517" i="10"/>
  <c r="H1517" i="10"/>
  <c r="B1518" i="10"/>
  <c r="C1518" i="10"/>
  <c r="D1518" i="10"/>
  <c r="E1518" i="10"/>
  <c r="F1518" i="10"/>
  <c r="G1518" i="10"/>
  <c r="H1518" i="10"/>
  <c r="B1519" i="10"/>
  <c r="C1519" i="10"/>
  <c r="D1519" i="10"/>
  <c r="E1519" i="10"/>
  <c r="F1519" i="10"/>
  <c r="G1519" i="10"/>
  <c r="H1519" i="10"/>
  <c r="B1520" i="10"/>
  <c r="C1520" i="10"/>
  <c r="D1520" i="10"/>
  <c r="E1520" i="10"/>
  <c r="F1520" i="10"/>
  <c r="G1520" i="10"/>
  <c r="H1520" i="10"/>
  <c r="B1521" i="10"/>
  <c r="C1521" i="10"/>
  <c r="D1521" i="10"/>
  <c r="E1521" i="10"/>
  <c r="F1521" i="10"/>
  <c r="G1521" i="10"/>
  <c r="H1521" i="10"/>
  <c r="B1522" i="10"/>
  <c r="C1522" i="10"/>
  <c r="D1522" i="10"/>
  <c r="E1522" i="10"/>
  <c r="F1522" i="10"/>
  <c r="G1522" i="10"/>
  <c r="H1522" i="10"/>
  <c r="B1523" i="10"/>
  <c r="C1523" i="10"/>
  <c r="D1523" i="10"/>
  <c r="E1523" i="10"/>
  <c r="F1523" i="10"/>
  <c r="G1523" i="10"/>
  <c r="H1523" i="10"/>
  <c r="B1524" i="10"/>
  <c r="C1524" i="10"/>
  <c r="D1524" i="10"/>
  <c r="E1524" i="10"/>
  <c r="F1524" i="10"/>
  <c r="G1524" i="10"/>
  <c r="H1524" i="10"/>
  <c r="B1525" i="10"/>
  <c r="C1525" i="10"/>
  <c r="D1525" i="10"/>
  <c r="E1525" i="10"/>
  <c r="F1525" i="10"/>
  <c r="G1525" i="10"/>
  <c r="H1525" i="10"/>
  <c r="B1526" i="10"/>
  <c r="C1526" i="10"/>
  <c r="D1526" i="10"/>
  <c r="E1526" i="10"/>
  <c r="F1526" i="10"/>
  <c r="G1526" i="10"/>
  <c r="H1526" i="10"/>
  <c r="B1527" i="10"/>
  <c r="C1527" i="10"/>
  <c r="D1527" i="10"/>
  <c r="E1527" i="10"/>
  <c r="F1527" i="10"/>
  <c r="G1527" i="10"/>
  <c r="H1527" i="10"/>
  <c r="B1528" i="10"/>
  <c r="C1528" i="10"/>
  <c r="D1528" i="10"/>
  <c r="E1528" i="10"/>
  <c r="F1528" i="10"/>
  <c r="G1528" i="10"/>
  <c r="H1528" i="10"/>
  <c r="B1529" i="10"/>
  <c r="C1529" i="10"/>
  <c r="D1529" i="10"/>
  <c r="E1529" i="10"/>
  <c r="F1529" i="10"/>
  <c r="G1529" i="10"/>
  <c r="H1529" i="10"/>
  <c r="B1530" i="10"/>
  <c r="C1530" i="10"/>
  <c r="D1530" i="10"/>
  <c r="E1530" i="10"/>
  <c r="F1530" i="10"/>
  <c r="G1530" i="10"/>
  <c r="H1530" i="10"/>
  <c r="B1531" i="10"/>
  <c r="C1531" i="10"/>
  <c r="D1531" i="10"/>
  <c r="E1531" i="10"/>
  <c r="F1531" i="10"/>
  <c r="G1531" i="10"/>
  <c r="H1531" i="10"/>
  <c r="B1532" i="10"/>
  <c r="C1532" i="10"/>
  <c r="D1532" i="10"/>
  <c r="E1532" i="10"/>
  <c r="F1532" i="10"/>
  <c r="G1532" i="10"/>
  <c r="H1532" i="10"/>
  <c r="B1533" i="10"/>
  <c r="C1533" i="10"/>
  <c r="D1533" i="10"/>
  <c r="E1533" i="10"/>
  <c r="F1533" i="10"/>
  <c r="G1533" i="10"/>
  <c r="H1533" i="10"/>
  <c r="B1534" i="10"/>
  <c r="C1534" i="10"/>
  <c r="D1534" i="10"/>
  <c r="E1534" i="10"/>
  <c r="F1534" i="10"/>
  <c r="G1534" i="10"/>
  <c r="H1534" i="10"/>
  <c r="B1535" i="10"/>
  <c r="C1535" i="10"/>
  <c r="D1535" i="10"/>
  <c r="E1535" i="10"/>
  <c r="F1535" i="10"/>
  <c r="G1535" i="10"/>
  <c r="H1535" i="10"/>
  <c r="B1536" i="10"/>
  <c r="C1536" i="10"/>
  <c r="D1536" i="10"/>
  <c r="E1536" i="10"/>
  <c r="F1536" i="10"/>
  <c r="G1536" i="10"/>
  <c r="H1536" i="10"/>
  <c r="B1537" i="10"/>
  <c r="C1537" i="10"/>
  <c r="D1537" i="10"/>
  <c r="E1537" i="10"/>
  <c r="F1537" i="10"/>
  <c r="G1537" i="10"/>
  <c r="H1537" i="10"/>
  <c r="B1538" i="10"/>
  <c r="C1538" i="10"/>
  <c r="D1538" i="10"/>
  <c r="E1538" i="10"/>
  <c r="F1538" i="10"/>
  <c r="G1538" i="10"/>
  <c r="H1538" i="10"/>
  <c r="B1539" i="10"/>
  <c r="C1539" i="10"/>
  <c r="D1539" i="10"/>
  <c r="E1539" i="10"/>
  <c r="F1539" i="10"/>
  <c r="G1539" i="10"/>
  <c r="H1539" i="10"/>
  <c r="B1540" i="10"/>
  <c r="C1540" i="10"/>
  <c r="D1540" i="10"/>
  <c r="E1540" i="10"/>
  <c r="F1540" i="10"/>
  <c r="G1540" i="10"/>
  <c r="H1540" i="10"/>
  <c r="B1541" i="10"/>
  <c r="C1541" i="10"/>
  <c r="D1541" i="10"/>
  <c r="E1541" i="10"/>
  <c r="F1541" i="10"/>
  <c r="G1541" i="10"/>
  <c r="H1541" i="10"/>
  <c r="B1542" i="10"/>
  <c r="C1542" i="10"/>
  <c r="D1542" i="10"/>
  <c r="E1542" i="10"/>
  <c r="F1542" i="10"/>
  <c r="G1542" i="10"/>
  <c r="H1542" i="10"/>
  <c r="B1543" i="10"/>
  <c r="C1543" i="10"/>
  <c r="D1543" i="10"/>
  <c r="E1543" i="10"/>
  <c r="F1543" i="10"/>
  <c r="G1543" i="10"/>
  <c r="H1543" i="10"/>
  <c r="B1544" i="10"/>
  <c r="C1544" i="10"/>
  <c r="D1544" i="10"/>
  <c r="E1544" i="10"/>
  <c r="F1544" i="10"/>
  <c r="G1544" i="10"/>
  <c r="H1544" i="10"/>
  <c r="B1545" i="10"/>
  <c r="C1545" i="10"/>
  <c r="D1545" i="10"/>
  <c r="E1545" i="10"/>
  <c r="F1545" i="10"/>
  <c r="G1545" i="10"/>
  <c r="H1545" i="10"/>
  <c r="B1546" i="10"/>
  <c r="C1546" i="10"/>
  <c r="D1546" i="10"/>
  <c r="E1546" i="10"/>
  <c r="F1546" i="10"/>
  <c r="G1546" i="10"/>
  <c r="H1546" i="10"/>
  <c r="B1547" i="10"/>
  <c r="C1547" i="10"/>
  <c r="D1547" i="10"/>
  <c r="E1547" i="10"/>
  <c r="F1547" i="10"/>
  <c r="G1547" i="10"/>
  <c r="H1547" i="10"/>
  <c r="B1548" i="10"/>
  <c r="C1548" i="10"/>
  <c r="D1548" i="10"/>
  <c r="E1548" i="10"/>
  <c r="F1548" i="10"/>
  <c r="G1548" i="10"/>
  <c r="H1548" i="10"/>
  <c r="B1549" i="10"/>
  <c r="C1549" i="10"/>
  <c r="D1549" i="10"/>
  <c r="E1549" i="10"/>
  <c r="F1549" i="10"/>
  <c r="G1549" i="10"/>
  <c r="H1549" i="10"/>
  <c r="B1550" i="10"/>
  <c r="C1550" i="10"/>
  <c r="D1550" i="10"/>
  <c r="E1550" i="10"/>
  <c r="F1550" i="10"/>
  <c r="G1550" i="10"/>
  <c r="H1550" i="10"/>
  <c r="B1551" i="10"/>
  <c r="C1551" i="10"/>
  <c r="D1551" i="10"/>
  <c r="E1551" i="10"/>
  <c r="F1551" i="10"/>
  <c r="G1551" i="10"/>
  <c r="H1551" i="10"/>
  <c r="B1552" i="10"/>
  <c r="C1552" i="10"/>
  <c r="D1552" i="10"/>
  <c r="E1552" i="10"/>
  <c r="F1552" i="10"/>
  <c r="G1552" i="10"/>
  <c r="H1552" i="10"/>
  <c r="B1553" i="10"/>
  <c r="C1553" i="10"/>
  <c r="D1553" i="10"/>
  <c r="E1553" i="10"/>
  <c r="F1553" i="10"/>
  <c r="G1553" i="10"/>
  <c r="H1553" i="10"/>
  <c r="B1554" i="10"/>
  <c r="C1554" i="10"/>
  <c r="D1554" i="10"/>
  <c r="E1554" i="10"/>
  <c r="F1554" i="10"/>
  <c r="G1554" i="10"/>
  <c r="H1554" i="10"/>
  <c r="B1555" i="10"/>
  <c r="C1555" i="10"/>
  <c r="D1555" i="10"/>
  <c r="E1555" i="10"/>
  <c r="F1555" i="10"/>
  <c r="G1555" i="10"/>
  <c r="H1555" i="10"/>
  <c r="B1556" i="10"/>
  <c r="C1556" i="10"/>
  <c r="D1556" i="10"/>
  <c r="E1556" i="10"/>
  <c r="F1556" i="10"/>
  <c r="G1556" i="10"/>
  <c r="H1556" i="10"/>
  <c r="B1557" i="10"/>
  <c r="C1557" i="10"/>
  <c r="D1557" i="10"/>
  <c r="E1557" i="10"/>
  <c r="F1557" i="10"/>
  <c r="G1557" i="10"/>
  <c r="H1557" i="10"/>
  <c r="B1558" i="10"/>
  <c r="C1558" i="10"/>
  <c r="D1558" i="10"/>
  <c r="E1558" i="10"/>
  <c r="F1558" i="10"/>
  <c r="G1558" i="10"/>
  <c r="H1558" i="10"/>
  <c r="B1559" i="10"/>
  <c r="C1559" i="10"/>
  <c r="D1559" i="10"/>
  <c r="E1559" i="10"/>
  <c r="F1559" i="10"/>
  <c r="G1559" i="10"/>
  <c r="H1559" i="10"/>
  <c r="B1560" i="10"/>
  <c r="C1560" i="10"/>
  <c r="D1560" i="10"/>
  <c r="E1560" i="10"/>
  <c r="F1560" i="10"/>
  <c r="G1560" i="10"/>
  <c r="H1560" i="10"/>
  <c r="B1561" i="10"/>
  <c r="C1561" i="10"/>
  <c r="D1561" i="10"/>
  <c r="E1561" i="10"/>
  <c r="F1561" i="10"/>
  <c r="G1561" i="10"/>
  <c r="H1561" i="10"/>
  <c r="B1562" i="10"/>
  <c r="C1562" i="10"/>
  <c r="D1562" i="10"/>
  <c r="E1562" i="10"/>
  <c r="F1562" i="10"/>
  <c r="G1562" i="10"/>
  <c r="H1562" i="10"/>
  <c r="B1563" i="10"/>
  <c r="C1563" i="10"/>
  <c r="D1563" i="10"/>
  <c r="E1563" i="10"/>
  <c r="F1563" i="10"/>
  <c r="G1563" i="10"/>
  <c r="H1563" i="10"/>
  <c r="B1564" i="10"/>
  <c r="C1564" i="10"/>
  <c r="D1564" i="10"/>
  <c r="E1564" i="10"/>
  <c r="F1564" i="10"/>
  <c r="G1564" i="10"/>
  <c r="H1564" i="10"/>
  <c r="B1565" i="10"/>
  <c r="C1565" i="10"/>
  <c r="D1565" i="10"/>
  <c r="E1565" i="10"/>
  <c r="F1565" i="10"/>
  <c r="G1565" i="10"/>
  <c r="H1565" i="10"/>
  <c r="B1566" i="10"/>
  <c r="C1566" i="10"/>
  <c r="D1566" i="10"/>
  <c r="E1566" i="10"/>
  <c r="F1566" i="10"/>
  <c r="G1566" i="10"/>
  <c r="H1566" i="10"/>
  <c r="B1567" i="10"/>
  <c r="C1567" i="10"/>
  <c r="D1567" i="10"/>
  <c r="E1567" i="10"/>
  <c r="F1567" i="10"/>
  <c r="G1567" i="10"/>
  <c r="H1567" i="10"/>
  <c r="B1568" i="10"/>
  <c r="C1568" i="10"/>
  <c r="D1568" i="10"/>
  <c r="E1568" i="10"/>
  <c r="F1568" i="10"/>
  <c r="G1568" i="10"/>
  <c r="H1568" i="10"/>
  <c r="B1569" i="10"/>
  <c r="C1569" i="10"/>
  <c r="D1569" i="10"/>
  <c r="E1569" i="10"/>
  <c r="F1569" i="10"/>
  <c r="G1569" i="10"/>
  <c r="H1569" i="10"/>
  <c r="B1570" i="10"/>
  <c r="C1570" i="10"/>
  <c r="D1570" i="10"/>
  <c r="E1570" i="10"/>
  <c r="F1570" i="10"/>
  <c r="G1570" i="10"/>
  <c r="H1570" i="10"/>
  <c r="B1571" i="10"/>
  <c r="C1571" i="10"/>
  <c r="D1571" i="10"/>
  <c r="E1571" i="10"/>
  <c r="F1571" i="10"/>
  <c r="G1571" i="10"/>
  <c r="H1571" i="10"/>
  <c r="B1572" i="10"/>
  <c r="C1572" i="10"/>
  <c r="D1572" i="10"/>
  <c r="E1572" i="10"/>
  <c r="F1572" i="10"/>
  <c r="G1572" i="10"/>
  <c r="H1572" i="10"/>
  <c r="B1573" i="10"/>
  <c r="C1573" i="10"/>
  <c r="D1573" i="10"/>
  <c r="E1573" i="10"/>
  <c r="F1573" i="10"/>
  <c r="G1573" i="10"/>
  <c r="H1573" i="10"/>
  <c r="B1574" i="10"/>
  <c r="C1574" i="10"/>
  <c r="D1574" i="10"/>
  <c r="E1574" i="10"/>
  <c r="F1574" i="10"/>
  <c r="G1574" i="10"/>
  <c r="H1574" i="10"/>
  <c r="B1575" i="10"/>
  <c r="C1575" i="10"/>
  <c r="D1575" i="10"/>
  <c r="E1575" i="10"/>
  <c r="F1575" i="10"/>
  <c r="G1575" i="10"/>
  <c r="H1575" i="10"/>
  <c r="B1576" i="10"/>
  <c r="C1576" i="10"/>
  <c r="D1576" i="10"/>
  <c r="E1576" i="10"/>
  <c r="F1576" i="10"/>
  <c r="G1576" i="10"/>
  <c r="H1576" i="10"/>
  <c r="B1577" i="10"/>
  <c r="C1577" i="10"/>
  <c r="D1577" i="10"/>
  <c r="E1577" i="10"/>
  <c r="F1577" i="10"/>
  <c r="G1577" i="10"/>
  <c r="H1577" i="10"/>
  <c r="B1578" i="10"/>
  <c r="C1578" i="10"/>
  <c r="D1578" i="10"/>
  <c r="E1578" i="10"/>
  <c r="F1578" i="10"/>
  <c r="G1578" i="10"/>
  <c r="H1578" i="10"/>
  <c r="B1579" i="10"/>
  <c r="C1579" i="10"/>
  <c r="D1579" i="10"/>
  <c r="E1579" i="10"/>
  <c r="F1579" i="10"/>
  <c r="G1579" i="10"/>
  <c r="H1579" i="10"/>
  <c r="B1580" i="10"/>
  <c r="C1580" i="10"/>
  <c r="D1580" i="10"/>
  <c r="E1580" i="10"/>
  <c r="F1580" i="10"/>
  <c r="G1580" i="10"/>
  <c r="H1580" i="10"/>
  <c r="B1581" i="10"/>
  <c r="C1581" i="10"/>
  <c r="D1581" i="10"/>
  <c r="E1581" i="10"/>
  <c r="F1581" i="10"/>
  <c r="G1581" i="10"/>
  <c r="H1581" i="10"/>
  <c r="B1582" i="10"/>
  <c r="C1582" i="10"/>
  <c r="D1582" i="10"/>
  <c r="E1582" i="10"/>
  <c r="F1582" i="10"/>
  <c r="G1582" i="10"/>
  <c r="H1582" i="10"/>
  <c r="B1583" i="10"/>
  <c r="C1583" i="10"/>
  <c r="D1583" i="10"/>
  <c r="E1583" i="10"/>
  <c r="F1583" i="10"/>
  <c r="G1583" i="10"/>
  <c r="H1583" i="10"/>
  <c r="B1584" i="10"/>
  <c r="C1584" i="10"/>
  <c r="D1584" i="10"/>
  <c r="E1584" i="10"/>
  <c r="F1584" i="10"/>
  <c r="G1584" i="10"/>
  <c r="H1584" i="10"/>
  <c r="B1585" i="10"/>
  <c r="C1585" i="10"/>
  <c r="D1585" i="10"/>
  <c r="E1585" i="10"/>
  <c r="F1585" i="10"/>
  <c r="G1585" i="10"/>
  <c r="H1585" i="10"/>
  <c r="B1586" i="10"/>
  <c r="C1586" i="10"/>
  <c r="D1586" i="10"/>
  <c r="E1586" i="10"/>
  <c r="F1586" i="10"/>
  <c r="G1586" i="10"/>
  <c r="H1586" i="10"/>
  <c r="B1587" i="10"/>
  <c r="C1587" i="10"/>
  <c r="D1587" i="10"/>
  <c r="E1587" i="10"/>
  <c r="F1587" i="10"/>
  <c r="G1587" i="10"/>
  <c r="H1587" i="10"/>
  <c r="B1588" i="10"/>
  <c r="C1588" i="10"/>
  <c r="D1588" i="10"/>
  <c r="E1588" i="10"/>
  <c r="F1588" i="10"/>
  <c r="G1588" i="10"/>
  <c r="H1588" i="10"/>
  <c r="B1589" i="10"/>
  <c r="C1589" i="10"/>
  <c r="D1589" i="10"/>
  <c r="E1589" i="10"/>
  <c r="F1589" i="10"/>
  <c r="G1589" i="10"/>
  <c r="H1589" i="10"/>
  <c r="B1590" i="10"/>
  <c r="C1590" i="10"/>
  <c r="D1590" i="10"/>
  <c r="E1590" i="10"/>
  <c r="F1590" i="10"/>
  <c r="G1590" i="10"/>
  <c r="H1590" i="10"/>
  <c r="B1591" i="10"/>
  <c r="C1591" i="10"/>
  <c r="D1591" i="10"/>
  <c r="E1591" i="10"/>
  <c r="F1591" i="10"/>
  <c r="G1591" i="10"/>
  <c r="H1591" i="10"/>
  <c r="B1592" i="10"/>
  <c r="C1592" i="10"/>
  <c r="D1592" i="10"/>
  <c r="E1592" i="10"/>
  <c r="F1592" i="10"/>
  <c r="G1592" i="10"/>
  <c r="H1592" i="10"/>
  <c r="B1593" i="10"/>
  <c r="C1593" i="10"/>
  <c r="D1593" i="10"/>
  <c r="E1593" i="10"/>
  <c r="F1593" i="10"/>
  <c r="G1593" i="10"/>
  <c r="H1593" i="10"/>
  <c r="B1594" i="10"/>
  <c r="C1594" i="10"/>
  <c r="D1594" i="10"/>
  <c r="E1594" i="10"/>
  <c r="F1594" i="10"/>
  <c r="G1594" i="10"/>
  <c r="H1594" i="10"/>
  <c r="B1595" i="10"/>
  <c r="C1595" i="10"/>
  <c r="D1595" i="10"/>
  <c r="E1595" i="10"/>
  <c r="F1595" i="10"/>
  <c r="G1595" i="10"/>
  <c r="H1595" i="10"/>
  <c r="B1596" i="10"/>
  <c r="C1596" i="10"/>
  <c r="D1596" i="10"/>
  <c r="E1596" i="10"/>
  <c r="F1596" i="10"/>
  <c r="G1596" i="10"/>
  <c r="H1596" i="10"/>
  <c r="B1597" i="10"/>
  <c r="C1597" i="10"/>
  <c r="D1597" i="10"/>
  <c r="E1597" i="10"/>
  <c r="F1597" i="10"/>
  <c r="G1597" i="10"/>
  <c r="H1597" i="10"/>
  <c r="B1598" i="10"/>
  <c r="C1598" i="10"/>
  <c r="D1598" i="10"/>
  <c r="E1598" i="10"/>
  <c r="F1598" i="10"/>
  <c r="G1598" i="10"/>
  <c r="H1598" i="10"/>
  <c r="B1599" i="10"/>
  <c r="C1599" i="10"/>
  <c r="D1599" i="10"/>
  <c r="E1599" i="10"/>
  <c r="F1599" i="10"/>
  <c r="G1599" i="10"/>
  <c r="H1599" i="10"/>
  <c r="B1600" i="10"/>
  <c r="C1600" i="10"/>
  <c r="D1600" i="10"/>
  <c r="E1600" i="10"/>
  <c r="F1600" i="10"/>
  <c r="G1600" i="10"/>
  <c r="H1600" i="10"/>
  <c r="B1601" i="10"/>
  <c r="C1601" i="10"/>
  <c r="D1601" i="10"/>
  <c r="E1601" i="10"/>
  <c r="F1601" i="10"/>
  <c r="G1601" i="10"/>
  <c r="H1601" i="10"/>
  <c r="B1602" i="10"/>
  <c r="C1602" i="10"/>
  <c r="D1602" i="10"/>
  <c r="E1602" i="10"/>
  <c r="F1602" i="10"/>
  <c r="G1602" i="10"/>
  <c r="H1602" i="10"/>
  <c r="B1603" i="10"/>
  <c r="C1603" i="10"/>
  <c r="D1603" i="10"/>
  <c r="E1603" i="10"/>
  <c r="F1603" i="10"/>
  <c r="G1603" i="10"/>
  <c r="H1603" i="10"/>
  <c r="B1604" i="10"/>
  <c r="C1604" i="10"/>
  <c r="D1604" i="10"/>
  <c r="E1604" i="10"/>
  <c r="F1604" i="10"/>
  <c r="G1604" i="10"/>
  <c r="H1604" i="10"/>
  <c r="B1605" i="10"/>
  <c r="C1605" i="10"/>
  <c r="D1605" i="10"/>
  <c r="E1605" i="10"/>
  <c r="F1605" i="10"/>
  <c r="G1605" i="10"/>
  <c r="H1605" i="10"/>
  <c r="B1606" i="10"/>
  <c r="C1606" i="10"/>
  <c r="D1606" i="10"/>
  <c r="E1606" i="10"/>
  <c r="F1606" i="10"/>
  <c r="G1606" i="10"/>
  <c r="H1606" i="10"/>
  <c r="B1607" i="10"/>
  <c r="C1607" i="10"/>
  <c r="D1607" i="10"/>
  <c r="E1607" i="10"/>
  <c r="F1607" i="10"/>
  <c r="G1607" i="10"/>
  <c r="H1607" i="10"/>
  <c r="B1608" i="10"/>
  <c r="C1608" i="10"/>
  <c r="D1608" i="10"/>
  <c r="E1608" i="10"/>
  <c r="F1608" i="10"/>
  <c r="G1608" i="10"/>
  <c r="H1608" i="10"/>
  <c r="B1609" i="10"/>
  <c r="C1609" i="10"/>
  <c r="D1609" i="10"/>
  <c r="E1609" i="10"/>
  <c r="F1609" i="10"/>
  <c r="G1609" i="10"/>
  <c r="H1609" i="10"/>
  <c r="B1610" i="10"/>
  <c r="C1610" i="10"/>
  <c r="D1610" i="10"/>
  <c r="E1610" i="10"/>
  <c r="F1610" i="10"/>
  <c r="G1610" i="10"/>
  <c r="H1610" i="10"/>
  <c r="B1611" i="10"/>
  <c r="C1611" i="10"/>
  <c r="D1611" i="10"/>
  <c r="E1611" i="10"/>
  <c r="F1611" i="10"/>
  <c r="G1611" i="10"/>
  <c r="H1611" i="10"/>
  <c r="B1612" i="10"/>
  <c r="C1612" i="10"/>
  <c r="D1612" i="10"/>
  <c r="E1612" i="10"/>
  <c r="F1612" i="10"/>
  <c r="G1612" i="10"/>
  <c r="H1612" i="10"/>
  <c r="B1613" i="10"/>
  <c r="C1613" i="10"/>
  <c r="D1613" i="10"/>
  <c r="E1613" i="10"/>
  <c r="F1613" i="10"/>
  <c r="G1613" i="10"/>
  <c r="H1613" i="10"/>
  <c r="B1614" i="10"/>
  <c r="C1614" i="10"/>
  <c r="D1614" i="10"/>
  <c r="E1614" i="10"/>
  <c r="F1614" i="10"/>
  <c r="G1614" i="10"/>
  <c r="H1614" i="10"/>
  <c r="B1615" i="10"/>
  <c r="C1615" i="10"/>
  <c r="D1615" i="10"/>
  <c r="E1615" i="10"/>
  <c r="F1615" i="10"/>
  <c r="G1615" i="10"/>
  <c r="H1615" i="10"/>
  <c r="B1616" i="10"/>
  <c r="C1616" i="10"/>
  <c r="D1616" i="10"/>
  <c r="E1616" i="10"/>
  <c r="F1616" i="10"/>
  <c r="G1616" i="10"/>
  <c r="H1616" i="10"/>
  <c r="B1617" i="10"/>
  <c r="C1617" i="10"/>
  <c r="D1617" i="10"/>
  <c r="E1617" i="10"/>
  <c r="F1617" i="10"/>
  <c r="G1617" i="10"/>
  <c r="H1617" i="10"/>
  <c r="B1618" i="10"/>
  <c r="C1618" i="10"/>
  <c r="D1618" i="10"/>
  <c r="E1618" i="10"/>
  <c r="F1618" i="10"/>
  <c r="G1618" i="10"/>
  <c r="H1618" i="10"/>
  <c r="B1619" i="10"/>
  <c r="C1619" i="10"/>
  <c r="D1619" i="10"/>
  <c r="E1619" i="10"/>
  <c r="F1619" i="10"/>
  <c r="G1619" i="10"/>
  <c r="H1619" i="10"/>
  <c r="B1620" i="10"/>
  <c r="C1620" i="10"/>
  <c r="D1620" i="10"/>
  <c r="E1620" i="10"/>
  <c r="F1620" i="10"/>
  <c r="G1620" i="10"/>
  <c r="H1620" i="10"/>
  <c r="B1621" i="10"/>
  <c r="C1621" i="10"/>
  <c r="D1621" i="10"/>
  <c r="E1621" i="10"/>
  <c r="F1621" i="10"/>
  <c r="G1621" i="10"/>
  <c r="H1621" i="10"/>
  <c r="B1622" i="10"/>
  <c r="C1622" i="10"/>
  <c r="D1622" i="10"/>
  <c r="E1622" i="10"/>
  <c r="F1622" i="10"/>
  <c r="G1622" i="10"/>
  <c r="H1622" i="10"/>
  <c r="B1623" i="10"/>
  <c r="C1623" i="10"/>
  <c r="D1623" i="10"/>
  <c r="E1623" i="10"/>
  <c r="F1623" i="10"/>
  <c r="G1623" i="10"/>
  <c r="H1623" i="10"/>
  <c r="B1624" i="10"/>
  <c r="C1624" i="10"/>
  <c r="D1624" i="10"/>
  <c r="E1624" i="10"/>
  <c r="F1624" i="10"/>
  <c r="G1624" i="10"/>
  <c r="H1624" i="10"/>
  <c r="B1625" i="10"/>
  <c r="C1625" i="10"/>
  <c r="D1625" i="10"/>
  <c r="E1625" i="10"/>
  <c r="F1625" i="10"/>
  <c r="G1625" i="10"/>
  <c r="H1625" i="10"/>
  <c r="B1626" i="10"/>
  <c r="C1626" i="10"/>
  <c r="D1626" i="10"/>
  <c r="E1626" i="10"/>
  <c r="F1626" i="10"/>
  <c r="G1626" i="10"/>
  <c r="H1626" i="10"/>
  <c r="B1627" i="10"/>
  <c r="C1627" i="10"/>
  <c r="D1627" i="10"/>
  <c r="E1627" i="10"/>
  <c r="F1627" i="10"/>
  <c r="G1627" i="10"/>
  <c r="H1627" i="10"/>
  <c r="B1628" i="10"/>
  <c r="C1628" i="10"/>
  <c r="D1628" i="10"/>
  <c r="E1628" i="10"/>
  <c r="F1628" i="10"/>
  <c r="G1628" i="10"/>
  <c r="H1628" i="10"/>
  <c r="B1629" i="10"/>
  <c r="C1629" i="10"/>
  <c r="D1629" i="10"/>
  <c r="E1629" i="10"/>
  <c r="F1629" i="10"/>
  <c r="G1629" i="10"/>
  <c r="H1629" i="10"/>
  <c r="B1630" i="10"/>
  <c r="C1630" i="10"/>
  <c r="D1630" i="10"/>
  <c r="E1630" i="10"/>
  <c r="F1630" i="10"/>
  <c r="G1630" i="10"/>
  <c r="H1630" i="10"/>
  <c r="B1631" i="10"/>
  <c r="C1631" i="10"/>
  <c r="D1631" i="10"/>
  <c r="E1631" i="10"/>
  <c r="F1631" i="10"/>
  <c r="G1631" i="10"/>
  <c r="H1631" i="10"/>
  <c r="B1632" i="10"/>
  <c r="C1632" i="10"/>
  <c r="D1632" i="10"/>
  <c r="E1632" i="10"/>
  <c r="F1632" i="10"/>
  <c r="G1632" i="10"/>
  <c r="H1632" i="10"/>
  <c r="B1633" i="10"/>
  <c r="C1633" i="10"/>
  <c r="D1633" i="10"/>
  <c r="E1633" i="10"/>
  <c r="F1633" i="10"/>
  <c r="G1633" i="10"/>
  <c r="H1633" i="10"/>
  <c r="B1634" i="10"/>
  <c r="C1634" i="10"/>
  <c r="D1634" i="10"/>
  <c r="E1634" i="10"/>
  <c r="F1634" i="10"/>
  <c r="G1634" i="10"/>
  <c r="H1634" i="10"/>
  <c r="B1635" i="10"/>
  <c r="C1635" i="10"/>
  <c r="D1635" i="10"/>
  <c r="E1635" i="10"/>
  <c r="F1635" i="10"/>
  <c r="G1635" i="10"/>
  <c r="H1635" i="10"/>
  <c r="B1636" i="10"/>
  <c r="C1636" i="10"/>
  <c r="D1636" i="10"/>
  <c r="E1636" i="10"/>
  <c r="F1636" i="10"/>
  <c r="G1636" i="10"/>
  <c r="H1636" i="10"/>
  <c r="B1637" i="10"/>
  <c r="C1637" i="10"/>
  <c r="D1637" i="10"/>
  <c r="E1637" i="10"/>
  <c r="F1637" i="10"/>
  <c r="G1637" i="10"/>
  <c r="H1637" i="10"/>
  <c r="B1638" i="10"/>
  <c r="C1638" i="10"/>
  <c r="D1638" i="10"/>
  <c r="E1638" i="10"/>
  <c r="F1638" i="10"/>
  <c r="G1638" i="10"/>
  <c r="H1638" i="10"/>
  <c r="B1639" i="10"/>
  <c r="C1639" i="10"/>
  <c r="D1639" i="10"/>
  <c r="E1639" i="10"/>
  <c r="F1639" i="10"/>
  <c r="G1639" i="10"/>
  <c r="H1639" i="10"/>
  <c r="B1640" i="10"/>
  <c r="C1640" i="10"/>
  <c r="D1640" i="10"/>
  <c r="E1640" i="10"/>
  <c r="F1640" i="10"/>
  <c r="G1640" i="10"/>
  <c r="H1640" i="10"/>
  <c r="B1641" i="10"/>
  <c r="C1641" i="10"/>
  <c r="D1641" i="10"/>
  <c r="E1641" i="10"/>
  <c r="F1641" i="10"/>
  <c r="G1641" i="10"/>
  <c r="H1641" i="10"/>
  <c r="B1642" i="10"/>
  <c r="C1642" i="10"/>
  <c r="D1642" i="10"/>
  <c r="E1642" i="10"/>
  <c r="F1642" i="10"/>
  <c r="G1642" i="10"/>
  <c r="H1642" i="10"/>
  <c r="B1643" i="10"/>
  <c r="C1643" i="10"/>
  <c r="D1643" i="10"/>
  <c r="E1643" i="10"/>
  <c r="F1643" i="10"/>
  <c r="G1643" i="10"/>
  <c r="H1643" i="10"/>
  <c r="B1644" i="10"/>
  <c r="C1644" i="10"/>
  <c r="D1644" i="10"/>
  <c r="E1644" i="10"/>
  <c r="F1644" i="10"/>
  <c r="G1644" i="10"/>
  <c r="H1644" i="10"/>
  <c r="B1645" i="10"/>
  <c r="C1645" i="10"/>
  <c r="D1645" i="10"/>
  <c r="E1645" i="10"/>
  <c r="F1645" i="10"/>
  <c r="G1645" i="10"/>
  <c r="H1645" i="10"/>
  <c r="B1646" i="10"/>
  <c r="C1646" i="10"/>
  <c r="D1646" i="10"/>
  <c r="E1646" i="10"/>
  <c r="F1646" i="10"/>
  <c r="G1646" i="10"/>
  <c r="H1646" i="10"/>
  <c r="B1647" i="10"/>
  <c r="C1647" i="10"/>
  <c r="D1647" i="10"/>
  <c r="E1647" i="10"/>
  <c r="F1647" i="10"/>
  <c r="G1647" i="10"/>
  <c r="H1647" i="10"/>
  <c r="B1648" i="10"/>
  <c r="C1648" i="10"/>
  <c r="D1648" i="10"/>
  <c r="E1648" i="10"/>
  <c r="F1648" i="10"/>
  <c r="G1648" i="10"/>
  <c r="H1648" i="10"/>
  <c r="B1649" i="10"/>
  <c r="C1649" i="10"/>
  <c r="D1649" i="10"/>
  <c r="E1649" i="10"/>
  <c r="F1649" i="10"/>
  <c r="G1649" i="10"/>
  <c r="H1649" i="10"/>
  <c r="B1650" i="10"/>
  <c r="C1650" i="10"/>
  <c r="D1650" i="10"/>
  <c r="E1650" i="10"/>
  <c r="F1650" i="10"/>
  <c r="G1650" i="10"/>
  <c r="H1650" i="10"/>
  <c r="B1651" i="10"/>
  <c r="C1651" i="10"/>
  <c r="D1651" i="10"/>
  <c r="E1651" i="10"/>
  <c r="F1651" i="10"/>
  <c r="G1651" i="10"/>
  <c r="H1651" i="10"/>
  <c r="B1652" i="10"/>
  <c r="C1652" i="10"/>
  <c r="D1652" i="10"/>
  <c r="E1652" i="10"/>
  <c r="F1652" i="10"/>
  <c r="G1652" i="10"/>
  <c r="H1652" i="10"/>
  <c r="B1653" i="10"/>
  <c r="C1653" i="10"/>
  <c r="D1653" i="10"/>
  <c r="E1653" i="10"/>
  <c r="F1653" i="10"/>
  <c r="G1653" i="10"/>
  <c r="H1653" i="10"/>
  <c r="B1654" i="10"/>
  <c r="C1654" i="10"/>
  <c r="D1654" i="10"/>
  <c r="E1654" i="10"/>
  <c r="F1654" i="10"/>
  <c r="G1654" i="10"/>
  <c r="H1654" i="10"/>
  <c r="B1655" i="10"/>
  <c r="C1655" i="10"/>
  <c r="D1655" i="10"/>
  <c r="E1655" i="10"/>
  <c r="F1655" i="10"/>
  <c r="G1655" i="10"/>
  <c r="H1655" i="10"/>
  <c r="B1656" i="10"/>
  <c r="C1656" i="10"/>
  <c r="D1656" i="10"/>
  <c r="E1656" i="10"/>
  <c r="F1656" i="10"/>
  <c r="G1656" i="10"/>
  <c r="H1656" i="10"/>
  <c r="B1657" i="10"/>
  <c r="C1657" i="10"/>
  <c r="D1657" i="10"/>
  <c r="E1657" i="10"/>
  <c r="F1657" i="10"/>
  <c r="G1657" i="10"/>
  <c r="H1657" i="10"/>
  <c r="B1658" i="10"/>
  <c r="C1658" i="10"/>
  <c r="D1658" i="10"/>
  <c r="E1658" i="10"/>
  <c r="F1658" i="10"/>
  <c r="G1658" i="10"/>
  <c r="H1658" i="10"/>
  <c r="B1659" i="10"/>
  <c r="C1659" i="10"/>
  <c r="D1659" i="10"/>
  <c r="E1659" i="10"/>
  <c r="F1659" i="10"/>
  <c r="G1659" i="10"/>
  <c r="H1659" i="10"/>
  <c r="B1660" i="10"/>
  <c r="C1660" i="10"/>
  <c r="D1660" i="10"/>
  <c r="E1660" i="10"/>
  <c r="F1660" i="10"/>
  <c r="G1660" i="10"/>
  <c r="H1660" i="10"/>
  <c r="B1661" i="10"/>
  <c r="C1661" i="10"/>
  <c r="D1661" i="10"/>
  <c r="E1661" i="10"/>
  <c r="F1661" i="10"/>
  <c r="G1661" i="10"/>
  <c r="H1661" i="10"/>
  <c r="B1662" i="10"/>
  <c r="C1662" i="10"/>
  <c r="D1662" i="10"/>
  <c r="E1662" i="10"/>
  <c r="F1662" i="10"/>
  <c r="G1662" i="10"/>
  <c r="H1662" i="10"/>
  <c r="B1663" i="10"/>
  <c r="C1663" i="10"/>
  <c r="D1663" i="10"/>
  <c r="E1663" i="10"/>
  <c r="F1663" i="10"/>
  <c r="G1663" i="10"/>
  <c r="H1663" i="10"/>
  <c r="B1664" i="10"/>
  <c r="C1664" i="10"/>
  <c r="D1664" i="10"/>
  <c r="E1664" i="10"/>
  <c r="F1664" i="10"/>
  <c r="G1664" i="10"/>
  <c r="H1664" i="10"/>
  <c r="B1665" i="10"/>
  <c r="C1665" i="10"/>
  <c r="D1665" i="10"/>
  <c r="E1665" i="10"/>
  <c r="F1665" i="10"/>
  <c r="G1665" i="10"/>
  <c r="H1665" i="10"/>
  <c r="B1666" i="10"/>
  <c r="C1666" i="10"/>
  <c r="D1666" i="10"/>
  <c r="E1666" i="10"/>
  <c r="F1666" i="10"/>
  <c r="G1666" i="10"/>
  <c r="H1666" i="10"/>
  <c r="B1667" i="10"/>
  <c r="C1667" i="10"/>
  <c r="D1667" i="10"/>
  <c r="E1667" i="10"/>
  <c r="F1667" i="10"/>
  <c r="G1667" i="10"/>
  <c r="H1667" i="10"/>
  <c r="B1668" i="10"/>
  <c r="C1668" i="10"/>
  <c r="D1668" i="10"/>
  <c r="E1668" i="10"/>
  <c r="F1668" i="10"/>
  <c r="G1668" i="10"/>
  <c r="H1668" i="10"/>
  <c r="B1669" i="10"/>
  <c r="C1669" i="10"/>
  <c r="D1669" i="10"/>
  <c r="E1669" i="10"/>
  <c r="F1669" i="10"/>
  <c r="G1669" i="10"/>
  <c r="H1669" i="10"/>
  <c r="B1670" i="10"/>
  <c r="C1670" i="10"/>
  <c r="D1670" i="10"/>
  <c r="E1670" i="10"/>
  <c r="F1670" i="10"/>
  <c r="G1670" i="10"/>
  <c r="H1670" i="10"/>
  <c r="B1671" i="10"/>
  <c r="C1671" i="10"/>
  <c r="D1671" i="10"/>
  <c r="E1671" i="10"/>
  <c r="F1671" i="10"/>
  <c r="G1671" i="10"/>
  <c r="H1671" i="10"/>
  <c r="B1672" i="10"/>
  <c r="C1672" i="10"/>
  <c r="D1672" i="10"/>
  <c r="E1672" i="10"/>
  <c r="F1672" i="10"/>
  <c r="G1672" i="10"/>
  <c r="H1672" i="10"/>
  <c r="B1673" i="10"/>
  <c r="C1673" i="10"/>
  <c r="D1673" i="10"/>
  <c r="E1673" i="10"/>
  <c r="F1673" i="10"/>
  <c r="G1673" i="10"/>
  <c r="H1673" i="10"/>
  <c r="B1674" i="10"/>
  <c r="C1674" i="10"/>
  <c r="D1674" i="10"/>
  <c r="E1674" i="10"/>
  <c r="F1674" i="10"/>
  <c r="G1674" i="10"/>
  <c r="H1674" i="10"/>
  <c r="B1675" i="10"/>
  <c r="C1675" i="10"/>
  <c r="D1675" i="10"/>
  <c r="E1675" i="10"/>
  <c r="F1675" i="10"/>
  <c r="G1675" i="10"/>
  <c r="H1675" i="10"/>
  <c r="B1676" i="10"/>
  <c r="C1676" i="10"/>
  <c r="D1676" i="10"/>
  <c r="E1676" i="10"/>
  <c r="F1676" i="10"/>
  <c r="G1676" i="10"/>
  <c r="H1676" i="10"/>
  <c r="B1677" i="10"/>
  <c r="C1677" i="10"/>
  <c r="D1677" i="10"/>
  <c r="E1677" i="10"/>
  <c r="F1677" i="10"/>
  <c r="G1677" i="10"/>
  <c r="H1677" i="10"/>
  <c r="B1678" i="10"/>
  <c r="C1678" i="10"/>
  <c r="D1678" i="10"/>
  <c r="E1678" i="10"/>
  <c r="F1678" i="10"/>
  <c r="G1678" i="10"/>
  <c r="H1678" i="10"/>
  <c r="B1679" i="10"/>
  <c r="C1679" i="10"/>
  <c r="D1679" i="10"/>
  <c r="E1679" i="10"/>
  <c r="F1679" i="10"/>
  <c r="G1679" i="10"/>
  <c r="H1679" i="10"/>
  <c r="B1680" i="10"/>
  <c r="C1680" i="10"/>
  <c r="D1680" i="10"/>
  <c r="E1680" i="10"/>
  <c r="F1680" i="10"/>
  <c r="G1680" i="10"/>
  <c r="H1680" i="10"/>
  <c r="B1681" i="10"/>
  <c r="C1681" i="10"/>
  <c r="D1681" i="10"/>
  <c r="E1681" i="10"/>
  <c r="F1681" i="10"/>
  <c r="G1681" i="10"/>
  <c r="H1681" i="10"/>
  <c r="B1682" i="10"/>
  <c r="C1682" i="10"/>
  <c r="D1682" i="10"/>
  <c r="E1682" i="10"/>
  <c r="F1682" i="10"/>
  <c r="G1682" i="10"/>
  <c r="H1682" i="10"/>
  <c r="B1683" i="10"/>
  <c r="C1683" i="10"/>
  <c r="D1683" i="10"/>
  <c r="E1683" i="10"/>
  <c r="F1683" i="10"/>
  <c r="G1683" i="10"/>
  <c r="H1683" i="10"/>
  <c r="B1684" i="10"/>
  <c r="C1684" i="10"/>
  <c r="D1684" i="10"/>
  <c r="E1684" i="10"/>
  <c r="F1684" i="10"/>
  <c r="G1684" i="10"/>
  <c r="H1684" i="10"/>
  <c r="B1685" i="10"/>
  <c r="C1685" i="10"/>
  <c r="D1685" i="10"/>
  <c r="E1685" i="10"/>
  <c r="F1685" i="10"/>
  <c r="G1685" i="10"/>
  <c r="H1685" i="10"/>
  <c r="B1686" i="10"/>
  <c r="C1686" i="10"/>
  <c r="D1686" i="10"/>
  <c r="E1686" i="10"/>
  <c r="F1686" i="10"/>
  <c r="G1686" i="10"/>
  <c r="H1686" i="10"/>
  <c r="B1687" i="10"/>
  <c r="C1687" i="10"/>
  <c r="D1687" i="10"/>
  <c r="E1687" i="10"/>
  <c r="F1687" i="10"/>
  <c r="G1687" i="10"/>
  <c r="H1687" i="10"/>
  <c r="B1688" i="10"/>
  <c r="C1688" i="10"/>
  <c r="D1688" i="10"/>
  <c r="E1688" i="10"/>
  <c r="F1688" i="10"/>
  <c r="G1688" i="10"/>
  <c r="H1688" i="10"/>
  <c r="B1689" i="10"/>
  <c r="C1689" i="10"/>
  <c r="D1689" i="10"/>
  <c r="E1689" i="10"/>
  <c r="F1689" i="10"/>
  <c r="G1689" i="10"/>
  <c r="H1689" i="10"/>
  <c r="B1690" i="10"/>
  <c r="C1690" i="10"/>
  <c r="D1690" i="10"/>
  <c r="E1690" i="10"/>
  <c r="F1690" i="10"/>
  <c r="G1690" i="10"/>
  <c r="H1690" i="10"/>
  <c r="B1691" i="10"/>
  <c r="C1691" i="10"/>
  <c r="D1691" i="10"/>
  <c r="E1691" i="10"/>
  <c r="F1691" i="10"/>
  <c r="G1691" i="10"/>
  <c r="H1691" i="10"/>
  <c r="B1692" i="10"/>
  <c r="C1692" i="10"/>
  <c r="D1692" i="10"/>
  <c r="E1692" i="10"/>
  <c r="F1692" i="10"/>
  <c r="G1692" i="10"/>
  <c r="H1692" i="10"/>
  <c r="B1693" i="10"/>
  <c r="C1693" i="10"/>
  <c r="D1693" i="10"/>
  <c r="E1693" i="10"/>
  <c r="F1693" i="10"/>
  <c r="G1693" i="10"/>
  <c r="H1693" i="10"/>
  <c r="B1694" i="10"/>
  <c r="C1694" i="10"/>
  <c r="D1694" i="10"/>
  <c r="E1694" i="10"/>
  <c r="F1694" i="10"/>
  <c r="G1694" i="10"/>
  <c r="H1694" i="10"/>
  <c r="B1695" i="10"/>
  <c r="C1695" i="10"/>
  <c r="D1695" i="10"/>
  <c r="E1695" i="10"/>
  <c r="F1695" i="10"/>
  <c r="G1695" i="10"/>
  <c r="H1695" i="10"/>
  <c r="B1696" i="10"/>
  <c r="C1696" i="10"/>
  <c r="D1696" i="10"/>
  <c r="E1696" i="10"/>
  <c r="F1696" i="10"/>
  <c r="G1696" i="10"/>
  <c r="H1696" i="10"/>
  <c r="B1697" i="10"/>
  <c r="C1697" i="10"/>
  <c r="D1697" i="10"/>
  <c r="E1697" i="10"/>
  <c r="F1697" i="10"/>
  <c r="G1697" i="10"/>
  <c r="H1697" i="10"/>
  <c r="B1698" i="10"/>
  <c r="C1698" i="10"/>
  <c r="D1698" i="10"/>
  <c r="E1698" i="10"/>
  <c r="F1698" i="10"/>
  <c r="G1698" i="10"/>
  <c r="H1698" i="10"/>
  <c r="B1699" i="10"/>
  <c r="C1699" i="10"/>
  <c r="D1699" i="10"/>
  <c r="E1699" i="10"/>
  <c r="F1699" i="10"/>
  <c r="G1699" i="10"/>
  <c r="H1699" i="10"/>
  <c r="B1700" i="10"/>
  <c r="C1700" i="10"/>
  <c r="D1700" i="10"/>
  <c r="E1700" i="10"/>
  <c r="F1700" i="10"/>
  <c r="G1700" i="10"/>
  <c r="H1700" i="10"/>
  <c r="B1701" i="10"/>
  <c r="C1701" i="10"/>
  <c r="D1701" i="10"/>
  <c r="E1701" i="10"/>
  <c r="F1701" i="10"/>
  <c r="G1701" i="10"/>
  <c r="H1701" i="10"/>
  <c r="B1702" i="10"/>
  <c r="C1702" i="10"/>
  <c r="D1702" i="10"/>
  <c r="E1702" i="10"/>
  <c r="F1702" i="10"/>
  <c r="G1702" i="10"/>
  <c r="H1702" i="10"/>
  <c r="B1703" i="10"/>
  <c r="C1703" i="10"/>
  <c r="D1703" i="10"/>
  <c r="E1703" i="10"/>
  <c r="F1703" i="10"/>
  <c r="G1703" i="10"/>
  <c r="H1703" i="10"/>
  <c r="B1704" i="10"/>
  <c r="C1704" i="10"/>
  <c r="D1704" i="10"/>
  <c r="E1704" i="10"/>
  <c r="F1704" i="10"/>
  <c r="G1704" i="10"/>
  <c r="H1704" i="10"/>
  <c r="B1705" i="10"/>
  <c r="C1705" i="10"/>
  <c r="D1705" i="10"/>
  <c r="E1705" i="10"/>
  <c r="F1705" i="10"/>
  <c r="G1705" i="10"/>
  <c r="H1705" i="10"/>
  <c r="B1706" i="10"/>
  <c r="C1706" i="10"/>
  <c r="D1706" i="10"/>
  <c r="E1706" i="10"/>
  <c r="F1706" i="10"/>
  <c r="G1706" i="10"/>
  <c r="H1706" i="10"/>
  <c r="B1707" i="10"/>
  <c r="C1707" i="10"/>
  <c r="D1707" i="10"/>
  <c r="E1707" i="10"/>
  <c r="F1707" i="10"/>
  <c r="G1707" i="10"/>
  <c r="H1707" i="10"/>
  <c r="B1708" i="10"/>
  <c r="C1708" i="10"/>
  <c r="D1708" i="10"/>
  <c r="E1708" i="10"/>
  <c r="F1708" i="10"/>
  <c r="G1708" i="10"/>
  <c r="H1708" i="10"/>
  <c r="B1709" i="10"/>
  <c r="C1709" i="10"/>
  <c r="D1709" i="10"/>
  <c r="E1709" i="10"/>
  <c r="F1709" i="10"/>
  <c r="G1709" i="10"/>
  <c r="H1709" i="10"/>
  <c r="B1710" i="10"/>
  <c r="C1710" i="10"/>
  <c r="D1710" i="10"/>
  <c r="E1710" i="10"/>
  <c r="F1710" i="10"/>
  <c r="G1710" i="10"/>
  <c r="H1710" i="10"/>
  <c r="B1711" i="10"/>
  <c r="C1711" i="10"/>
  <c r="D1711" i="10"/>
  <c r="E1711" i="10"/>
  <c r="F1711" i="10"/>
  <c r="G1711" i="10"/>
  <c r="H1711" i="10"/>
  <c r="B1712" i="10"/>
  <c r="C1712" i="10"/>
  <c r="D1712" i="10"/>
  <c r="E1712" i="10"/>
  <c r="F1712" i="10"/>
  <c r="G1712" i="10"/>
  <c r="H1712" i="10"/>
  <c r="B1713" i="10"/>
  <c r="C1713" i="10"/>
  <c r="D1713" i="10"/>
  <c r="E1713" i="10"/>
  <c r="F1713" i="10"/>
  <c r="G1713" i="10"/>
  <c r="H1713" i="10"/>
  <c r="B1714" i="10"/>
  <c r="C1714" i="10"/>
  <c r="D1714" i="10"/>
  <c r="E1714" i="10"/>
  <c r="F1714" i="10"/>
  <c r="G1714" i="10"/>
  <c r="H1714" i="10"/>
  <c r="B1715" i="10"/>
  <c r="C1715" i="10"/>
  <c r="D1715" i="10"/>
  <c r="E1715" i="10"/>
  <c r="F1715" i="10"/>
  <c r="G1715" i="10"/>
  <c r="H1715" i="10"/>
  <c r="B1716" i="10"/>
  <c r="C1716" i="10"/>
  <c r="D1716" i="10"/>
  <c r="E1716" i="10"/>
  <c r="F1716" i="10"/>
  <c r="G1716" i="10"/>
  <c r="H1716" i="10"/>
  <c r="B1717" i="10"/>
  <c r="C1717" i="10"/>
  <c r="D1717" i="10"/>
  <c r="E1717" i="10"/>
  <c r="F1717" i="10"/>
  <c r="G1717" i="10"/>
  <c r="H1717" i="10"/>
  <c r="B1718" i="10"/>
  <c r="C1718" i="10"/>
  <c r="D1718" i="10"/>
  <c r="E1718" i="10"/>
  <c r="F1718" i="10"/>
  <c r="G1718" i="10"/>
  <c r="H1718" i="10"/>
  <c r="B1719" i="10"/>
  <c r="C1719" i="10"/>
  <c r="D1719" i="10"/>
  <c r="E1719" i="10"/>
  <c r="F1719" i="10"/>
  <c r="G1719" i="10"/>
  <c r="H1719" i="10"/>
  <c r="B1720" i="10"/>
  <c r="C1720" i="10"/>
  <c r="D1720" i="10"/>
  <c r="E1720" i="10"/>
  <c r="F1720" i="10"/>
  <c r="G1720" i="10"/>
  <c r="H1720" i="10"/>
  <c r="B1721" i="10"/>
  <c r="C1721" i="10"/>
  <c r="D1721" i="10"/>
  <c r="E1721" i="10"/>
  <c r="F1721" i="10"/>
  <c r="G1721" i="10"/>
  <c r="H1721" i="10"/>
  <c r="B1722" i="10"/>
  <c r="C1722" i="10"/>
  <c r="D1722" i="10"/>
  <c r="E1722" i="10"/>
  <c r="F1722" i="10"/>
  <c r="G1722" i="10"/>
  <c r="H1722" i="10"/>
  <c r="B1723" i="10"/>
  <c r="C1723" i="10"/>
  <c r="D1723" i="10"/>
  <c r="E1723" i="10"/>
  <c r="F1723" i="10"/>
  <c r="G1723" i="10"/>
  <c r="H1723" i="10"/>
  <c r="B1724" i="10"/>
  <c r="C1724" i="10"/>
  <c r="D1724" i="10"/>
  <c r="E1724" i="10"/>
  <c r="F1724" i="10"/>
  <c r="G1724" i="10"/>
  <c r="H1724" i="10"/>
  <c r="B1725" i="10"/>
  <c r="C1725" i="10"/>
  <c r="D1725" i="10"/>
  <c r="E1725" i="10"/>
  <c r="F1725" i="10"/>
  <c r="G1725" i="10"/>
  <c r="H1725" i="10"/>
  <c r="B1726" i="10"/>
  <c r="C1726" i="10"/>
  <c r="D1726" i="10"/>
  <c r="E1726" i="10"/>
  <c r="F1726" i="10"/>
  <c r="G1726" i="10"/>
  <c r="H1726" i="10"/>
  <c r="B1727" i="10"/>
  <c r="C1727" i="10"/>
  <c r="D1727" i="10"/>
  <c r="E1727" i="10"/>
  <c r="F1727" i="10"/>
  <c r="G1727" i="10"/>
  <c r="H1727" i="10"/>
  <c r="B1728" i="10"/>
  <c r="C1728" i="10"/>
  <c r="D1728" i="10"/>
  <c r="E1728" i="10"/>
  <c r="F1728" i="10"/>
  <c r="G1728" i="10"/>
  <c r="H1728" i="10"/>
  <c r="B1729" i="10"/>
  <c r="C1729" i="10"/>
  <c r="D1729" i="10"/>
  <c r="E1729" i="10"/>
  <c r="F1729" i="10"/>
  <c r="G1729" i="10"/>
  <c r="H1729" i="10"/>
  <c r="B1730" i="10"/>
  <c r="C1730" i="10"/>
  <c r="D1730" i="10"/>
  <c r="E1730" i="10"/>
  <c r="F1730" i="10"/>
  <c r="G1730" i="10"/>
  <c r="H1730" i="10"/>
  <c r="B1731" i="10"/>
  <c r="C1731" i="10"/>
  <c r="D1731" i="10"/>
  <c r="E1731" i="10"/>
  <c r="F1731" i="10"/>
  <c r="G1731" i="10"/>
  <c r="H1731" i="10"/>
  <c r="B1732" i="10"/>
  <c r="C1732" i="10"/>
  <c r="D1732" i="10"/>
  <c r="E1732" i="10"/>
  <c r="F1732" i="10"/>
  <c r="G1732" i="10"/>
  <c r="H1732" i="10"/>
  <c r="B1733" i="10"/>
  <c r="C1733" i="10"/>
  <c r="D1733" i="10"/>
  <c r="E1733" i="10"/>
  <c r="F1733" i="10"/>
  <c r="G1733" i="10"/>
  <c r="H1733" i="10"/>
  <c r="B1734" i="10"/>
  <c r="C1734" i="10"/>
  <c r="D1734" i="10"/>
  <c r="E1734" i="10"/>
  <c r="F1734" i="10"/>
  <c r="G1734" i="10"/>
  <c r="H1734" i="10"/>
  <c r="B1735" i="10"/>
  <c r="C1735" i="10"/>
  <c r="D1735" i="10"/>
  <c r="E1735" i="10"/>
  <c r="F1735" i="10"/>
  <c r="G1735" i="10"/>
  <c r="H1735" i="10"/>
  <c r="B1736" i="10"/>
  <c r="C1736" i="10"/>
  <c r="D1736" i="10"/>
  <c r="E1736" i="10"/>
  <c r="F1736" i="10"/>
  <c r="G1736" i="10"/>
  <c r="H1736" i="10"/>
  <c r="B1737" i="10"/>
  <c r="C1737" i="10"/>
  <c r="D1737" i="10"/>
  <c r="E1737" i="10"/>
  <c r="F1737" i="10"/>
  <c r="G1737" i="10"/>
  <c r="H1737" i="10"/>
  <c r="B1738" i="10"/>
  <c r="C1738" i="10"/>
  <c r="D1738" i="10"/>
  <c r="E1738" i="10"/>
  <c r="F1738" i="10"/>
  <c r="G1738" i="10"/>
  <c r="H1738" i="10"/>
  <c r="B1739" i="10"/>
  <c r="C1739" i="10"/>
  <c r="D1739" i="10"/>
  <c r="E1739" i="10"/>
  <c r="F1739" i="10"/>
  <c r="G1739" i="10"/>
  <c r="H1739" i="10"/>
  <c r="B1740" i="10"/>
  <c r="C1740" i="10"/>
  <c r="D1740" i="10"/>
  <c r="E1740" i="10"/>
  <c r="F1740" i="10"/>
  <c r="G1740" i="10"/>
  <c r="H1740" i="10"/>
  <c r="B1741" i="10"/>
  <c r="C1741" i="10"/>
  <c r="D1741" i="10"/>
  <c r="E1741" i="10"/>
  <c r="F1741" i="10"/>
  <c r="G1741" i="10"/>
  <c r="H1741" i="10"/>
  <c r="B1742" i="10"/>
  <c r="C1742" i="10"/>
  <c r="D1742" i="10"/>
  <c r="E1742" i="10"/>
  <c r="F1742" i="10"/>
  <c r="G1742" i="10"/>
  <c r="H1742" i="10"/>
  <c r="B1743" i="10"/>
  <c r="C1743" i="10"/>
  <c r="D1743" i="10"/>
  <c r="E1743" i="10"/>
  <c r="F1743" i="10"/>
  <c r="G1743" i="10"/>
  <c r="H1743" i="10"/>
  <c r="B1744" i="10"/>
  <c r="C1744" i="10"/>
  <c r="D1744" i="10"/>
  <c r="E1744" i="10"/>
  <c r="F1744" i="10"/>
  <c r="G1744" i="10"/>
  <c r="H1744" i="10"/>
  <c r="B1745" i="10"/>
  <c r="C1745" i="10"/>
  <c r="D1745" i="10"/>
  <c r="E1745" i="10"/>
  <c r="F1745" i="10"/>
  <c r="G1745" i="10"/>
  <c r="H1745" i="10"/>
  <c r="B1746" i="10"/>
  <c r="C1746" i="10"/>
  <c r="D1746" i="10"/>
  <c r="E1746" i="10"/>
  <c r="F1746" i="10"/>
  <c r="G1746" i="10"/>
  <c r="H1746" i="10"/>
  <c r="B1747" i="10"/>
  <c r="C1747" i="10"/>
  <c r="D1747" i="10"/>
  <c r="E1747" i="10"/>
  <c r="F1747" i="10"/>
  <c r="G1747" i="10"/>
  <c r="H1747" i="10"/>
  <c r="B1748" i="10"/>
  <c r="C1748" i="10"/>
  <c r="D1748" i="10"/>
  <c r="E1748" i="10"/>
  <c r="F1748" i="10"/>
  <c r="G1748" i="10"/>
  <c r="H1748" i="10"/>
  <c r="B1749" i="10"/>
  <c r="C1749" i="10"/>
  <c r="D1749" i="10"/>
  <c r="E1749" i="10"/>
  <c r="F1749" i="10"/>
  <c r="G1749" i="10"/>
  <c r="H1749" i="10"/>
  <c r="B1750" i="10"/>
  <c r="C1750" i="10"/>
  <c r="D1750" i="10"/>
  <c r="E1750" i="10"/>
  <c r="F1750" i="10"/>
  <c r="G1750" i="10"/>
  <c r="H1750" i="10"/>
  <c r="B1751" i="10"/>
  <c r="C1751" i="10"/>
  <c r="D1751" i="10"/>
  <c r="E1751" i="10"/>
  <c r="F1751" i="10"/>
  <c r="G1751" i="10"/>
  <c r="H1751" i="10"/>
  <c r="B1752" i="10"/>
  <c r="C1752" i="10"/>
  <c r="D1752" i="10"/>
  <c r="E1752" i="10"/>
  <c r="F1752" i="10"/>
  <c r="G1752" i="10"/>
  <c r="H1752" i="10"/>
  <c r="B1753" i="10"/>
  <c r="C1753" i="10"/>
  <c r="D1753" i="10"/>
  <c r="E1753" i="10"/>
  <c r="F1753" i="10"/>
  <c r="G1753" i="10"/>
  <c r="H1753" i="10"/>
  <c r="B1754" i="10"/>
  <c r="C1754" i="10"/>
  <c r="D1754" i="10"/>
  <c r="E1754" i="10"/>
  <c r="F1754" i="10"/>
  <c r="G1754" i="10"/>
  <c r="H1754" i="10"/>
  <c r="B1755" i="10"/>
  <c r="C1755" i="10"/>
  <c r="D1755" i="10"/>
  <c r="E1755" i="10"/>
  <c r="F1755" i="10"/>
  <c r="G1755" i="10"/>
  <c r="H1755" i="10"/>
  <c r="B1756" i="10"/>
  <c r="C1756" i="10"/>
  <c r="D1756" i="10"/>
  <c r="E1756" i="10"/>
  <c r="F1756" i="10"/>
  <c r="G1756" i="10"/>
  <c r="H1756" i="10"/>
  <c r="B1757" i="10"/>
  <c r="C1757" i="10"/>
  <c r="D1757" i="10"/>
  <c r="E1757" i="10"/>
  <c r="F1757" i="10"/>
  <c r="G1757" i="10"/>
  <c r="H1757" i="10"/>
  <c r="B1758" i="10"/>
  <c r="C1758" i="10"/>
  <c r="D1758" i="10"/>
  <c r="E1758" i="10"/>
  <c r="F1758" i="10"/>
  <c r="G1758" i="10"/>
  <c r="H1758" i="10"/>
  <c r="B1759" i="10"/>
  <c r="C1759" i="10"/>
  <c r="D1759" i="10"/>
  <c r="E1759" i="10"/>
  <c r="F1759" i="10"/>
  <c r="G1759" i="10"/>
  <c r="H1759" i="10"/>
  <c r="B1760" i="10"/>
  <c r="C1760" i="10"/>
  <c r="D1760" i="10"/>
  <c r="E1760" i="10"/>
  <c r="F1760" i="10"/>
  <c r="G1760" i="10"/>
  <c r="H1760" i="10"/>
  <c r="B1761" i="10"/>
  <c r="C1761" i="10"/>
  <c r="D1761" i="10"/>
  <c r="E1761" i="10"/>
  <c r="F1761" i="10"/>
  <c r="G1761" i="10"/>
  <c r="H1761" i="10"/>
  <c r="B1762" i="10"/>
  <c r="C1762" i="10"/>
  <c r="D1762" i="10"/>
  <c r="E1762" i="10"/>
  <c r="F1762" i="10"/>
  <c r="G1762" i="10"/>
  <c r="H1762" i="10"/>
  <c r="B1763" i="10"/>
  <c r="C1763" i="10"/>
  <c r="D1763" i="10"/>
  <c r="E1763" i="10"/>
  <c r="F1763" i="10"/>
  <c r="G1763" i="10"/>
  <c r="H1763" i="10"/>
  <c r="B1764" i="10"/>
  <c r="C1764" i="10"/>
  <c r="D1764" i="10"/>
  <c r="E1764" i="10"/>
  <c r="F1764" i="10"/>
  <c r="G1764" i="10"/>
  <c r="H1764" i="10"/>
  <c r="B1765" i="10"/>
  <c r="C1765" i="10"/>
  <c r="D1765" i="10"/>
  <c r="E1765" i="10"/>
  <c r="F1765" i="10"/>
  <c r="G1765" i="10"/>
  <c r="H1765" i="10"/>
  <c r="B1766" i="10"/>
  <c r="C1766" i="10"/>
  <c r="D1766" i="10"/>
  <c r="E1766" i="10"/>
  <c r="F1766" i="10"/>
  <c r="G1766" i="10"/>
  <c r="H1766" i="10"/>
  <c r="B1767" i="10"/>
  <c r="C1767" i="10"/>
  <c r="D1767" i="10"/>
  <c r="E1767" i="10"/>
  <c r="F1767" i="10"/>
  <c r="G1767" i="10"/>
  <c r="H1767" i="10"/>
  <c r="B1768" i="10"/>
  <c r="C1768" i="10"/>
  <c r="D1768" i="10"/>
  <c r="E1768" i="10"/>
  <c r="F1768" i="10"/>
  <c r="G1768" i="10"/>
  <c r="H1768" i="10"/>
  <c r="B1769" i="10"/>
  <c r="C1769" i="10"/>
  <c r="D1769" i="10"/>
  <c r="E1769" i="10"/>
  <c r="F1769" i="10"/>
  <c r="G1769" i="10"/>
  <c r="H1769" i="10"/>
  <c r="B1770" i="10"/>
  <c r="C1770" i="10"/>
  <c r="D1770" i="10"/>
  <c r="E1770" i="10"/>
  <c r="F1770" i="10"/>
  <c r="G1770" i="10"/>
  <c r="H1770" i="10"/>
  <c r="B1771" i="10"/>
  <c r="C1771" i="10"/>
  <c r="D1771" i="10"/>
  <c r="E1771" i="10"/>
  <c r="F1771" i="10"/>
  <c r="G1771" i="10"/>
  <c r="H1771" i="10"/>
  <c r="B1772" i="10"/>
  <c r="C1772" i="10"/>
  <c r="D1772" i="10"/>
  <c r="E1772" i="10"/>
  <c r="F1772" i="10"/>
  <c r="G1772" i="10"/>
  <c r="H1772" i="10"/>
  <c r="B1773" i="10"/>
  <c r="C1773" i="10"/>
  <c r="D1773" i="10"/>
  <c r="E1773" i="10"/>
  <c r="F1773" i="10"/>
  <c r="G1773" i="10"/>
  <c r="H1773" i="10"/>
  <c r="B1774" i="10"/>
  <c r="C1774" i="10"/>
  <c r="D1774" i="10"/>
  <c r="E1774" i="10"/>
  <c r="F1774" i="10"/>
  <c r="G1774" i="10"/>
  <c r="H1774" i="10"/>
  <c r="B1775" i="10"/>
  <c r="C1775" i="10"/>
  <c r="D1775" i="10"/>
  <c r="E1775" i="10"/>
  <c r="F1775" i="10"/>
  <c r="G1775" i="10"/>
  <c r="H1775" i="10"/>
  <c r="B1776" i="10"/>
  <c r="C1776" i="10"/>
  <c r="D1776" i="10"/>
  <c r="E1776" i="10"/>
  <c r="F1776" i="10"/>
  <c r="G1776" i="10"/>
  <c r="H1776" i="10"/>
  <c r="B1777" i="10"/>
  <c r="C1777" i="10"/>
  <c r="D1777" i="10"/>
  <c r="E1777" i="10"/>
  <c r="F1777" i="10"/>
  <c r="G1777" i="10"/>
  <c r="H1777" i="10"/>
  <c r="B1778" i="10"/>
  <c r="C1778" i="10"/>
  <c r="D1778" i="10"/>
  <c r="E1778" i="10"/>
  <c r="F1778" i="10"/>
  <c r="G1778" i="10"/>
  <c r="H1778" i="10"/>
  <c r="B1779" i="10"/>
  <c r="C1779" i="10"/>
  <c r="D1779" i="10"/>
  <c r="E1779" i="10"/>
  <c r="F1779" i="10"/>
  <c r="G1779" i="10"/>
  <c r="H1779" i="10"/>
  <c r="B1780" i="10"/>
  <c r="C1780" i="10"/>
  <c r="D1780" i="10"/>
  <c r="E1780" i="10"/>
  <c r="F1780" i="10"/>
  <c r="G1780" i="10"/>
  <c r="H1780" i="10"/>
  <c r="B1781" i="10"/>
  <c r="C1781" i="10"/>
  <c r="D1781" i="10"/>
  <c r="E1781" i="10"/>
  <c r="F1781" i="10"/>
  <c r="G1781" i="10"/>
  <c r="H1781" i="10"/>
  <c r="B1782" i="10"/>
  <c r="C1782" i="10"/>
  <c r="D1782" i="10"/>
  <c r="E1782" i="10"/>
  <c r="F1782" i="10"/>
  <c r="G1782" i="10"/>
  <c r="H1782" i="10"/>
  <c r="B1783" i="10"/>
  <c r="C1783" i="10"/>
  <c r="D1783" i="10"/>
  <c r="E1783" i="10"/>
  <c r="F1783" i="10"/>
  <c r="G1783" i="10"/>
  <c r="H1783" i="10"/>
  <c r="B1784" i="10"/>
  <c r="C1784" i="10"/>
  <c r="D1784" i="10"/>
  <c r="E1784" i="10"/>
  <c r="F1784" i="10"/>
  <c r="G1784" i="10"/>
  <c r="H1784" i="10"/>
  <c r="B1785" i="10"/>
  <c r="C1785" i="10"/>
  <c r="D1785" i="10"/>
  <c r="E1785" i="10"/>
  <c r="F1785" i="10"/>
  <c r="G1785" i="10"/>
  <c r="H1785" i="10"/>
  <c r="B1786" i="10"/>
  <c r="C1786" i="10"/>
  <c r="D1786" i="10"/>
  <c r="E1786" i="10"/>
  <c r="F1786" i="10"/>
  <c r="G1786" i="10"/>
  <c r="H1786" i="10"/>
  <c r="B1787" i="10"/>
  <c r="C1787" i="10"/>
  <c r="D1787" i="10"/>
  <c r="E1787" i="10"/>
  <c r="F1787" i="10"/>
  <c r="G1787" i="10"/>
  <c r="H1787" i="10"/>
  <c r="B1788" i="10"/>
  <c r="C1788" i="10"/>
  <c r="D1788" i="10"/>
  <c r="E1788" i="10"/>
  <c r="F1788" i="10"/>
  <c r="G1788" i="10"/>
  <c r="H1788" i="10"/>
  <c r="B1789" i="10"/>
  <c r="C1789" i="10"/>
  <c r="D1789" i="10"/>
  <c r="E1789" i="10"/>
  <c r="F1789" i="10"/>
  <c r="G1789" i="10"/>
  <c r="H1789" i="10"/>
  <c r="B1790" i="10"/>
  <c r="C1790" i="10"/>
  <c r="D1790" i="10"/>
  <c r="E1790" i="10"/>
  <c r="F1790" i="10"/>
  <c r="G1790" i="10"/>
  <c r="H1790" i="10"/>
  <c r="B1791" i="10"/>
  <c r="C1791" i="10"/>
  <c r="D1791" i="10"/>
  <c r="E1791" i="10"/>
  <c r="F1791" i="10"/>
  <c r="G1791" i="10"/>
  <c r="H1791" i="10"/>
  <c r="B1792" i="10"/>
  <c r="C1792" i="10"/>
  <c r="D1792" i="10"/>
  <c r="E1792" i="10"/>
  <c r="F1792" i="10"/>
  <c r="G1792" i="10"/>
  <c r="H1792" i="10"/>
  <c r="B1793" i="10"/>
  <c r="C1793" i="10"/>
  <c r="D1793" i="10"/>
  <c r="E1793" i="10"/>
  <c r="F1793" i="10"/>
  <c r="G1793" i="10"/>
  <c r="H1793" i="10"/>
  <c r="B1794" i="10"/>
  <c r="C1794" i="10"/>
  <c r="D1794" i="10"/>
  <c r="E1794" i="10"/>
  <c r="F1794" i="10"/>
  <c r="G1794" i="10"/>
  <c r="H1794" i="10"/>
  <c r="B1795" i="10"/>
  <c r="C1795" i="10"/>
  <c r="D1795" i="10"/>
  <c r="E1795" i="10"/>
  <c r="F1795" i="10"/>
  <c r="G1795" i="10"/>
  <c r="H1795" i="10"/>
  <c r="B1796" i="10"/>
  <c r="C1796" i="10"/>
  <c r="D1796" i="10"/>
  <c r="E1796" i="10"/>
  <c r="F1796" i="10"/>
  <c r="G1796" i="10"/>
  <c r="H1796" i="10"/>
  <c r="B1797" i="10"/>
  <c r="C1797" i="10"/>
  <c r="D1797" i="10"/>
  <c r="E1797" i="10"/>
  <c r="F1797" i="10"/>
  <c r="G1797" i="10"/>
  <c r="H1797" i="10"/>
  <c r="B1798" i="10"/>
  <c r="C1798" i="10"/>
  <c r="D1798" i="10"/>
  <c r="E1798" i="10"/>
  <c r="F1798" i="10"/>
  <c r="G1798" i="10"/>
  <c r="H1798" i="10"/>
  <c r="B1799" i="10"/>
  <c r="C1799" i="10"/>
  <c r="D1799" i="10"/>
  <c r="E1799" i="10"/>
  <c r="F1799" i="10"/>
  <c r="G1799" i="10"/>
  <c r="H1799" i="10"/>
  <c r="B1800" i="10"/>
  <c r="C1800" i="10"/>
  <c r="D1800" i="10"/>
  <c r="E1800" i="10"/>
  <c r="F1800" i="10"/>
  <c r="G1800" i="10"/>
  <c r="H1800" i="10"/>
  <c r="B1801" i="10"/>
  <c r="C1801" i="10"/>
  <c r="D1801" i="10"/>
  <c r="E1801" i="10"/>
  <c r="F1801" i="10"/>
  <c r="G1801" i="10"/>
  <c r="H1801" i="10"/>
  <c r="B1802" i="10"/>
  <c r="C1802" i="10"/>
  <c r="D1802" i="10"/>
  <c r="E1802" i="10"/>
  <c r="F1802" i="10"/>
  <c r="G1802" i="10"/>
  <c r="H1802" i="10"/>
  <c r="B1803" i="10"/>
  <c r="C1803" i="10"/>
  <c r="D1803" i="10"/>
  <c r="E1803" i="10"/>
  <c r="F1803" i="10"/>
  <c r="G1803" i="10"/>
  <c r="H1803" i="10"/>
  <c r="B1804" i="10"/>
  <c r="C1804" i="10"/>
  <c r="D1804" i="10"/>
  <c r="E1804" i="10"/>
  <c r="F1804" i="10"/>
  <c r="G1804" i="10"/>
  <c r="H1804" i="10"/>
  <c r="B1805" i="10"/>
  <c r="C1805" i="10"/>
  <c r="D1805" i="10"/>
  <c r="E1805" i="10"/>
  <c r="F1805" i="10"/>
  <c r="G1805" i="10"/>
  <c r="H1805" i="10"/>
  <c r="B1806" i="10"/>
  <c r="C1806" i="10"/>
  <c r="D1806" i="10"/>
  <c r="E1806" i="10"/>
  <c r="F1806" i="10"/>
  <c r="G1806" i="10"/>
  <c r="H1806" i="10"/>
  <c r="B1807" i="10"/>
  <c r="C1807" i="10"/>
  <c r="D1807" i="10"/>
  <c r="E1807" i="10"/>
  <c r="F1807" i="10"/>
  <c r="G1807" i="10"/>
  <c r="H1807" i="10"/>
  <c r="B1808" i="10"/>
  <c r="C1808" i="10"/>
  <c r="D1808" i="10"/>
  <c r="E1808" i="10"/>
  <c r="F1808" i="10"/>
  <c r="G1808" i="10"/>
  <c r="H1808" i="10"/>
  <c r="B1809" i="10"/>
  <c r="C1809" i="10"/>
  <c r="D1809" i="10"/>
  <c r="E1809" i="10"/>
  <c r="F1809" i="10"/>
  <c r="G1809" i="10"/>
  <c r="H1809" i="10"/>
  <c r="B1810" i="10"/>
  <c r="C1810" i="10"/>
  <c r="D1810" i="10"/>
  <c r="E1810" i="10"/>
  <c r="F1810" i="10"/>
  <c r="G1810" i="10"/>
  <c r="H1810" i="10"/>
  <c r="B1811" i="10"/>
  <c r="C1811" i="10"/>
  <c r="D1811" i="10"/>
  <c r="E1811" i="10"/>
  <c r="F1811" i="10"/>
  <c r="G1811" i="10"/>
  <c r="H1811" i="10"/>
  <c r="B1812" i="10"/>
  <c r="C1812" i="10"/>
  <c r="D1812" i="10"/>
  <c r="E1812" i="10"/>
  <c r="F1812" i="10"/>
  <c r="G1812" i="10"/>
  <c r="H1812" i="10"/>
  <c r="B1813" i="10"/>
  <c r="C1813" i="10"/>
  <c r="D1813" i="10"/>
  <c r="E1813" i="10"/>
  <c r="F1813" i="10"/>
  <c r="G1813" i="10"/>
  <c r="H1813" i="10"/>
  <c r="B1814" i="10"/>
  <c r="C1814" i="10"/>
  <c r="D1814" i="10"/>
  <c r="E1814" i="10"/>
  <c r="F1814" i="10"/>
  <c r="G1814" i="10"/>
  <c r="H1814" i="10"/>
  <c r="B1815" i="10"/>
  <c r="C1815" i="10"/>
  <c r="D1815" i="10"/>
  <c r="E1815" i="10"/>
  <c r="F1815" i="10"/>
  <c r="G1815" i="10"/>
  <c r="H1815" i="10"/>
  <c r="B1816" i="10"/>
  <c r="C1816" i="10"/>
  <c r="D1816" i="10"/>
  <c r="E1816" i="10"/>
  <c r="F1816" i="10"/>
  <c r="G1816" i="10"/>
  <c r="H1816" i="10"/>
  <c r="B1817" i="10"/>
  <c r="C1817" i="10"/>
  <c r="D1817" i="10"/>
  <c r="E1817" i="10"/>
  <c r="F1817" i="10"/>
  <c r="G1817" i="10"/>
  <c r="H1817" i="10"/>
  <c r="B1818" i="10"/>
  <c r="C1818" i="10"/>
  <c r="D1818" i="10"/>
  <c r="E1818" i="10"/>
  <c r="F1818" i="10"/>
  <c r="G1818" i="10"/>
  <c r="H1818" i="10"/>
  <c r="B1819" i="10"/>
  <c r="C1819" i="10"/>
  <c r="D1819" i="10"/>
  <c r="E1819" i="10"/>
  <c r="F1819" i="10"/>
  <c r="G1819" i="10"/>
  <c r="H1819" i="10"/>
  <c r="B1820" i="10"/>
  <c r="C1820" i="10"/>
  <c r="D1820" i="10"/>
  <c r="E1820" i="10"/>
  <c r="F1820" i="10"/>
  <c r="G1820" i="10"/>
  <c r="H1820" i="10"/>
  <c r="B1821" i="10"/>
  <c r="C1821" i="10"/>
  <c r="D1821" i="10"/>
  <c r="E1821" i="10"/>
  <c r="F1821" i="10"/>
  <c r="G1821" i="10"/>
  <c r="H1821" i="10"/>
  <c r="B1822" i="10"/>
  <c r="C1822" i="10"/>
  <c r="D1822" i="10"/>
  <c r="E1822" i="10"/>
  <c r="F1822" i="10"/>
  <c r="G1822" i="10"/>
  <c r="H1822" i="10"/>
  <c r="B1823" i="10"/>
  <c r="C1823" i="10"/>
  <c r="D1823" i="10"/>
  <c r="E1823" i="10"/>
  <c r="F1823" i="10"/>
  <c r="G1823" i="10"/>
  <c r="H1823" i="10"/>
  <c r="B1824" i="10"/>
  <c r="C1824" i="10"/>
  <c r="D1824" i="10"/>
  <c r="E1824" i="10"/>
  <c r="F1824" i="10"/>
  <c r="G1824" i="10"/>
  <c r="H1824" i="10"/>
  <c r="B1825" i="10"/>
  <c r="C1825" i="10"/>
  <c r="D1825" i="10"/>
  <c r="E1825" i="10"/>
  <c r="F1825" i="10"/>
  <c r="G1825" i="10"/>
  <c r="H1825" i="10"/>
  <c r="B1826" i="10"/>
  <c r="C1826" i="10"/>
  <c r="D1826" i="10"/>
  <c r="E1826" i="10"/>
  <c r="F1826" i="10"/>
  <c r="G1826" i="10"/>
  <c r="H1826" i="10"/>
  <c r="B1827" i="10"/>
  <c r="C1827" i="10"/>
  <c r="D1827" i="10"/>
  <c r="E1827" i="10"/>
  <c r="F1827" i="10"/>
  <c r="G1827" i="10"/>
  <c r="H1827" i="10"/>
  <c r="B1828" i="10"/>
  <c r="C1828" i="10"/>
  <c r="D1828" i="10"/>
  <c r="E1828" i="10"/>
  <c r="F1828" i="10"/>
  <c r="G1828" i="10"/>
  <c r="H1828" i="10"/>
  <c r="B1829" i="10"/>
  <c r="C1829" i="10"/>
  <c r="D1829" i="10"/>
  <c r="E1829" i="10"/>
  <c r="F1829" i="10"/>
  <c r="G1829" i="10"/>
  <c r="H1829" i="10"/>
  <c r="B1830" i="10"/>
  <c r="C1830" i="10"/>
  <c r="D1830" i="10"/>
  <c r="E1830" i="10"/>
  <c r="F1830" i="10"/>
  <c r="G1830" i="10"/>
  <c r="H1830" i="10"/>
  <c r="B1831" i="10"/>
  <c r="C1831" i="10"/>
  <c r="D1831" i="10"/>
  <c r="E1831" i="10"/>
  <c r="F1831" i="10"/>
  <c r="G1831" i="10"/>
  <c r="H1831" i="10"/>
  <c r="B1832" i="10"/>
  <c r="C1832" i="10"/>
  <c r="D1832" i="10"/>
  <c r="E1832" i="10"/>
  <c r="F1832" i="10"/>
  <c r="G1832" i="10"/>
  <c r="H1832" i="10"/>
  <c r="B1833" i="10"/>
  <c r="C1833" i="10"/>
  <c r="D1833" i="10"/>
  <c r="E1833" i="10"/>
  <c r="F1833" i="10"/>
  <c r="G1833" i="10"/>
  <c r="H1833" i="10"/>
  <c r="B1834" i="10"/>
  <c r="C1834" i="10"/>
  <c r="D1834" i="10"/>
  <c r="E1834" i="10"/>
  <c r="F1834" i="10"/>
  <c r="G1834" i="10"/>
  <c r="H1834" i="10"/>
  <c r="B1835" i="10"/>
  <c r="C1835" i="10"/>
  <c r="D1835" i="10"/>
  <c r="E1835" i="10"/>
  <c r="F1835" i="10"/>
  <c r="G1835" i="10"/>
  <c r="H1835" i="10"/>
  <c r="B1836" i="10"/>
  <c r="C1836" i="10"/>
  <c r="D1836" i="10"/>
  <c r="E1836" i="10"/>
  <c r="F1836" i="10"/>
  <c r="G1836" i="10"/>
  <c r="H1836" i="10"/>
  <c r="B1837" i="10"/>
  <c r="C1837" i="10"/>
  <c r="D1837" i="10"/>
  <c r="E1837" i="10"/>
  <c r="F1837" i="10"/>
  <c r="G1837" i="10"/>
  <c r="H1837" i="10"/>
  <c r="B1838" i="10"/>
  <c r="C1838" i="10"/>
  <c r="D1838" i="10"/>
  <c r="E1838" i="10"/>
  <c r="F1838" i="10"/>
  <c r="G1838" i="10"/>
  <c r="H1838" i="10"/>
  <c r="B1839" i="10"/>
  <c r="C1839" i="10"/>
  <c r="D1839" i="10"/>
  <c r="E1839" i="10"/>
  <c r="F1839" i="10"/>
  <c r="G1839" i="10"/>
  <c r="H1839" i="10"/>
  <c r="B1840" i="10"/>
  <c r="C1840" i="10"/>
  <c r="D1840" i="10"/>
  <c r="E1840" i="10"/>
  <c r="F1840" i="10"/>
  <c r="G1840" i="10"/>
  <c r="H1840" i="10"/>
  <c r="B1841" i="10"/>
  <c r="C1841" i="10"/>
  <c r="D1841" i="10"/>
  <c r="E1841" i="10"/>
  <c r="F1841" i="10"/>
  <c r="G1841" i="10"/>
  <c r="H1841" i="10"/>
  <c r="B1842" i="10"/>
  <c r="C1842" i="10"/>
  <c r="D1842" i="10"/>
  <c r="E1842" i="10"/>
  <c r="F1842" i="10"/>
  <c r="G1842" i="10"/>
  <c r="H1842" i="10"/>
  <c r="B1843" i="10"/>
  <c r="C1843" i="10"/>
  <c r="D1843" i="10"/>
  <c r="E1843" i="10"/>
  <c r="F1843" i="10"/>
  <c r="G1843" i="10"/>
  <c r="H1843" i="10"/>
  <c r="B1844" i="10"/>
  <c r="C1844" i="10"/>
  <c r="D1844" i="10"/>
  <c r="E1844" i="10"/>
  <c r="F1844" i="10"/>
  <c r="G1844" i="10"/>
  <c r="H1844" i="10"/>
  <c r="B1845" i="10"/>
  <c r="C1845" i="10"/>
  <c r="D1845" i="10"/>
  <c r="E1845" i="10"/>
  <c r="F1845" i="10"/>
  <c r="G1845" i="10"/>
  <c r="H1845" i="10"/>
  <c r="B1846" i="10"/>
  <c r="C1846" i="10"/>
  <c r="D1846" i="10"/>
  <c r="E1846" i="10"/>
  <c r="F1846" i="10"/>
  <c r="G1846" i="10"/>
  <c r="H1846" i="10"/>
  <c r="B1847" i="10"/>
  <c r="C1847" i="10"/>
  <c r="D1847" i="10"/>
  <c r="E1847" i="10"/>
  <c r="F1847" i="10"/>
  <c r="G1847" i="10"/>
  <c r="H1847" i="10"/>
  <c r="B1848" i="10"/>
  <c r="C1848" i="10"/>
  <c r="D1848" i="10"/>
  <c r="E1848" i="10"/>
  <c r="F1848" i="10"/>
  <c r="G1848" i="10"/>
  <c r="H1848" i="10"/>
  <c r="B1849" i="10"/>
  <c r="C1849" i="10"/>
  <c r="D1849" i="10"/>
  <c r="E1849" i="10"/>
  <c r="F1849" i="10"/>
  <c r="G1849" i="10"/>
  <c r="H1849" i="10"/>
  <c r="B1850" i="10"/>
  <c r="C1850" i="10"/>
  <c r="D1850" i="10"/>
  <c r="E1850" i="10"/>
  <c r="F1850" i="10"/>
  <c r="G1850" i="10"/>
  <c r="H1850" i="10"/>
  <c r="B1851" i="10"/>
  <c r="C1851" i="10"/>
  <c r="D1851" i="10"/>
  <c r="E1851" i="10"/>
  <c r="F1851" i="10"/>
  <c r="G1851" i="10"/>
  <c r="H1851" i="10"/>
  <c r="B1852" i="10"/>
  <c r="C1852" i="10"/>
  <c r="D1852" i="10"/>
  <c r="E1852" i="10"/>
  <c r="F1852" i="10"/>
  <c r="G1852" i="10"/>
  <c r="H1852" i="10"/>
  <c r="B1853" i="10"/>
  <c r="C1853" i="10"/>
  <c r="D1853" i="10"/>
  <c r="E1853" i="10"/>
  <c r="F1853" i="10"/>
  <c r="G1853" i="10"/>
  <c r="H1853" i="10"/>
  <c r="B1854" i="10"/>
  <c r="C1854" i="10"/>
  <c r="D1854" i="10"/>
  <c r="E1854" i="10"/>
  <c r="F1854" i="10"/>
  <c r="G1854" i="10"/>
  <c r="H1854" i="10"/>
  <c r="B1855" i="10"/>
  <c r="C1855" i="10"/>
  <c r="D1855" i="10"/>
  <c r="E1855" i="10"/>
  <c r="F1855" i="10"/>
  <c r="G1855" i="10"/>
  <c r="H1855" i="10"/>
  <c r="B1856" i="10"/>
  <c r="C1856" i="10"/>
  <c r="D1856" i="10"/>
  <c r="E1856" i="10"/>
  <c r="F1856" i="10"/>
  <c r="G1856" i="10"/>
  <c r="H1856" i="10"/>
  <c r="B1857" i="10"/>
  <c r="C1857" i="10"/>
  <c r="D1857" i="10"/>
  <c r="E1857" i="10"/>
  <c r="F1857" i="10"/>
  <c r="G1857" i="10"/>
  <c r="H1857" i="10"/>
  <c r="B1858" i="10"/>
  <c r="C1858" i="10"/>
  <c r="D1858" i="10"/>
  <c r="E1858" i="10"/>
  <c r="F1858" i="10"/>
  <c r="G1858" i="10"/>
  <c r="H1858" i="10"/>
  <c r="B1859" i="10"/>
  <c r="C1859" i="10"/>
  <c r="D1859" i="10"/>
  <c r="E1859" i="10"/>
  <c r="F1859" i="10"/>
  <c r="G1859" i="10"/>
  <c r="H1859" i="10"/>
  <c r="B1860" i="10"/>
  <c r="C1860" i="10"/>
  <c r="D1860" i="10"/>
  <c r="E1860" i="10"/>
  <c r="F1860" i="10"/>
  <c r="G1860" i="10"/>
  <c r="H1860" i="10"/>
  <c r="B1861" i="10"/>
  <c r="C1861" i="10"/>
  <c r="D1861" i="10"/>
  <c r="E1861" i="10"/>
  <c r="F1861" i="10"/>
  <c r="G1861" i="10"/>
  <c r="H1861" i="10"/>
  <c r="B1862" i="10"/>
  <c r="C1862" i="10"/>
  <c r="D1862" i="10"/>
  <c r="E1862" i="10"/>
  <c r="F1862" i="10"/>
  <c r="G1862" i="10"/>
  <c r="H1862" i="10"/>
  <c r="B1863" i="10"/>
  <c r="C1863" i="10"/>
  <c r="D1863" i="10"/>
  <c r="E1863" i="10"/>
  <c r="F1863" i="10"/>
  <c r="G1863" i="10"/>
  <c r="H1863" i="10"/>
  <c r="B1864" i="10"/>
  <c r="C1864" i="10"/>
  <c r="D1864" i="10"/>
  <c r="E1864" i="10"/>
  <c r="F1864" i="10"/>
  <c r="G1864" i="10"/>
  <c r="H1864" i="10"/>
  <c r="B1865" i="10"/>
  <c r="C1865" i="10"/>
  <c r="D1865" i="10"/>
  <c r="E1865" i="10"/>
  <c r="F1865" i="10"/>
  <c r="G1865" i="10"/>
  <c r="H1865" i="10"/>
  <c r="B1866" i="10"/>
  <c r="C1866" i="10"/>
  <c r="D1866" i="10"/>
  <c r="E1866" i="10"/>
  <c r="F1866" i="10"/>
  <c r="G1866" i="10"/>
  <c r="H1866" i="10"/>
  <c r="B1867" i="10"/>
  <c r="C1867" i="10"/>
  <c r="D1867" i="10"/>
  <c r="E1867" i="10"/>
  <c r="F1867" i="10"/>
  <c r="G1867" i="10"/>
  <c r="H1867" i="10"/>
  <c r="B1868" i="10"/>
  <c r="C1868" i="10"/>
  <c r="D1868" i="10"/>
  <c r="E1868" i="10"/>
  <c r="F1868" i="10"/>
  <c r="G1868" i="10"/>
  <c r="H1868" i="10"/>
  <c r="B1869" i="10"/>
  <c r="C1869" i="10"/>
  <c r="D1869" i="10"/>
  <c r="E1869" i="10"/>
  <c r="F1869" i="10"/>
  <c r="G1869" i="10"/>
  <c r="H1869" i="10"/>
  <c r="B1870" i="10"/>
  <c r="C1870" i="10"/>
  <c r="D1870" i="10"/>
  <c r="E1870" i="10"/>
  <c r="F1870" i="10"/>
  <c r="G1870" i="10"/>
  <c r="H1870" i="10"/>
  <c r="B1871" i="10"/>
  <c r="C1871" i="10"/>
  <c r="D1871" i="10"/>
  <c r="E1871" i="10"/>
  <c r="F1871" i="10"/>
  <c r="G1871" i="10"/>
  <c r="H1871" i="10"/>
  <c r="B1872" i="10"/>
  <c r="C1872" i="10"/>
  <c r="D1872" i="10"/>
  <c r="E1872" i="10"/>
  <c r="F1872" i="10"/>
  <c r="G1872" i="10"/>
  <c r="H1872" i="10"/>
  <c r="B1873" i="10"/>
  <c r="C1873" i="10"/>
  <c r="D1873" i="10"/>
  <c r="E1873" i="10"/>
  <c r="F1873" i="10"/>
  <c r="G1873" i="10"/>
  <c r="H1873" i="10"/>
  <c r="B1874" i="10"/>
  <c r="C1874" i="10"/>
  <c r="D1874" i="10"/>
  <c r="E1874" i="10"/>
  <c r="F1874" i="10"/>
  <c r="G1874" i="10"/>
  <c r="H1874" i="10"/>
  <c r="B1875" i="10"/>
  <c r="C1875" i="10"/>
  <c r="D1875" i="10"/>
  <c r="E1875" i="10"/>
  <c r="F1875" i="10"/>
  <c r="G1875" i="10"/>
  <c r="H1875" i="10"/>
  <c r="B1876" i="10"/>
  <c r="C1876" i="10"/>
  <c r="D1876" i="10"/>
  <c r="E1876" i="10"/>
  <c r="F1876" i="10"/>
  <c r="G1876" i="10"/>
  <c r="H1876" i="10"/>
  <c r="B1877" i="10"/>
  <c r="C1877" i="10"/>
  <c r="D1877" i="10"/>
  <c r="E1877" i="10"/>
  <c r="F1877" i="10"/>
  <c r="G1877" i="10"/>
  <c r="H1877" i="10"/>
  <c r="B1878" i="10"/>
  <c r="C1878" i="10"/>
  <c r="D1878" i="10"/>
  <c r="E1878" i="10"/>
  <c r="F1878" i="10"/>
  <c r="G1878" i="10"/>
  <c r="H1878" i="10"/>
  <c r="B1879" i="10"/>
  <c r="C1879" i="10"/>
  <c r="D1879" i="10"/>
  <c r="E1879" i="10"/>
  <c r="F1879" i="10"/>
  <c r="G1879" i="10"/>
  <c r="H1879" i="10"/>
  <c r="B1880" i="10"/>
  <c r="C1880" i="10"/>
  <c r="D1880" i="10"/>
  <c r="E1880" i="10"/>
  <c r="F1880" i="10"/>
  <c r="G1880" i="10"/>
  <c r="H1880" i="10"/>
  <c r="B1881" i="10"/>
  <c r="C1881" i="10"/>
  <c r="D1881" i="10"/>
  <c r="E1881" i="10"/>
  <c r="F1881" i="10"/>
  <c r="G1881" i="10"/>
  <c r="H1881" i="10"/>
  <c r="B1882" i="10"/>
  <c r="C1882" i="10"/>
  <c r="D1882" i="10"/>
  <c r="E1882" i="10"/>
  <c r="F1882" i="10"/>
  <c r="G1882" i="10"/>
  <c r="H1882" i="10"/>
  <c r="B1883" i="10"/>
  <c r="C1883" i="10"/>
  <c r="D1883" i="10"/>
  <c r="E1883" i="10"/>
  <c r="F1883" i="10"/>
  <c r="G1883" i="10"/>
  <c r="H1883" i="10"/>
  <c r="B1884" i="10"/>
  <c r="C1884" i="10"/>
  <c r="D1884" i="10"/>
  <c r="E1884" i="10"/>
  <c r="F1884" i="10"/>
  <c r="G1884" i="10"/>
  <c r="H1884" i="10"/>
  <c r="B1885" i="10"/>
  <c r="C1885" i="10"/>
  <c r="D1885" i="10"/>
  <c r="E1885" i="10"/>
  <c r="F1885" i="10"/>
  <c r="G1885" i="10"/>
  <c r="H1885" i="10"/>
  <c r="B1886" i="10"/>
  <c r="C1886" i="10"/>
  <c r="D1886" i="10"/>
  <c r="E1886" i="10"/>
  <c r="F1886" i="10"/>
  <c r="G1886" i="10"/>
  <c r="H1886" i="10"/>
  <c r="B1887" i="10"/>
  <c r="C1887" i="10"/>
  <c r="D1887" i="10"/>
  <c r="E1887" i="10"/>
  <c r="F1887" i="10"/>
  <c r="G1887" i="10"/>
  <c r="H1887" i="10"/>
  <c r="B1888" i="10"/>
  <c r="C1888" i="10"/>
  <c r="D1888" i="10"/>
  <c r="E1888" i="10"/>
  <c r="F1888" i="10"/>
  <c r="G1888" i="10"/>
  <c r="H1888" i="10"/>
  <c r="B1889" i="10"/>
  <c r="C1889" i="10"/>
  <c r="D1889" i="10"/>
  <c r="E1889" i="10"/>
  <c r="F1889" i="10"/>
  <c r="G1889" i="10"/>
  <c r="H1889" i="10"/>
  <c r="B1890" i="10"/>
  <c r="C1890" i="10"/>
  <c r="D1890" i="10"/>
  <c r="E1890" i="10"/>
  <c r="F1890" i="10"/>
  <c r="G1890" i="10"/>
  <c r="H1890" i="10"/>
  <c r="B1891" i="10"/>
  <c r="C1891" i="10"/>
  <c r="D1891" i="10"/>
  <c r="E1891" i="10"/>
  <c r="F1891" i="10"/>
  <c r="G1891" i="10"/>
  <c r="H1891" i="10"/>
  <c r="B1892" i="10"/>
  <c r="C1892" i="10"/>
  <c r="D1892" i="10"/>
  <c r="E1892" i="10"/>
  <c r="F1892" i="10"/>
  <c r="G1892" i="10"/>
  <c r="H1892" i="10"/>
  <c r="B1893" i="10"/>
  <c r="C1893" i="10"/>
  <c r="D1893" i="10"/>
  <c r="E1893" i="10"/>
  <c r="F1893" i="10"/>
  <c r="G1893" i="10"/>
  <c r="H1893" i="10"/>
  <c r="B1894" i="10"/>
  <c r="C1894" i="10"/>
  <c r="D1894" i="10"/>
  <c r="E1894" i="10"/>
  <c r="F1894" i="10"/>
  <c r="G1894" i="10"/>
  <c r="H1894" i="10"/>
  <c r="B1895" i="10"/>
  <c r="C1895" i="10"/>
  <c r="D1895" i="10"/>
  <c r="E1895" i="10"/>
  <c r="F1895" i="10"/>
  <c r="G1895" i="10"/>
  <c r="H1895" i="10"/>
  <c r="B1896" i="10"/>
  <c r="C1896" i="10"/>
  <c r="D1896" i="10"/>
  <c r="E1896" i="10"/>
  <c r="F1896" i="10"/>
  <c r="G1896" i="10"/>
  <c r="H1896" i="10"/>
  <c r="B1897" i="10"/>
  <c r="C1897" i="10"/>
  <c r="D1897" i="10"/>
  <c r="E1897" i="10"/>
  <c r="F1897" i="10"/>
  <c r="G1897" i="10"/>
  <c r="H1897" i="10"/>
  <c r="B1898" i="10"/>
  <c r="C1898" i="10"/>
  <c r="D1898" i="10"/>
  <c r="E1898" i="10"/>
  <c r="F1898" i="10"/>
  <c r="G1898" i="10"/>
  <c r="H1898" i="10"/>
  <c r="B1899" i="10"/>
  <c r="C1899" i="10"/>
  <c r="D1899" i="10"/>
  <c r="E1899" i="10"/>
  <c r="F1899" i="10"/>
  <c r="G1899" i="10"/>
  <c r="H1899" i="10"/>
  <c r="B1900" i="10"/>
  <c r="C1900" i="10"/>
  <c r="D1900" i="10"/>
  <c r="E1900" i="10"/>
  <c r="F1900" i="10"/>
  <c r="G1900" i="10"/>
  <c r="H1900" i="10"/>
  <c r="B1901" i="10"/>
  <c r="C1901" i="10"/>
  <c r="D1901" i="10"/>
  <c r="E1901" i="10"/>
  <c r="F1901" i="10"/>
  <c r="G1901" i="10"/>
  <c r="H1901" i="10"/>
  <c r="B1902" i="10"/>
  <c r="C1902" i="10"/>
  <c r="D1902" i="10"/>
  <c r="E1902" i="10"/>
  <c r="F1902" i="10"/>
  <c r="G1902" i="10"/>
  <c r="H1902" i="10"/>
  <c r="B1903" i="10"/>
  <c r="C1903" i="10"/>
  <c r="D1903" i="10"/>
  <c r="E1903" i="10"/>
  <c r="F1903" i="10"/>
  <c r="G1903" i="10"/>
  <c r="H1903" i="10"/>
  <c r="B1904" i="10"/>
  <c r="C1904" i="10"/>
  <c r="D1904" i="10"/>
  <c r="E1904" i="10"/>
  <c r="F1904" i="10"/>
  <c r="G1904" i="10"/>
  <c r="H1904" i="10"/>
  <c r="B1905" i="10"/>
  <c r="C1905" i="10"/>
  <c r="D1905" i="10"/>
  <c r="E1905" i="10"/>
  <c r="F1905" i="10"/>
  <c r="G1905" i="10"/>
  <c r="H1905" i="10"/>
  <c r="B1906" i="10"/>
  <c r="C1906" i="10"/>
  <c r="D1906" i="10"/>
  <c r="E1906" i="10"/>
  <c r="F1906" i="10"/>
  <c r="G1906" i="10"/>
  <c r="H1906" i="10"/>
  <c r="B1907" i="10"/>
  <c r="C1907" i="10"/>
  <c r="D1907" i="10"/>
  <c r="E1907" i="10"/>
  <c r="F1907" i="10"/>
  <c r="G1907" i="10"/>
  <c r="H1907" i="10"/>
  <c r="B1908" i="10"/>
  <c r="C1908" i="10"/>
  <c r="D1908" i="10"/>
  <c r="E1908" i="10"/>
  <c r="F1908" i="10"/>
  <c r="G1908" i="10"/>
  <c r="H1908" i="10"/>
  <c r="B1909" i="10"/>
  <c r="C1909" i="10"/>
  <c r="D1909" i="10"/>
  <c r="E1909" i="10"/>
  <c r="F1909" i="10"/>
  <c r="G1909" i="10"/>
  <c r="H1909" i="10"/>
  <c r="B1910" i="10"/>
  <c r="C1910" i="10"/>
  <c r="D1910" i="10"/>
  <c r="E1910" i="10"/>
  <c r="F1910" i="10"/>
  <c r="G1910" i="10"/>
  <c r="H1910" i="10"/>
  <c r="B1911" i="10"/>
  <c r="C1911" i="10"/>
  <c r="D1911" i="10"/>
  <c r="E1911" i="10"/>
  <c r="F1911" i="10"/>
  <c r="G1911" i="10"/>
  <c r="H1911" i="10"/>
  <c r="B1912" i="10"/>
  <c r="C1912" i="10"/>
  <c r="D1912" i="10"/>
  <c r="E1912" i="10"/>
  <c r="F1912" i="10"/>
  <c r="G1912" i="10"/>
  <c r="H1912" i="10"/>
  <c r="B1913" i="10"/>
  <c r="C1913" i="10"/>
  <c r="D1913" i="10"/>
  <c r="E1913" i="10"/>
  <c r="F1913" i="10"/>
  <c r="G1913" i="10"/>
  <c r="H1913" i="10"/>
  <c r="B1914" i="10"/>
  <c r="C1914" i="10"/>
  <c r="D1914" i="10"/>
  <c r="E1914" i="10"/>
  <c r="F1914" i="10"/>
  <c r="G1914" i="10"/>
  <c r="H1914" i="10"/>
  <c r="B1915" i="10"/>
  <c r="C1915" i="10"/>
  <c r="D1915" i="10"/>
  <c r="E1915" i="10"/>
  <c r="F1915" i="10"/>
  <c r="G1915" i="10"/>
  <c r="H1915" i="10"/>
  <c r="B1916" i="10"/>
  <c r="C1916" i="10"/>
  <c r="D1916" i="10"/>
  <c r="E1916" i="10"/>
  <c r="F1916" i="10"/>
  <c r="G1916" i="10"/>
  <c r="H1916" i="10"/>
  <c r="B1917" i="10"/>
  <c r="C1917" i="10"/>
  <c r="D1917" i="10"/>
  <c r="E1917" i="10"/>
  <c r="F1917" i="10"/>
  <c r="G1917" i="10"/>
  <c r="H1917" i="10"/>
  <c r="B1918" i="10"/>
  <c r="C1918" i="10"/>
  <c r="D1918" i="10"/>
  <c r="E1918" i="10"/>
  <c r="F1918" i="10"/>
  <c r="G1918" i="10"/>
  <c r="H1918" i="10"/>
  <c r="B1919" i="10"/>
  <c r="C1919" i="10"/>
  <c r="D1919" i="10"/>
  <c r="E1919" i="10"/>
  <c r="F1919" i="10"/>
  <c r="G1919" i="10"/>
  <c r="H1919" i="10"/>
  <c r="B1920" i="10"/>
  <c r="C1920" i="10"/>
  <c r="D1920" i="10"/>
  <c r="E1920" i="10"/>
  <c r="F1920" i="10"/>
  <c r="G1920" i="10"/>
  <c r="H1920" i="10"/>
  <c r="B1921" i="10"/>
  <c r="C1921" i="10"/>
  <c r="D1921" i="10"/>
  <c r="E1921" i="10"/>
  <c r="F1921" i="10"/>
  <c r="G1921" i="10"/>
  <c r="H1921" i="10"/>
  <c r="B1922" i="10"/>
  <c r="C1922" i="10"/>
  <c r="D1922" i="10"/>
  <c r="E1922" i="10"/>
  <c r="F1922" i="10"/>
  <c r="G1922" i="10"/>
  <c r="H1922" i="10"/>
  <c r="B1923" i="10"/>
  <c r="C1923" i="10"/>
  <c r="D1923" i="10"/>
  <c r="E1923" i="10"/>
  <c r="F1923" i="10"/>
  <c r="G1923" i="10"/>
  <c r="H1923" i="10"/>
  <c r="B1924" i="10"/>
  <c r="C1924" i="10"/>
  <c r="D1924" i="10"/>
  <c r="E1924" i="10"/>
  <c r="F1924" i="10"/>
  <c r="G1924" i="10"/>
  <c r="H1924" i="10"/>
  <c r="B1925" i="10"/>
  <c r="C1925" i="10"/>
  <c r="D1925" i="10"/>
  <c r="E1925" i="10"/>
  <c r="F1925" i="10"/>
  <c r="G1925" i="10"/>
  <c r="H1925" i="10"/>
  <c r="B1926" i="10"/>
  <c r="C1926" i="10"/>
  <c r="D1926" i="10"/>
  <c r="E1926" i="10"/>
  <c r="F1926" i="10"/>
  <c r="G1926" i="10"/>
  <c r="H1926" i="10"/>
  <c r="B1927" i="10"/>
  <c r="C1927" i="10"/>
  <c r="D1927" i="10"/>
  <c r="E1927" i="10"/>
  <c r="F1927" i="10"/>
  <c r="G1927" i="10"/>
  <c r="H1927" i="10"/>
  <c r="B1928" i="10"/>
  <c r="C1928" i="10"/>
  <c r="D1928" i="10"/>
  <c r="E1928" i="10"/>
  <c r="F1928" i="10"/>
  <c r="G1928" i="10"/>
  <c r="H1928" i="10"/>
  <c r="B1929" i="10"/>
  <c r="C1929" i="10"/>
  <c r="D1929" i="10"/>
  <c r="E1929" i="10"/>
  <c r="F1929" i="10"/>
  <c r="G1929" i="10"/>
  <c r="H1929" i="10"/>
  <c r="B1930" i="10"/>
  <c r="C1930" i="10"/>
  <c r="D1930" i="10"/>
  <c r="E1930" i="10"/>
  <c r="F1930" i="10"/>
  <c r="G1930" i="10"/>
  <c r="H1930" i="10"/>
  <c r="B1931" i="10"/>
  <c r="C1931" i="10"/>
  <c r="D1931" i="10"/>
  <c r="E1931" i="10"/>
  <c r="F1931" i="10"/>
  <c r="G1931" i="10"/>
  <c r="H1931" i="10"/>
  <c r="B1932" i="10"/>
  <c r="C1932" i="10"/>
  <c r="D1932" i="10"/>
  <c r="E1932" i="10"/>
  <c r="F1932" i="10"/>
  <c r="G1932" i="10"/>
  <c r="H1932" i="10"/>
  <c r="B1933" i="10"/>
  <c r="C1933" i="10"/>
  <c r="D1933" i="10"/>
  <c r="E1933" i="10"/>
  <c r="F1933" i="10"/>
  <c r="G1933" i="10"/>
  <c r="H1933" i="10"/>
  <c r="B1934" i="10"/>
  <c r="C1934" i="10"/>
  <c r="D1934" i="10"/>
  <c r="E1934" i="10"/>
  <c r="F1934" i="10"/>
  <c r="G1934" i="10"/>
  <c r="H1934" i="10"/>
  <c r="B1935" i="10"/>
  <c r="C1935" i="10"/>
  <c r="D1935" i="10"/>
  <c r="E1935" i="10"/>
  <c r="F1935" i="10"/>
  <c r="G1935" i="10"/>
  <c r="H1935" i="10"/>
  <c r="B1936" i="10"/>
  <c r="C1936" i="10"/>
  <c r="D1936" i="10"/>
  <c r="E1936" i="10"/>
  <c r="F1936" i="10"/>
  <c r="G1936" i="10"/>
  <c r="H1936" i="10"/>
  <c r="B1937" i="10"/>
  <c r="C1937" i="10"/>
  <c r="D1937" i="10"/>
  <c r="E1937" i="10"/>
  <c r="F1937" i="10"/>
  <c r="G1937" i="10"/>
  <c r="H1937" i="10"/>
  <c r="B1938" i="10"/>
  <c r="C1938" i="10"/>
  <c r="D1938" i="10"/>
  <c r="E1938" i="10"/>
  <c r="F1938" i="10"/>
  <c r="G1938" i="10"/>
  <c r="H1938" i="10"/>
  <c r="B1939" i="10"/>
  <c r="C1939" i="10"/>
  <c r="D1939" i="10"/>
  <c r="E1939" i="10"/>
  <c r="F1939" i="10"/>
  <c r="G1939" i="10"/>
  <c r="H1939" i="10"/>
  <c r="B1940" i="10"/>
  <c r="C1940" i="10"/>
  <c r="D1940" i="10"/>
  <c r="E1940" i="10"/>
  <c r="F1940" i="10"/>
  <c r="G1940" i="10"/>
  <c r="H1940" i="10"/>
  <c r="B1941" i="10"/>
  <c r="C1941" i="10"/>
  <c r="D1941" i="10"/>
  <c r="E1941" i="10"/>
  <c r="F1941" i="10"/>
  <c r="G1941" i="10"/>
  <c r="H1941" i="10"/>
  <c r="B1942" i="10"/>
  <c r="C1942" i="10"/>
  <c r="D1942" i="10"/>
  <c r="E1942" i="10"/>
  <c r="F1942" i="10"/>
  <c r="G1942" i="10"/>
  <c r="H1942" i="10"/>
  <c r="B1943" i="10"/>
  <c r="C1943" i="10"/>
  <c r="D1943" i="10"/>
  <c r="E1943" i="10"/>
  <c r="F1943" i="10"/>
  <c r="G1943" i="10"/>
  <c r="H1943" i="10"/>
  <c r="B1944" i="10"/>
  <c r="C1944" i="10"/>
  <c r="D1944" i="10"/>
  <c r="E1944" i="10"/>
  <c r="F1944" i="10"/>
  <c r="G1944" i="10"/>
  <c r="H1944" i="10"/>
  <c r="B1945" i="10"/>
  <c r="C1945" i="10"/>
  <c r="D1945" i="10"/>
  <c r="E1945" i="10"/>
  <c r="F1945" i="10"/>
  <c r="G1945" i="10"/>
  <c r="H1945" i="10"/>
  <c r="B1946" i="10"/>
  <c r="C1946" i="10"/>
  <c r="D1946" i="10"/>
  <c r="E1946" i="10"/>
  <c r="F1946" i="10"/>
  <c r="G1946" i="10"/>
  <c r="H1946" i="10"/>
  <c r="B1947" i="10"/>
  <c r="C1947" i="10"/>
  <c r="D1947" i="10"/>
  <c r="E1947" i="10"/>
  <c r="F1947" i="10"/>
  <c r="G1947" i="10"/>
  <c r="H1947" i="10"/>
  <c r="B1948" i="10"/>
  <c r="C1948" i="10"/>
  <c r="D1948" i="10"/>
  <c r="E1948" i="10"/>
  <c r="F1948" i="10"/>
  <c r="G1948" i="10"/>
  <c r="H1948" i="10"/>
  <c r="B1949" i="10"/>
  <c r="C1949" i="10"/>
  <c r="D1949" i="10"/>
  <c r="E1949" i="10"/>
  <c r="F1949" i="10"/>
  <c r="G1949" i="10"/>
  <c r="H1949" i="10"/>
  <c r="B1950" i="10"/>
  <c r="C1950" i="10"/>
  <c r="D1950" i="10"/>
  <c r="E1950" i="10"/>
  <c r="F1950" i="10"/>
  <c r="G1950" i="10"/>
  <c r="H1950" i="10"/>
  <c r="B1951" i="10"/>
  <c r="C1951" i="10"/>
  <c r="D1951" i="10"/>
  <c r="E1951" i="10"/>
  <c r="F1951" i="10"/>
  <c r="G1951" i="10"/>
  <c r="H1951" i="10"/>
  <c r="B1952" i="10"/>
  <c r="C1952" i="10"/>
  <c r="D1952" i="10"/>
  <c r="E1952" i="10"/>
  <c r="F1952" i="10"/>
  <c r="G1952" i="10"/>
  <c r="H1952" i="10"/>
  <c r="B1953" i="10"/>
  <c r="C1953" i="10"/>
  <c r="D1953" i="10"/>
  <c r="E1953" i="10"/>
  <c r="F1953" i="10"/>
  <c r="G1953" i="10"/>
  <c r="H1953" i="10"/>
  <c r="B1954" i="10"/>
  <c r="C1954" i="10"/>
  <c r="D1954" i="10"/>
  <c r="E1954" i="10"/>
  <c r="F1954" i="10"/>
  <c r="G1954" i="10"/>
  <c r="H1954" i="10"/>
  <c r="B1955" i="10"/>
  <c r="C1955" i="10"/>
  <c r="D1955" i="10"/>
  <c r="E1955" i="10"/>
  <c r="F1955" i="10"/>
  <c r="G1955" i="10"/>
  <c r="H1955" i="10"/>
  <c r="B1956" i="10"/>
  <c r="C1956" i="10"/>
  <c r="D1956" i="10"/>
  <c r="E1956" i="10"/>
  <c r="F1956" i="10"/>
  <c r="G1956" i="10"/>
  <c r="H1956" i="10"/>
  <c r="B1957" i="10"/>
  <c r="C1957" i="10"/>
  <c r="D1957" i="10"/>
  <c r="E1957" i="10"/>
  <c r="F1957" i="10"/>
  <c r="G1957" i="10"/>
  <c r="H1957" i="10"/>
  <c r="B1958" i="10"/>
  <c r="C1958" i="10"/>
  <c r="D1958" i="10"/>
  <c r="E1958" i="10"/>
  <c r="F1958" i="10"/>
  <c r="G1958" i="10"/>
  <c r="H1958" i="10"/>
  <c r="B1959" i="10"/>
  <c r="C1959" i="10"/>
  <c r="D1959" i="10"/>
  <c r="E1959" i="10"/>
  <c r="F1959" i="10"/>
  <c r="G1959" i="10"/>
  <c r="H1959" i="10"/>
  <c r="B1960" i="10"/>
  <c r="C1960" i="10"/>
  <c r="D1960" i="10"/>
  <c r="E1960" i="10"/>
  <c r="F1960" i="10"/>
  <c r="G1960" i="10"/>
  <c r="H1960" i="10"/>
  <c r="B1961" i="10"/>
  <c r="C1961" i="10"/>
  <c r="D1961" i="10"/>
  <c r="E1961" i="10"/>
  <c r="F1961" i="10"/>
  <c r="G1961" i="10"/>
  <c r="H1961" i="10"/>
  <c r="B1962" i="10"/>
  <c r="C1962" i="10"/>
  <c r="D1962" i="10"/>
  <c r="E1962" i="10"/>
  <c r="F1962" i="10"/>
  <c r="G1962" i="10"/>
  <c r="H1962" i="10"/>
  <c r="B1963" i="10"/>
  <c r="C1963" i="10"/>
  <c r="D1963" i="10"/>
  <c r="E1963" i="10"/>
  <c r="F1963" i="10"/>
  <c r="G1963" i="10"/>
  <c r="H1963" i="10"/>
  <c r="B1964" i="10"/>
  <c r="C1964" i="10"/>
  <c r="D1964" i="10"/>
  <c r="E1964" i="10"/>
  <c r="F1964" i="10"/>
  <c r="G1964" i="10"/>
  <c r="H1964" i="10"/>
  <c r="B1965" i="10"/>
  <c r="C1965" i="10"/>
  <c r="D1965" i="10"/>
  <c r="E1965" i="10"/>
  <c r="F1965" i="10"/>
  <c r="G1965" i="10"/>
  <c r="H1965" i="10"/>
  <c r="B1966" i="10"/>
  <c r="C1966" i="10"/>
  <c r="D1966" i="10"/>
  <c r="E1966" i="10"/>
  <c r="F1966" i="10"/>
  <c r="G1966" i="10"/>
  <c r="H1966" i="10"/>
  <c r="B1967" i="10"/>
  <c r="C1967" i="10"/>
  <c r="D1967" i="10"/>
  <c r="E1967" i="10"/>
  <c r="F1967" i="10"/>
  <c r="G1967" i="10"/>
  <c r="H1967" i="10"/>
  <c r="B1968" i="10"/>
  <c r="C1968" i="10"/>
  <c r="D1968" i="10"/>
  <c r="E1968" i="10"/>
  <c r="F1968" i="10"/>
  <c r="G1968" i="10"/>
  <c r="H1968" i="10"/>
  <c r="B1969" i="10"/>
  <c r="C1969" i="10"/>
  <c r="D1969" i="10"/>
  <c r="E1969" i="10"/>
  <c r="F1969" i="10"/>
  <c r="G1969" i="10"/>
  <c r="H1969" i="10"/>
  <c r="B1970" i="10"/>
  <c r="C1970" i="10"/>
  <c r="D1970" i="10"/>
  <c r="E1970" i="10"/>
  <c r="F1970" i="10"/>
  <c r="G1970" i="10"/>
  <c r="H1970" i="10"/>
  <c r="B1971" i="10"/>
  <c r="C1971" i="10"/>
  <c r="D1971" i="10"/>
  <c r="E1971" i="10"/>
  <c r="F1971" i="10"/>
  <c r="G1971" i="10"/>
  <c r="H1971" i="10"/>
  <c r="B1972" i="10"/>
  <c r="C1972" i="10"/>
  <c r="D1972" i="10"/>
  <c r="E1972" i="10"/>
  <c r="F1972" i="10"/>
  <c r="G1972" i="10"/>
  <c r="H1972" i="10"/>
  <c r="B1973" i="10"/>
  <c r="C1973" i="10"/>
  <c r="D1973" i="10"/>
  <c r="E1973" i="10"/>
  <c r="F1973" i="10"/>
  <c r="G1973" i="10"/>
  <c r="H1973" i="10"/>
  <c r="B1974" i="10"/>
  <c r="C1974" i="10"/>
  <c r="D1974" i="10"/>
  <c r="E1974" i="10"/>
  <c r="F1974" i="10"/>
  <c r="G1974" i="10"/>
  <c r="H1974" i="10"/>
  <c r="B1975" i="10"/>
  <c r="C1975" i="10"/>
  <c r="D1975" i="10"/>
  <c r="E1975" i="10"/>
  <c r="F1975" i="10"/>
  <c r="G1975" i="10"/>
  <c r="H1975" i="10"/>
  <c r="B1976" i="10"/>
  <c r="C1976" i="10"/>
  <c r="D1976" i="10"/>
  <c r="E1976" i="10"/>
  <c r="F1976" i="10"/>
  <c r="G1976" i="10"/>
  <c r="H1976" i="10"/>
  <c r="B1977" i="10"/>
  <c r="C1977" i="10"/>
  <c r="D1977" i="10"/>
  <c r="E1977" i="10"/>
  <c r="F1977" i="10"/>
  <c r="G1977" i="10"/>
  <c r="H1977" i="10"/>
  <c r="B1978" i="10"/>
  <c r="C1978" i="10"/>
  <c r="D1978" i="10"/>
  <c r="E1978" i="10"/>
  <c r="F1978" i="10"/>
  <c r="G1978" i="10"/>
  <c r="H1978" i="10"/>
  <c r="B1979" i="10"/>
  <c r="C1979" i="10"/>
  <c r="D1979" i="10"/>
  <c r="E1979" i="10"/>
  <c r="F1979" i="10"/>
  <c r="G1979" i="10"/>
  <c r="H1979" i="10"/>
  <c r="B1980" i="10"/>
  <c r="C1980" i="10"/>
  <c r="D1980" i="10"/>
  <c r="E1980" i="10"/>
  <c r="F1980" i="10"/>
  <c r="G1980" i="10"/>
  <c r="H1980" i="10"/>
  <c r="B1981" i="10"/>
  <c r="C1981" i="10"/>
  <c r="D1981" i="10"/>
  <c r="E1981" i="10"/>
  <c r="F1981" i="10"/>
  <c r="G1981" i="10"/>
  <c r="H1981" i="10"/>
  <c r="B1982" i="10"/>
  <c r="C1982" i="10"/>
  <c r="D1982" i="10"/>
  <c r="E1982" i="10"/>
  <c r="F1982" i="10"/>
  <c r="G1982" i="10"/>
  <c r="H1982" i="10"/>
  <c r="B1983" i="10"/>
  <c r="C1983" i="10"/>
  <c r="D1983" i="10"/>
  <c r="E1983" i="10"/>
  <c r="F1983" i="10"/>
  <c r="G1983" i="10"/>
  <c r="H1983" i="10"/>
  <c r="B1984" i="10"/>
  <c r="C1984" i="10"/>
  <c r="D1984" i="10"/>
  <c r="E1984" i="10"/>
  <c r="F1984" i="10"/>
  <c r="G1984" i="10"/>
  <c r="H1984" i="10"/>
  <c r="B1985" i="10"/>
  <c r="C1985" i="10"/>
  <c r="D1985" i="10"/>
  <c r="E1985" i="10"/>
  <c r="F1985" i="10"/>
  <c r="G1985" i="10"/>
  <c r="H1985" i="10"/>
  <c r="B1986" i="10"/>
  <c r="C1986" i="10"/>
  <c r="D1986" i="10"/>
  <c r="E1986" i="10"/>
  <c r="F1986" i="10"/>
  <c r="G1986" i="10"/>
  <c r="H1986" i="10"/>
  <c r="B1987" i="10"/>
  <c r="C1987" i="10"/>
  <c r="D1987" i="10"/>
  <c r="E1987" i="10"/>
  <c r="F1987" i="10"/>
  <c r="G1987" i="10"/>
  <c r="H1987" i="10"/>
  <c r="B1988" i="10"/>
  <c r="C1988" i="10"/>
  <c r="D1988" i="10"/>
  <c r="E1988" i="10"/>
  <c r="F1988" i="10"/>
  <c r="G1988" i="10"/>
  <c r="H1988" i="10"/>
  <c r="B1989" i="10"/>
  <c r="C1989" i="10"/>
  <c r="D1989" i="10"/>
  <c r="E1989" i="10"/>
  <c r="F1989" i="10"/>
  <c r="G1989" i="10"/>
  <c r="H1989" i="10"/>
  <c r="B1990" i="10"/>
  <c r="C1990" i="10"/>
  <c r="D1990" i="10"/>
  <c r="E1990" i="10"/>
  <c r="F1990" i="10"/>
  <c r="G1990" i="10"/>
  <c r="H1990" i="10"/>
  <c r="B1991" i="10"/>
  <c r="C1991" i="10"/>
  <c r="D1991" i="10"/>
  <c r="E1991" i="10"/>
  <c r="F1991" i="10"/>
  <c r="G1991" i="10"/>
  <c r="H1991" i="10"/>
  <c r="B1992" i="10"/>
  <c r="C1992" i="10"/>
  <c r="D1992" i="10"/>
  <c r="E1992" i="10"/>
  <c r="F1992" i="10"/>
  <c r="G1992" i="10"/>
  <c r="H1992" i="10"/>
  <c r="B1993" i="10"/>
  <c r="C1993" i="10"/>
  <c r="D1993" i="10"/>
  <c r="E1993" i="10"/>
  <c r="F1993" i="10"/>
  <c r="G1993" i="10"/>
  <c r="H1993" i="10"/>
  <c r="B1994" i="10"/>
  <c r="C1994" i="10"/>
  <c r="D1994" i="10"/>
  <c r="E1994" i="10"/>
  <c r="F1994" i="10"/>
  <c r="G1994" i="10"/>
  <c r="H1994" i="10"/>
  <c r="B1995" i="10"/>
  <c r="C1995" i="10"/>
  <c r="D1995" i="10"/>
  <c r="E1995" i="10"/>
  <c r="F1995" i="10"/>
  <c r="G1995" i="10"/>
  <c r="H1995" i="10"/>
  <c r="B1996" i="10"/>
  <c r="C1996" i="10"/>
  <c r="D1996" i="10"/>
  <c r="E1996" i="10"/>
  <c r="F1996" i="10"/>
  <c r="G1996" i="10"/>
  <c r="H1996" i="10"/>
  <c r="B1997" i="10"/>
  <c r="C1997" i="10"/>
  <c r="D1997" i="10"/>
  <c r="E1997" i="10"/>
  <c r="F1997" i="10"/>
  <c r="G1997" i="10"/>
  <c r="H1997" i="10"/>
  <c r="B1998" i="10"/>
  <c r="C1998" i="10"/>
  <c r="D1998" i="10"/>
  <c r="E1998" i="10"/>
  <c r="F1998" i="10"/>
  <c r="G1998" i="10"/>
  <c r="H1998" i="10"/>
  <c r="B1999" i="10"/>
  <c r="C1999" i="10"/>
  <c r="D1999" i="10"/>
  <c r="E1999" i="10"/>
  <c r="F1999" i="10"/>
  <c r="G1999" i="10"/>
  <c r="H1999" i="10"/>
  <c r="B2000" i="10"/>
  <c r="C2000" i="10"/>
  <c r="D2000" i="10"/>
  <c r="E2000" i="10"/>
  <c r="F2000" i="10"/>
  <c r="G2000" i="10"/>
  <c r="H2000" i="10"/>
  <c r="B2001" i="10"/>
  <c r="C2001" i="10"/>
  <c r="D2001" i="10"/>
  <c r="E2001" i="10"/>
  <c r="F2001" i="10"/>
  <c r="G2001" i="10"/>
  <c r="H2001" i="10"/>
  <c r="B2002" i="10"/>
  <c r="C2002" i="10"/>
  <c r="D2002" i="10"/>
  <c r="E2002" i="10"/>
  <c r="F2002" i="10"/>
  <c r="G2002" i="10"/>
  <c r="H2002" i="10"/>
  <c r="B2003" i="10"/>
  <c r="C2003" i="10"/>
  <c r="D2003" i="10"/>
  <c r="E2003" i="10"/>
  <c r="F2003" i="10"/>
  <c r="G2003" i="10"/>
  <c r="H2003" i="10"/>
  <c r="B2004" i="10"/>
  <c r="C2004" i="10"/>
  <c r="D2004" i="10"/>
  <c r="E2004" i="10"/>
  <c r="F2004" i="10"/>
  <c r="G2004" i="10"/>
  <c r="H2004" i="10"/>
  <c r="B2005" i="10"/>
  <c r="C2005" i="10"/>
  <c r="D2005" i="10"/>
  <c r="E2005" i="10"/>
  <c r="F2005" i="10"/>
  <c r="G2005" i="10"/>
  <c r="H2005" i="10"/>
  <c r="B2006" i="10"/>
  <c r="C2006" i="10"/>
  <c r="D2006" i="10"/>
  <c r="E2006" i="10"/>
  <c r="F2006" i="10"/>
  <c r="G2006" i="10"/>
  <c r="H2006" i="10"/>
  <c r="B2007" i="10"/>
  <c r="C2007" i="10"/>
  <c r="D2007" i="10"/>
  <c r="E2007" i="10"/>
  <c r="F2007" i="10"/>
  <c r="G2007" i="10"/>
  <c r="H2007" i="10"/>
  <c r="B2008" i="10"/>
  <c r="C2008" i="10"/>
  <c r="D2008" i="10"/>
  <c r="E2008" i="10"/>
  <c r="F2008" i="10"/>
  <c r="G2008" i="10"/>
  <c r="H2008" i="10"/>
  <c r="B2009" i="10"/>
  <c r="C2009" i="10"/>
  <c r="D2009" i="10"/>
  <c r="E2009" i="10"/>
  <c r="F2009" i="10"/>
  <c r="G2009" i="10"/>
  <c r="H2009" i="10"/>
  <c r="B2010" i="10"/>
  <c r="C2010" i="10"/>
  <c r="D2010" i="10"/>
  <c r="E2010" i="10"/>
  <c r="F2010" i="10"/>
  <c r="G2010" i="10"/>
  <c r="H2010" i="10"/>
  <c r="B2011" i="10"/>
  <c r="C2011" i="10"/>
  <c r="D2011" i="10"/>
  <c r="E2011" i="10"/>
  <c r="F2011" i="10"/>
  <c r="G2011" i="10"/>
  <c r="H2011" i="10"/>
  <c r="B2012" i="10"/>
  <c r="C2012" i="10"/>
  <c r="D2012" i="10"/>
  <c r="E2012" i="10"/>
  <c r="F2012" i="10"/>
  <c r="G2012" i="10"/>
  <c r="H2012" i="10"/>
  <c r="B2013" i="10"/>
  <c r="C2013" i="10"/>
  <c r="D2013" i="10"/>
  <c r="E2013" i="10"/>
  <c r="F2013" i="10"/>
  <c r="G2013" i="10"/>
  <c r="H2013" i="10"/>
  <c r="B2014" i="10"/>
  <c r="C2014" i="10"/>
  <c r="D2014" i="10"/>
  <c r="E2014" i="10"/>
  <c r="F2014" i="10"/>
  <c r="G2014" i="10"/>
  <c r="H2014" i="10"/>
  <c r="B2015" i="10"/>
  <c r="C2015" i="10"/>
  <c r="D2015" i="10"/>
  <c r="E2015" i="10"/>
  <c r="F2015" i="10"/>
  <c r="G2015" i="10"/>
  <c r="H2015" i="10"/>
  <c r="B2016" i="10"/>
  <c r="C2016" i="10"/>
  <c r="D2016" i="10"/>
  <c r="E2016" i="10"/>
  <c r="F2016" i="10"/>
  <c r="G2016" i="10"/>
  <c r="H2016" i="10"/>
  <c r="B2017" i="10"/>
  <c r="C2017" i="10"/>
  <c r="D2017" i="10"/>
  <c r="E2017" i="10"/>
  <c r="F2017" i="10"/>
  <c r="G2017" i="10"/>
  <c r="H2017" i="10"/>
  <c r="B2018" i="10"/>
  <c r="C2018" i="10"/>
  <c r="D2018" i="10"/>
  <c r="E2018" i="10"/>
  <c r="F2018" i="10"/>
  <c r="G2018" i="10"/>
  <c r="H2018" i="10"/>
  <c r="B2019" i="10"/>
  <c r="C2019" i="10"/>
  <c r="D2019" i="10"/>
  <c r="E2019" i="10"/>
  <c r="F2019" i="10"/>
  <c r="G2019" i="10"/>
  <c r="H2019" i="10"/>
  <c r="B2020" i="10"/>
  <c r="C2020" i="10"/>
  <c r="D2020" i="10"/>
  <c r="E2020" i="10"/>
  <c r="F2020" i="10"/>
  <c r="G2020" i="10"/>
  <c r="H2020" i="10"/>
  <c r="B2021" i="10"/>
  <c r="C2021" i="10"/>
  <c r="D2021" i="10"/>
  <c r="E2021" i="10"/>
  <c r="F2021" i="10"/>
  <c r="G2021" i="10"/>
  <c r="H2021" i="10"/>
  <c r="B2022" i="10"/>
  <c r="C2022" i="10"/>
  <c r="D2022" i="10"/>
  <c r="E2022" i="10"/>
  <c r="F2022" i="10"/>
  <c r="G2022" i="10"/>
  <c r="H2022" i="10"/>
  <c r="B2023" i="10"/>
  <c r="C2023" i="10"/>
  <c r="D2023" i="10"/>
  <c r="E2023" i="10"/>
  <c r="F2023" i="10"/>
  <c r="G2023" i="10"/>
  <c r="H2023" i="10"/>
  <c r="B2024" i="10"/>
  <c r="C2024" i="10"/>
  <c r="D2024" i="10"/>
  <c r="E2024" i="10"/>
  <c r="F2024" i="10"/>
  <c r="G2024" i="10"/>
  <c r="H2024" i="10"/>
  <c r="B2025" i="10"/>
  <c r="C2025" i="10"/>
  <c r="D2025" i="10"/>
  <c r="E2025" i="10"/>
  <c r="F2025" i="10"/>
  <c r="G2025" i="10"/>
  <c r="H2025" i="10"/>
  <c r="B2026" i="10"/>
  <c r="C2026" i="10"/>
  <c r="D2026" i="10"/>
  <c r="E2026" i="10"/>
  <c r="F2026" i="10"/>
  <c r="G2026" i="10"/>
  <c r="H2026" i="10"/>
  <c r="B2027" i="10"/>
  <c r="C2027" i="10"/>
  <c r="D2027" i="10"/>
  <c r="E2027" i="10"/>
  <c r="F2027" i="10"/>
  <c r="G2027" i="10"/>
  <c r="H2027" i="10"/>
  <c r="B2028" i="10"/>
  <c r="C2028" i="10"/>
  <c r="D2028" i="10"/>
  <c r="E2028" i="10"/>
  <c r="F2028" i="10"/>
  <c r="G2028" i="10"/>
  <c r="H2028" i="10"/>
  <c r="B2029" i="10"/>
  <c r="C2029" i="10"/>
  <c r="D2029" i="10"/>
  <c r="E2029" i="10"/>
  <c r="F2029" i="10"/>
  <c r="G2029" i="10"/>
  <c r="H2029" i="10"/>
  <c r="B2030" i="10"/>
  <c r="C2030" i="10"/>
  <c r="D2030" i="10"/>
  <c r="E2030" i="10"/>
  <c r="F2030" i="10"/>
  <c r="G2030" i="10"/>
  <c r="H2030" i="10"/>
  <c r="B2031" i="10"/>
  <c r="C2031" i="10"/>
  <c r="D2031" i="10"/>
  <c r="E2031" i="10"/>
  <c r="F2031" i="10"/>
  <c r="G2031" i="10"/>
  <c r="H2031" i="10"/>
  <c r="B2032" i="10"/>
  <c r="C2032" i="10"/>
  <c r="D2032" i="10"/>
  <c r="E2032" i="10"/>
  <c r="F2032" i="10"/>
  <c r="G2032" i="10"/>
  <c r="H2032" i="10"/>
  <c r="B2033" i="10"/>
  <c r="C2033" i="10"/>
  <c r="D2033" i="10"/>
  <c r="E2033" i="10"/>
  <c r="F2033" i="10"/>
  <c r="G2033" i="10"/>
  <c r="H2033" i="10"/>
  <c r="B2034" i="10"/>
  <c r="C2034" i="10"/>
  <c r="D2034" i="10"/>
  <c r="E2034" i="10"/>
  <c r="F2034" i="10"/>
  <c r="G2034" i="10"/>
  <c r="H2034" i="10"/>
  <c r="B2035" i="10"/>
  <c r="C2035" i="10"/>
  <c r="D2035" i="10"/>
  <c r="E2035" i="10"/>
  <c r="F2035" i="10"/>
  <c r="G2035" i="10"/>
  <c r="H2035" i="10"/>
  <c r="B2036" i="10"/>
  <c r="C2036" i="10"/>
  <c r="D2036" i="10"/>
  <c r="E2036" i="10"/>
  <c r="F2036" i="10"/>
  <c r="G2036" i="10"/>
  <c r="H2036" i="10"/>
  <c r="B2037" i="10"/>
  <c r="C2037" i="10"/>
  <c r="D2037" i="10"/>
  <c r="E2037" i="10"/>
  <c r="F2037" i="10"/>
  <c r="G2037" i="10"/>
  <c r="H2037" i="10"/>
  <c r="B2038" i="10"/>
  <c r="C2038" i="10"/>
  <c r="D2038" i="10"/>
  <c r="E2038" i="10"/>
  <c r="F2038" i="10"/>
  <c r="G2038" i="10"/>
  <c r="H2038" i="10"/>
  <c r="B2039" i="10"/>
  <c r="C2039" i="10"/>
  <c r="D2039" i="10"/>
  <c r="E2039" i="10"/>
  <c r="F2039" i="10"/>
  <c r="G2039" i="10"/>
  <c r="H2039" i="10"/>
  <c r="B2040" i="10"/>
  <c r="C2040" i="10"/>
  <c r="D2040" i="10"/>
  <c r="E2040" i="10"/>
  <c r="F2040" i="10"/>
  <c r="G2040" i="10"/>
  <c r="H2040" i="10"/>
  <c r="B2041" i="10"/>
  <c r="C2041" i="10"/>
  <c r="D2041" i="10"/>
  <c r="E2041" i="10"/>
  <c r="F2041" i="10"/>
  <c r="G2041" i="10"/>
  <c r="H2041" i="10"/>
  <c r="B2042" i="10"/>
  <c r="C2042" i="10"/>
  <c r="D2042" i="10"/>
  <c r="E2042" i="10"/>
  <c r="F2042" i="10"/>
  <c r="G2042" i="10"/>
  <c r="H2042" i="10"/>
  <c r="B2043" i="10"/>
  <c r="C2043" i="10"/>
  <c r="D2043" i="10"/>
  <c r="E2043" i="10"/>
  <c r="F2043" i="10"/>
  <c r="G2043" i="10"/>
  <c r="H2043" i="10"/>
  <c r="B2044" i="10"/>
  <c r="C2044" i="10"/>
  <c r="D2044" i="10"/>
  <c r="E2044" i="10"/>
  <c r="F2044" i="10"/>
  <c r="G2044" i="10"/>
  <c r="H2044" i="10"/>
  <c r="B2045" i="10"/>
  <c r="C2045" i="10"/>
  <c r="D2045" i="10"/>
  <c r="E2045" i="10"/>
  <c r="F2045" i="10"/>
  <c r="G2045" i="10"/>
  <c r="H2045" i="10"/>
  <c r="B2046" i="10"/>
  <c r="C2046" i="10"/>
  <c r="D2046" i="10"/>
  <c r="E2046" i="10"/>
  <c r="F2046" i="10"/>
  <c r="G2046" i="10"/>
  <c r="H2046" i="10"/>
  <c r="B2047" i="10"/>
  <c r="C2047" i="10"/>
  <c r="D2047" i="10"/>
  <c r="E2047" i="10"/>
  <c r="F2047" i="10"/>
  <c r="G2047" i="10"/>
  <c r="H2047" i="10"/>
  <c r="B2048" i="10"/>
  <c r="C2048" i="10"/>
  <c r="D2048" i="10"/>
  <c r="E2048" i="10"/>
  <c r="F2048" i="10"/>
  <c r="G2048" i="10"/>
  <c r="H2048" i="10"/>
  <c r="B2049" i="10"/>
  <c r="C2049" i="10"/>
  <c r="D2049" i="10"/>
  <c r="E2049" i="10"/>
  <c r="F2049" i="10"/>
  <c r="G2049" i="10"/>
  <c r="H2049" i="10"/>
  <c r="B2050" i="10"/>
  <c r="C2050" i="10"/>
  <c r="D2050" i="10"/>
  <c r="E2050" i="10"/>
  <c r="F2050" i="10"/>
  <c r="G2050" i="10"/>
  <c r="H2050" i="10"/>
  <c r="B2051" i="10"/>
  <c r="C2051" i="10"/>
  <c r="D2051" i="10"/>
  <c r="E2051" i="10"/>
  <c r="F2051" i="10"/>
  <c r="G2051" i="10"/>
  <c r="H2051" i="10"/>
  <c r="B2052" i="10"/>
  <c r="C2052" i="10"/>
  <c r="D2052" i="10"/>
  <c r="E2052" i="10"/>
  <c r="F2052" i="10"/>
  <c r="G2052" i="10"/>
  <c r="H2052" i="10"/>
  <c r="B2053" i="10"/>
  <c r="C2053" i="10"/>
  <c r="D2053" i="10"/>
  <c r="E2053" i="10"/>
  <c r="F2053" i="10"/>
  <c r="G2053" i="10"/>
  <c r="H2053" i="10"/>
  <c r="B2054" i="10"/>
  <c r="C2054" i="10"/>
  <c r="D2054" i="10"/>
  <c r="E2054" i="10"/>
  <c r="F2054" i="10"/>
  <c r="G2054" i="10"/>
  <c r="H2054" i="10"/>
  <c r="B2055" i="10"/>
  <c r="C2055" i="10"/>
  <c r="D2055" i="10"/>
  <c r="E2055" i="10"/>
  <c r="F2055" i="10"/>
  <c r="G2055" i="10"/>
  <c r="H2055" i="10"/>
  <c r="B2056" i="10"/>
  <c r="C2056" i="10"/>
  <c r="D2056" i="10"/>
  <c r="E2056" i="10"/>
  <c r="F2056" i="10"/>
  <c r="G2056" i="10"/>
  <c r="H2056" i="10"/>
  <c r="B2057" i="10"/>
  <c r="C2057" i="10"/>
  <c r="D2057" i="10"/>
  <c r="E2057" i="10"/>
  <c r="F2057" i="10"/>
  <c r="G2057" i="10"/>
  <c r="H2057" i="10"/>
  <c r="B2058" i="10"/>
  <c r="C2058" i="10"/>
  <c r="D2058" i="10"/>
  <c r="E2058" i="10"/>
  <c r="F2058" i="10"/>
  <c r="G2058" i="10"/>
  <c r="H2058" i="10"/>
  <c r="B2059" i="10"/>
  <c r="C2059" i="10"/>
  <c r="D2059" i="10"/>
  <c r="E2059" i="10"/>
  <c r="F2059" i="10"/>
  <c r="G2059" i="10"/>
  <c r="H2059" i="10"/>
  <c r="B2060" i="10"/>
  <c r="C2060" i="10"/>
  <c r="D2060" i="10"/>
  <c r="E2060" i="10"/>
  <c r="F2060" i="10"/>
  <c r="G2060" i="10"/>
  <c r="H2060" i="10"/>
  <c r="B2061" i="10"/>
  <c r="C2061" i="10"/>
  <c r="D2061" i="10"/>
  <c r="E2061" i="10"/>
  <c r="F2061" i="10"/>
  <c r="G2061" i="10"/>
  <c r="H2061" i="10"/>
  <c r="B2062" i="10"/>
  <c r="C2062" i="10"/>
  <c r="D2062" i="10"/>
  <c r="E2062" i="10"/>
  <c r="F2062" i="10"/>
  <c r="G2062" i="10"/>
  <c r="H2062" i="10"/>
  <c r="B2063" i="10"/>
  <c r="C2063" i="10"/>
  <c r="D2063" i="10"/>
  <c r="E2063" i="10"/>
  <c r="F2063" i="10"/>
  <c r="G2063" i="10"/>
  <c r="H2063" i="10"/>
  <c r="B2064" i="10"/>
  <c r="C2064" i="10"/>
  <c r="D2064" i="10"/>
  <c r="E2064" i="10"/>
  <c r="F2064" i="10"/>
  <c r="G2064" i="10"/>
  <c r="H2064" i="10"/>
  <c r="B2065" i="10"/>
  <c r="C2065" i="10"/>
  <c r="D2065" i="10"/>
  <c r="E2065" i="10"/>
  <c r="F2065" i="10"/>
  <c r="G2065" i="10"/>
  <c r="H2065" i="10"/>
  <c r="B2066" i="10"/>
  <c r="C2066" i="10"/>
  <c r="D2066" i="10"/>
  <c r="E2066" i="10"/>
  <c r="F2066" i="10"/>
  <c r="G2066" i="10"/>
  <c r="H2066" i="10"/>
  <c r="B2067" i="10"/>
  <c r="C2067" i="10"/>
  <c r="D2067" i="10"/>
  <c r="E2067" i="10"/>
  <c r="F2067" i="10"/>
  <c r="G2067" i="10"/>
  <c r="H2067" i="10"/>
  <c r="B2068" i="10"/>
  <c r="C2068" i="10"/>
  <c r="D2068" i="10"/>
  <c r="E2068" i="10"/>
  <c r="F2068" i="10"/>
  <c r="G2068" i="10"/>
  <c r="H2068" i="10"/>
  <c r="B2069" i="10"/>
  <c r="C2069" i="10"/>
  <c r="D2069" i="10"/>
  <c r="E2069" i="10"/>
  <c r="F2069" i="10"/>
  <c r="G2069" i="10"/>
  <c r="H2069" i="10"/>
  <c r="B2070" i="10"/>
  <c r="C2070" i="10"/>
  <c r="D2070" i="10"/>
  <c r="E2070" i="10"/>
  <c r="F2070" i="10"/>
  <c r="G2070" i="10"/>
  <c r="H2070" i="10"/>
  <c r="B2071" i="10"/>
  <c r="C2071" i="10"/>
  <c r="D2071" i="10"/>
  <c r="E2071" i="10"/>
  <c r="F2071" i="10"/>
  <c r="G2071" i="10"/>
  <c r="H2071" i="10"/>
  <c r="A2" i="16"/>
  <c r="B2" i="16"/>
  <c r="C2" i="16"/>
  <c r="D2" i="16"/>
  <c r="E2" i="16"/>
  <c r="F2" i="16"/>
  <c r="G2" i="16"/>
  <c r="H2" i="16"/>
  <c r="I2" i="16"/>
  <c r="J2" i="16"/>
  <c r="A3" i="16" a="1"/>
  <c r="A3" i="16"/>
  <c r="B3" i="16" a="1"/>
  <c r="B3" i="16"/>
  <c r="C3" i="16" a="1"/>
  <c r="C3" i="16"/>
  <c r="D3" i="16" a="1"/>
  <c r="D3" i="16"/>
  <c r="E3" i="16" a="1"/>
  <c r="E3" i="16"/>
  <c r="F3" i="16" a="1"/>
  <c r="F3" i="16"/>
  <c r="G3" i="16" a="1"/>
  <c r="G3" i="16"/>
  <c r="H3" i="16" a="1"/>
  <c r="H3" i="16"/>
  <c r="I3" i="16" a="1"/>
  <c r="I3" i="16"/>
  <c r="J3" i="16" a="1"/>
  <c r="J3" i="16"/>
  <c r="A4" i="16"/>
  <c r="B4" i="16"/>
  <c r="C4" i="16"/>
  <c r="D4" i="16"/>
  <c r="E4" i="16"/>
  <c r="F4" i="16"/>
  <c r="G4" i="16"/>
  <c r="H4" i="16"/>
  <c r="I4" i="16"/>
  <c r="J4" i="16"/>
  <c r="A5" i="16"/>
  <c r="B5" i="16"/>
  <c r="C5" i="16"/>
  <c r="D5" i="16"/>
  <c r="E5" i="16"/>
  <c r="F5" i="16"/>
  <c r="G5" i="16"/>
  <c r="H5" i="16"/>
  <c r="I5" i="16"/>
  <c r="J5" i="16"/>
  <c r="A6" i="16"/>
  <c r="B6" i="16"/>
  <c r="C6" i="16"/>
  <c r="D6" i="16"/>
  <c r="E6" i="16"/>
  <c r="F6" i="16"/>
  <c r="G6" i="16"/>
  <c r="H6" i="16"/>
  <c r="I6" i="16"/>
  <c r="J6" i="16"/>
  <c r="A7" i="16"/>
  <c r="B7" i="16"/>
  <c r="C7" i="16"/>
  <c r="D7" i="16"/>
  <c r="E7" i="16"/>
  <c r="F7" i="16"/>
  <c r="H7" i="16"/>
  <c r="I7" i="16"/>
  <c r="J7" i="16"/>
  <c r="A8" i="16"/>
  <c r="B8" i="16"/>
  <c r="C8" i="16"/>
  <c r="D8" i="16"/>
  <c r="E8" i="16"/>
  <c r="F8" i="16"/>
  <c r="H8" i="16"/>
  <c r="I8" i="16"/>
  <c r="J8" i="16"/>
  <c r="A9" i="16"/>
  <c r="B9" i="16"/>
  <c r="C9" i="16"/>
  <c r="D9" i="16"/>
  <c r="E9" i="16"/>
  <c r="F9" i="16"/>
  <c r="H9" i="16"/>
  <c r="I9" i="16"/>
  <c r="A10" i="16"/>
  <c r="B10" i="16"/>
  <c r="C10" i="16"/>
  <c r="D10" i="16"/>
  <c r="E10" i="16"/>
  <c r="H10" i="16"/>
  <c r="I10" i="16"/>
  <c r="A11" i="16"/>
  <c r="B11" i="16"/>
  <c r="C11" i="16"/>
  <c r="D11" i="16"/>
  <c r="E11" i="16"/>
  <c r="H11" i="16"/>
  <c r="I11" i="16"/>
  <c r="A12" i="16"/>
  <c r="B12" i="16"/>
  <c r="C12" i="16"/>
  <c r="E12" i="16"/>
  <c r="H12" i="16"/>
  <c r="I12" i="16"/>
  <c r="A13" i="16"/>
  <c r="B13" i="16"/>
  <c r="C13" i="16"/>
  <c r="E13" i="16"/>
  <c r="H13" i="16"/>
  <c r="I13" i="16"/>
  <c r="A14" i="16"/>
  <c r="B14" i="16"/>
  <c r="C14" i="16"/>
  <c r="E14" i="16"/>
  <c r="I14" i="16"/>
  <c r="A15" i="16"/>
  <c r="B15" i="16"/>
  <c r="C15" i="16"/>
  <c r="E15" i="16"/>
  <c r="I15" i="16"/>
  <c r="A16" i="16"/>
  <c r="B16" i="16"/>
  <c r="C16" i="16"/>
  <c r="E16" i="16"/>
  <c r="I16" i="16"/>
  <c r="A17" i="16"/>
  <c r="B17" i="16"/>
  <c r="C17" i="16"/>
  <c r="E17" i="16"/>
  <c r="I17" i="16"/>
  <c r="A18" i="16"/>
  <c r="B18" i="16"/>
  <c r="C18" i="16"/>
  <c r="E18" i="16"/>
  <c r="I18" i="16"/>
  <c r="A19" i="16"/>
  <c r="B19" i="16"/>
  <c r="C19" i="16"/>
  <c r="E19" i="16"/>
  <c r="I19" i="16"/>
  <c r="A20" i="16"/>
  <c r="B20" i="16"/>
  <c r="C20" i="16"/>
  <c r="E20" i="16"/>
  <c r="I20" i="16"/>
  <c r="A21" i="16"/>
  <c r="B21" i="16"/>
  <c r="C21" i="16"/>
  <c r="E21" i="16"/>
  <c r="I21" i="16"/>
  <c r="A22" i="16"/>
  <c r="C22" i="16"/>
  <c r="E22" i="16"/>
  <c r="I22" i="16"/>
  <c r="A23" i="16"/>
  <c r="C23" i="16"/>
  <c r="E23" i="16"/>
  <c r="I23" i="16"/>
  <c r="A24" i="16"/>
  <c r="C24" i="16"/>
  <c r="E24" i="16"/>
  <c r="I24" i="16"/>
  <c r="A25" i="16"/>
  <c r="C25" i="16"/>
  <c r="E25" i="16"/>
  <c r="I25" i="16"/>
  <c r="A26" i="16"/>
  <c r="C26" i="16"/>
  <c r="E26" i="16"/>
  <c r="I26" i="16"/>
  <c r="A27" i="16"/>
  <c r="C27" i="16"/>
  <c r="E27" i="16"/>
  <c r="A28" i="16"/>
  <c r="C28" i="16"/>
  <c r="E28" i="16"/>
  <c r="A29" i="16"/>
  <c r="C29" i="16"/>
  <c r="E29" i="16"/>
  <c r="A30" i="16"/>
  <c r="C30" i="16"/>
  <c r="E30" i="16"/>
  <c r="A31" i="16"/>
  <c r="C31" i="16"/>
  <c r="E31" i="16"/>
  <c r="A32" i="16"/>
  <c r="C32" i="16"/>
  <c r="E32" i="16"/>
  <c r="A33" i="16"/>
  <c r="C33" i="16"/>
  <c r="E33" i="16"/>
  <c r="C34" i="16"/>
  <c r="E34" i="16"/>
  <c r="C35" i="16"/>
  <c r="E35" i="16"/>
  <c r="C36" i="16"/>
  <c r="E36" i="16"/>
  <c r="C37" i="16"/>
  <c r="E37" i="16"/>
  <c r="C38" i="16"/>
  <c r="E38" i="16"/>
  <c r="C39" i="16"/>
  <c r="E39" i="16"/>
  <c r="C40" i="16"/>
  <c r="E40" i="16"/>
  <c r="C41" i="16"/>
  <c r="E41" i="16"/>
  <c r="C42" i="16"/>
  <c r="E42" i="16"/>
  <c r="C43" i="16"/>
  <c r="E43" i="16"/>
  <c r="C44" i="16"/>
  <c r="E44" i="16"/>
  <c r="C45" i="16"/>
  <c r="E45" i="16"/>
  <c r="C46" i="16"/>
  <c r="E46" i="16"/>
  <c r="C47" i="16"/>
  <c r="E47" i="16"/>
  <c r="C48" i="16"/>
  <c r="E48" i="16"/>
  <c r="C49" i="16"/>
  <c r="E49" i="16"/>
  <c r="C50" i="16"/>
  <c r="E50" i="16"/>
  <c r="C51" i="16"/>
  <c r="E51" i="16"/>
  <c r="C52" i="16"/>
  <c r="E52" i="16"/>
  <c r="C53" i="16"/>
  <c r="E53" i="16"/>
  <c r="C54" i="16"/>
  <c r="E54" i="16"/>
  <c r="C55" i="16"/>
  <c r="E55" i="16"/>
  <c r="C56" i="16"/>
  <c r="E56" i="16"/>
  <c r="C57" i="16"/>
  <c r="E57" i="16"/>
  <c r="C58" i="16"/>
  <c r="E58" i="16"/>
  <c r="C59" i="16"/>
  <c r="E59" i="16"/>
  <c r="C60" i="16"/>
  <c r="E9" i="12"/>
  <c r="F2" i="12"/>
  <c r="F9" i="12"/>
  <c r="G2" i="12"/>
  <c r="G9" i="12"/>
  <c r="H2" i="12"/>
  <c r="H9" i="12"/>
  <c r="F1" i="12"/>
  <c r="B5" i="12"/>
  <c r="A10" i="12"/>
  <c r="A12" i="12" a="1"/>
  <c r="A12" i="12"/>
  <c r="A13" i="12"/>
  <c r="A14" i="12"/>
  <c r="A15" i="12"/>
  <c r="A16" i="12"/>
  <c r="A17" i="12"/>
  <c r="A18" i="12"/>
  <c r="A19" i="12"/>
  <c r="A20" i="12"/>
  <c r="A21" i="12"/>
  <c r="A22" i="12"/>
  <c r="A23" i="12"/>
  <c r="B6" i="12"/>
  <c r="G12" i="12"/>
  <c r="H12" i="12"/>
  <c r="I12" i="12"/>
  <c r="J12" i="12"/>
  <c r="K12" i="12"/>
  <c r="L12" i="12"/>
  <c r="M12" i="12"/>
  <c r="N12" i="12"/>
  <c r="O12" i="12"/>
  <c r="P12" i="12"/>
  <c r="Q12" i="12"/>
  <c r="T12" i="12"/>
  <c r="G13" i="12"/>
  <c r="H13" i="12"/>
  <c r="I13" i="12"/>
  <c r="J13" i="12"/>
  <c r="K13" i="12"/>
  <c r="L13" i="12"/>
  <c r="M13" i="12"/>
  <c r="N13" i="12"/>
  <c r="O13" i="12"/>
  <c r="P13" i="12"/>
  <c r="Q13" i="12"/>
  <c r="T13" i="12"/>
  <c r="G14" i="12"/>
  <c r="H14" i="12"/>
  <c r="I14" i="12"/>
  <c r="J14" i="12"/>
  <c r="K14" i="12"/>
  <c r="L14" i="12"/>
  <c r="M14" i="12"/>
  <c r="N14" i="12"/>
  <c r="O14" i="12"/>
  <c r="P14" i="12"/>
  <c r="Q14" i="12"/>
  <c r="T14" i="12"/>
  <c r="G15" i="12"/>
  <c r="H15" i="12"/>
  <c r="I15" i="12"/>
  <c r="J15" i="12"/>
  <c r="K15" i="12"/>
  <c r="L15" i="12"/>
  <c r="M15" i="12"/>
  <c r="N15" i="12"/>
  <c r="O15" i="12"/>
  <c r="P15" i="12"/>
  <c r="Q15" i="12"/>
  <c r="T15" i="12"/>
  <c r="G16" i="12"/>
  <c r="H16" i="12"/>
  <c r="I16" i="12"/>
  <c r="J16" i="12"/>
  <c r="K16" i="12"/>
  <c r="L16" i="12"/>
  <c r="M16" i="12"/>
  <c r="N16" i="12"/>
  <c r="O16" i="12"/>
  <c r="P16" i="12"/>
  <c r="Q16" i="12"/>
  <c r="T16" i="12"/>
  <c r="G17" i="12"/>
  <c r="H17" i="12"/>
  <c r="I17" i="12"/>
  <c r="J17" i="12"/>
  <c r="K17" i="12"/>
  <c r="L17" i="12"/>
  <c r="M17" i="12"/>
  <c r="N17" i="12"/>
  <c r="O17" i="12"/>
  <c r="P17" i="12"/>
  <c r="Q17" i="12"/>
  <c r="T17" i="12"/>
  <c r="G18" i="12"/>
  <c r="H18" i="12"/>
  <c r="I18" i="12"/>
  <c r="J18" i="12"/>
  <c r="K18" i="12"/>
  <c r="L18" i="12"/>
  <c r="M18" i="12"/>
  <c r="N18" i="12"/>
  <c r="O18" i="12"/>
  <c r="P18" i="12"/>
  <c r="Q18" i="12"/>
  <c r="T18" i="12"/>
  <c r="G19" i="12"/>
  <c r="H19" i="12"/>
  <c r="I19" i="12"/>
  <c r="J19" i="12"/>
  <c r="K19" i="12"/>
  <c r="L19" i="12"/>
  <c r="M19" i="12"/>
  <c r="N19" i="12"/>
  <c r="O19" i="12"/>
  <c r="P19" i="12"/>
  <c r="Q19" i="12"/>
  <c r="T19" i="12"/>
  <c r="G20" i="12"/>
  <c r="H20" i="12"/>
  <c r="I20" i="12"/>
  <c r="J20" i="12"/>
  <c r="K20" i="12"/>
  <c r="L20" i="12"/>
  <c r="M20" i="12"/>
  <c r="N20" i="12"/>
  <c r="O20" i="12"/>
  <c r="P20" i="12"/>
  <c r="Q20" i="12"/>
  <c r="T20" i="12"/>
  <c r="G21" i="12"/>
  <c r="H21" i="12"/>
  <c r="I21" i="12"/>
  <c r="J21" i="12"/>
  <c r="K21" i="12"/>
  <c r="L21" i="12"/>
  <c r="M21" i="12"/>
  <c r="N21" i="12"/>
  <c r="O21" i="12"/>
  <c r="P21" i="12"/>
  <c r="Q21" i="12"/>
  <c r="T21" i="12"/>
  <c r="G22" i="12"/>
  <c r="H22" i="12"/>
  <c r="I22" i="12"/>
  <c r="J22" i="12"/>
  <c r="K22" i="12"/>
  <c r="L22" i="12"/>
  <c r="M22" i="12"/>
  <c r="N22" i="12"/>
  <c r="O22" i="12"/>
  <c r="P22" i="12"/>
  <c r="Q22" i="12"/>
  <c r="T22" i="12"/>
  <c r="G23" i="12"/>
  <c r="H23" i="12"/>
  <c r="I23" i="12"/>
  <c r="J23" i="12"/>
  <c r="K23" i="12"/>
  <c r="L23" i="12"/>
  <c r="M23" i="12"/>
  <c r="N23" i="12"/>
  <c r="O23" i="12"/>
  <c r="P23" i="12"/>
  <c r="Q23" i="12"/>
  <c r="A24" i="12"/>
  <c r="G24" i="12"/>
  <c r="H24" i="12"/>
  <c r="I24" i="12"/>
  <c r="J24" i="12"/>
  <c r="K24" i="12"/>
  <c r="L24" i="12"/>
  <c r="M24" i="12"/>
  <c r="N24" i="12"/>
  <c r="O24" i="12"/>
  <c r="P24" i="12"/>
  <c r="Q24" i="12"/>
  <c r="A25" i="12"/>
  <c r="G25" i="12"/>
  <c r="H25" i="12"/>
  <c r="I25" i="12"/>
  <c r="J25" i="12"/>
  <c r="K25" i="12"/>
  <c r="L25" i="12"/>
  <c r="M25" i="12"/>
  <c r="N25" i="12"/>
  <c r="O25" i="12"/>
  <c r="P25" i="12"/>
  <c r="Q25" i="12"/>
  <c r="A26" i="12"/>
  <c r="G26" i="12"/>
  <c r="H26" i="12"/>
  <c r="I26" i="12"/>
  <c r="J26" i="12"/>
  <c r="K26" i="12"/>
  <c r="L26" i="12"/>
  <c r="M26" i="12"/>
  <c r="N26" i="12"/>
  <c r="O26" i="12"/>
  <c r="P26" i="12"/>
  <c r="Q26" i="12"/>
  <c r="A27" i="12"/>
  <c r="G27" i="12"/>
  <c r="H27" i="12"/>
  <c r="I27" i="12"/>
  <c r="J27" i="12"/>
  <c r="K27" i="12"/>
  <c r="L27" i="12"/>
  <c r="M27" i="12"/>
  <c r="N27" i="12"/>
  <c r="O27" i="12"/>
  <c r="P27" i="12"/>
  <c r="Q27" i="12"/>
  <c r="A28" i="12"/>
  <c r="G28" i="12"/>
  <c r="H28" i="12"/>
  <c r="I28" i="12"/>
  <c r="J28" i="12"/>
  <c r="K28" i="12"/>
  <c r="L28" i="12"/>
  <c r="M28" i="12"/>
  <c r="N28" i="12"/>
  <c r="O28" i="12"/>
  <c r="P28" i="12"/>
  <c r="Q28" i="12"/>
  <c r="A29" i="12"/>
  <c r="G29" i="12"/>
  <c r="H29" i="12"/>
  <c r="I29" i="12"/>
  <c r="J29" i="12"/>
  <c r="K29" i="12"/>
  <c r="L29" i="12"/>
  <c r="M29" i="12"/>
  <c r="N29" i="12"/>
  <c r="O29" i="12"/>
  <c r="P29" i="12"/>
  <c r="Q29" i="12"/>
  <c r="A30" i="12"/>
  <c r="G30" i="12"/>
  <c r="H30" i="12"/>
  <c r="I30" i="12"/>
  <c r="J30" i="12"/>
  <c r="K30" i="12"/>
  <c r="L30" i="12"/>
  <c r="M30" i="12"/>
  <c r="N30" i="12"/>
  <c r="O30" i="12"/>
  <c r="P30" i="12"/>
  <c r="Q30" i="12"/>
  <c r="A31" i="12"/>
  <c r="G31" i="12"/>
  <c r="H31" i="12"/>
  <c r="I31" i="12"/>
  <c r="J31" i="12"/>
  <c r="K31" i="12"/>
  <c r="L31" i="12"/>
  <c r="M31" i="12"/>
  <c r="N31" i="12"/>
  <c r="O31" i="12"/>
  <c r="P31" i="12"/>
  <c r="Q31" i="12"/>
  <c r="A32" i="12"/>
  <c r="G32" i="12"/>
  <c r="H32" i="12"/>
  <c r="I32" i="12"/>
  <c r="J32" i="12"/>
  <c r="K32" i="12"/>
  <c r="L32" i="12"/>
  <c r="M32" i="12"/>
  <c r="N32" i="12"/>
  <c r="O32" i="12"/>
  <c r="P32" i="12"/>
  <c r="Q32" i="12"/>
  <c r="A33" i="12"/>
  <c r="G33" i="12"/>
  <c r="H33" i="12"/>
  <c r="I33" i="12"/>
  <c r="J33" i="12"/>
  <c r="K33" i="12"/>
  <c r="L33" i="12"/>
  <c r="M33" i="12"/>
  <c r="N33" i="12"/>
  <c r="O33" i="12"/>
  <c r="P33" i="12"/>
  <c r="Q33" i="12"/>
  <c r="A34" i="12"/>
  <c r="G34" i="12"/>
  <c r="H34" i="12"/>
  <c r="I34" i="12"/>
  <c r="J34" i="12"/>
  <c r="K34" i="12"/>
  <c r="L34" i="12"/>
  <c r="M34" i="12"/>
  <c r="N34" i="12"/>
  <c r="O34" i="12"/>
  <c r="P34" i="12"/>
  <c r="Q34" i="12"/>
  <c r="A35" i="12"/>
  <c r="G35" i="12"/>
  <c r="H35" i="12"/>
  <c r="I35" i="12"/>
  <c r="J35" i="12"/>
  <c r="K35" i="12"/>
  <c r="L35" i="12"/>
  <c r="M35" i="12"/>
  <c r="N35" i="12"/>
  <c r="O35" i="12"/>
  <c r="P35" i="12"/>
  <c r="Q35" i="12"/>
  <c r="A36" i="12"/>
  <c r="G36" i="12"/>
  <c r="H36" i="12"/>
  <c r="I36" i="12"/>
  <c r="J36" i="12"/>
  <c r="K36" i="12"/>
  <c r="L36" i="12"/>
  <c r="M36" i="12"/>
  <c r="N36" i="12"/>
  <c r="O36" i="12"/>
  <c r="P36" i="12"/>
  <c r="Q36" i="12"/>
  <c r="A37" i="12"/>
  <c r="G37" i="12"/>
  <c r="H37" i="12"/>
  <c r="I37" i="12"/>
  <c r="J37" i="12"/>
  <c r="K37" i="12"/>
  <c r="L37" i="12"/>
  <c r="M37" i="12"/>
  <c r="N37" i="12"/>
  <c r="O37" i="12"/>
  <c r="P37" i="12"/>
  <c r="Q37" i="12"/>
  <c r="A38" i="12"/>
  <c r="G38" i="12"/>
  <c r="H38" i="12"/>
  <c r="I38" i="12"/>
  <c r="J38" i="12"/>
  <c r="K38" i="12"/>
  <c r="L38" i="12"/>
  <c r="M38" i="12"/>
  <c r="N38" i="12"/>
  <c r="O38" i="12"/>
  <c r="P38" i="12"/>
  <c r="Q38" i="12"/>
  <c r="A39" i="12"/>
  <c r="G39" i="12"/>
  <c r="H39" i="12"/>
  <c r="I39" i="12"/>
  <c r="J39" i="12"/>
  <c r="K39" i="12"/>
  <c r="L39" i="12"/>
  <c r="M39" i="12"/>
  <c r="N39" i="12"/>
  <c r="O39" i="12"/>
  <c r="P39" i="12"/>
  <c r="Q39" i="12"/>
  <c r="A40" i="12"/>
  <c r="G40" i="12"/>
  <c r="H40" i="12"/>
  <c r="I40" i="12"/>
  <c r="J40" i="12"/>
  <c r="K40" i="12"/>
  <c r="L40" i="12"/>
  <c r="M40" i="12"/>
  <c r="N40" i="12"/>
  <c r="O40" i="12"/>
  <c r="P40" i="12"/>
  <c r="Q40" i="12"/>
  <c r="A41" i="12"/>
  <c r="G41" i="12"/>
  <c r="H41" i="12"/>
  <c r="I41" i="12"/>
  <c r="J41" i="12"/>
  <c r="K41" i="12"/>
  <c r="L41" i="12"/>
  <c r="M41" i="12"/>
  <c r="N41" i="12"/>
  <c r="O41" i="12"/>
  <c r="P41" i="12"/>
  <c r="Q41" i="12"/>
  <c r="A42" i="12"/>
  <c r="G42" i="12"/>
  <c r="H42" i="12"/>
  <c r="I42" i="12"/>
  <c r="J42" i="12"/>
  <c r="K42" i="12"/>
  <c r="L42" i="12"/>
  <c r="M42" i="12"/>
  <c r="N42" i="12"/>
  <c r="O42" i="12"/>
  <c r="P42" i="12"/>
  <c r="Q42" i="12"/>
  <c r="A43" i="12"/>
  <c r="G43" i="12"/>
  <c r="H43" i="12"/>
  <c r="I43" i="12"/>
  <c r="J43" i="12"/>
  <c r="K43" i="12"/>
  <c r="L43" i="12"/>
  <c r="M43" i="12"/>
  <c r="N43" i="12"/>
  <c r="O43" i="12"/>
  <c r="P43" i="12"/>
  <c r="Q43" i="12"/>
  <c r="A44" i="12"/>
  <c r="G44" i="12"/>
  <c r="H44" i="12"/>
  <c r="I44" i="12"/>
  <c r="J44" i="12"/>
  <c r="K44" i="12"/>
  <c r="L44" i="12"/>
  <c r="M44" i="12"/>
  <c r="N44" i="12"/>
  <c r="O44" i="12"/>
  <c r="P44" i="12"/>
  <c r="Q44" i="12"/>
  <c r="A45" i="12"/>
  <c r="G45" i="12"/>
  <c r="H45" i="12"/>
  <c r="I45" i="12"/>
  <c r="J45" i="12"/>
  <c r="K45" i="12"/>
  <c r="L45" i="12"/>
  <c r="M45" i="12"/>
  <c r="N45" i="12"/>
  <c r="O45" i="12"/>
  <c r="P45" i="12"/>
  <c r="Q45" i="12"/>
  <c r="A46" i="12"/>
  <c r="G46" i="12"/>
  <c r="H46" i="12"/>
  <c r="I46" i="12"/>
  <c r="J46" i="12"/>
  <c r="K46" i="12"/>
  <c r="L46" i="12"/>
  <c r="M46" i="12"/>
  <c r="N46" i="12"/>
  <c r="O46" i="12"/>
  <c r="P46" i="12"/>
  <c r="Q46" i="12"/>
  <c r="A47" i="12"/>
  <c r="G47" i="12"/>
  <c r="H47" i="12"/>
  <c r="I47" i="12"/>
  <c r="J47" i="12"/>
  <c r="K47" i="12"/>
  <c r="L47" i="12"/>
  <c r="M47" i="12"/>
  <c r="N47" i="12"/>
  <c r="O47" i="12"/>
  <c r="P47" i="12"/>
  <c r="Q47" i="12"/>
  <c r="A48" i="12"/>
  <c r="G48" i="12"/>
  <c r="H48" i="12"/>
  <c r="I48" i="12"/>
  <c r="J48" i="12"/>
  <c r="K48" i="12"/>
  <c r="L48" i="12"/>
  <c r="M48" i="12"/>
  <c r="N48" i="12"/>
  <c r="O48" i="12"/>
  <c r="P48" i="12"/>
  <c r="Q48" i="12"/>
  <c r="A49" i="12"/>
  <c r="G49" i="12"/>
  <c r="H49" i="12"/>
  <c r="I49" i="12"/>
  <c r="J49" i="12"/>
  <c r="K49" i="12"/>
  <c r="L49" i="12"/>
  <c r="M49" i="12"/>
  <c r="N49" i="12"/>
  <c r="O49" i="12"/>
  <c r="P49" i="12"/>
  <c r="Q49" i="12"/>
  <c r="A50" i="12"/>
  <c r="G50" i="12"/>
  <c r="H50" i="12"/>
  <c r="I50" i="12"/>
  <c r="J50" i="12"/>
  <c r="K50" i="12"/>
  <c r="L50" i="12"/>
  <c r="M50" i="12"/>
  <c r="N50" i="12"/>
  <c r="O50" i="12"/>
  <c r="P50" i="12"/>
  <c r="Q50" i="12"/>
  <c r="A51" i="12"/>
  <c r="G51" i="12"/>
  <c r="H51" i="12"/>
  <c r="I51" i="12"/>
  <c r="J51" i="12"/>
  <c r="K51" i="12"/>
  <c r="L51" i="12"/>
  <c r="M51" i="12"/>
  <c r="N51" i="12"/>
  <c r="O51" i="12"/>
  <c r="P51" i="12"/>
  <c r="Q51" i="12"/>
  <c r="A52" i="12"/>
  <c r="G52" i="12"/>
  <c r="H52" i="12"/>
  <c r="I52" i="12"/>
  <c r="J52" i="12"/>
  <c r="K52" i="12"/>
  <c r="L52" i="12"/>
  <c r="M52" i="12"/>
  <c r="N52" i="12"/>
  <c r="O52" i="12"/>
  <c r="P52" i="12"/>
  <c r="Q52" i="12"/>
  <c r="A53" i="12"/>
  <c r="G53" i="12"/>
  <c r="H53" i="12"/>
  <c r="I53" i="12"/>
  <c r="J53" i="12"/>
  <c r="K53" i="12"/>
  <c r="L53" i="12"/>
  <c r="M53" i="12"/>
  <c r="N53" i="12"/>
  <c r="O53" i="12"/>
  <c r="P53" i="12"/>
  <c r="Q53" i="12"/>
  <c r="A54" i="12"/>
  <c r="G54" i="12"/>
  <c r="H54" i="12"/>
  <c r="I54" i="12"/>
  <c r="J54" i="12"/>
  <c r="K54" i="12"/>
  <c r="L54" i="12"/>
  <c r="M54" i="12"/>
  <c r="N54" i="12"/>
  <c r="O54" i="12"/>
  <c r="P54" i="12"/>
  <c r="Q54" i="12"/>
  <c r="A55" i="12"/>
  <c r="G55" i="12"/>
  <c r="H55" i="12"/>
  <c r="I55" i="12"/>
  <c r="J55" i="12"/>
  <c r="K55" i="12"/>
  <c r="L55" i="12"/>
  <c r="M55" i="12"/>
  <c r="N55" i="12"/>
  <c r="O55" i="12"/>
  <c r="P55" i="12"/>
  <c r="Q55" i="12"/>
  <c r="A56" i="12"/>
  <c r="G56" i="12"/>
  <c r="H56" i="12"/>
  <c r="I56" i="12"/>
  <c r="J56" i="12"/>
  <c r="K56" i="12"/>
  <c r="L56" i="12"/>
  <c r="M56" i="12"/>
  <c r="N56" i="12"/>
  <c r="O56" i="12"/>
  <c r="P56" i="12"/>
  <c r="Q56" i="12"/>
  <c r="A57" i="12"/>
  <c r="G57" i="12"/>
  <c r="H57" i="12"/>
  <c r="I57" i="12"/>
  <c r="J57" i="12"/>
  <c r="K57" i="12"/>
  <c r="L57" i="12"/>
  <c r="M57" i="12"/>
  <c r="N57" i="12"/>
  <c r="O57" i="12"/>
  <c r="P57" i="12"/>
  <c r="Q57" i="12"/>
  <c r="A58" i="12"/>
  <c r="G58" i="12"/>
  <c r="H58" i="12"/>
  <c r="I58" i="12"/>
  <c r="J58" i="12"/>
  <c r="K58" i="12"/>
  <c r="L58" i="12"/>
  <c r="M58" i="12"/>
  <c r="N58" i="12"/>
  <c r="O58" i="12"/>
  <c r="P58" i="12"/>
  <c r="Q58" i="12"/>
  <c r="A59" i="12"/>
  <c r="G59" i="12"/>
  <c r="H59" i="12"/>
  <c r="I59" i="12"/>
  <c r="J59" i="12"/>
  <c r="K59" i="12"/>
  <c r="L59" i="12"/>
  <c r="M59" i="12"/>
  <c r="N59" i="12"/>
  <c r="O59" i="12"/>
  <c r="P59" i="12"/>
  <c r="Q59" i="12"/>
  <c r="A60" i="12"/>
  <c r="G60" i="12"/>
  <c r="H60" i="12"/>
  <c r="I60" i="12"/>
  <c r="J60" i="12"/>
  <c r="K60" i="12"/>
  <c r="L60" i="12"/>
  <c r="M60" i="12"/>
  <c r="N60" i="12"/>
  <c r="O60" i="12"/>
  <c r="P60" i="12"/>
  <c r="Q60" i="12"/>
  <c r="A61" i="12"/>
  <c r="G61" i="12"/>
  <c r="H61" i="12"/>
  <c r="I61" i="12"/>
  <c r="J61" i="12"/>
  <c r="K61" i="12"/>
  <c r="L61" i="12"/>
  <c r="M61" i="12"/>
  <c r="N61" i="12"/>
  <c r="O61" i="12"/>
  <c r="P61" i="12"/>
  <c r="Q61" i="12"/>
  <c r="A62" i="12"/>
  <c r="G62" i="12"/>
  <c r="H62" i="12"/>
  <c r="I62" i="12"/>
  <c r="J62" i="12"/>
  <c r="K62" i="12"/>
  <c r="L62" i="12"/>
  <c r="M62" i="12"/>
  <c r="N62" i="12"/>
  <c r="O62" i="12"/>
  <c r="P62" i="12"/>
  <c r="Q62" i="12"/>
  <c r="A63" i="12"/>
  <c r="G63" i="12"/>
  <c r="H63" i="12"/>
  <c r="I63" i="12"/>
  <c r="J63" i="12"/>
  <c r="K63" i="12"/>
  <c r="L63" i="12"/>
  <c r="M63" i="12"/>
  <c r="N63" i="12"/>
  <c r="O63" i="12"/>
  <c r="P63" i="12"/>
  <c r="Q63" i="12"/>
  <c r="A64" i="12"/>
  <c r="G64" i="12"/>
  <c r="H64" i="12"/>
  <c r="I64" i="12"/>
  <c r="J64" i="12"/>
  <c r="K64" i="12"/>
  <c r="L64" i="12"/>
  <c r="M64" i="12"/>
  <c r="N64" i="12"/>
  <c r="O64" i="12"/>
  <c r="P64" i="12"/>
  <c r="Q64" i="12"/>
  <c r="A65" i="12"/>
  <c r="G65" i="12"/>
  <c r="H65" i="12"/>
  <c r="I65" i="12"/>
  <c r="J65" i="12"/>
  <c r="K65" i="12"/>
  <c r="L65" i="12"/>
  <c r="M65" i="12"/>
  <c r="N65" i="12"/>
  <c r="O65" i="12"/>
  <c r="P65" i="12"/>
  <c r="Q65" i="12"/>
  <c r="A66" i="12"/>
  <c r="G66" i="12"/>
  <c r="H66" i="12"/>
  <c r="I66" i="12"/>
  <c r="J66" i="12"/>
  <c r="K66" i="12"/>
  <c r="L66" i="12"/>
  <c r="M66" i="12"/>
  <c r="N66" i="12"/>
  <c r="O66" i="12"/>
  <c r="P66" i="12"/>
  <c r="Q66" i="12"/>
  <c r="A67" i="12"/>
  <c r="G67" i="12"/>
  <c r="H67" i="12"/>
  <c r="I67" i="12"/>
  <c r="J67" i="12"/>
  <c r="K67" i="12"/>
  <c r="L67" i="12"/>
  <c r="M67" i="12"/>
  <c r="N67" i="12"/>
  <c r="O67" i="12"/>
  <c r="P67" i="12"/>
  <c r="Q67" i="12"/>
  <c r="A68" i="12"/>
  <c r="G68" i="12"/>
  <c r="H68" i="12"/>
  <c r="I68" i="12"/>
  <c r="J68" i="12"/>
  <c r="K68" i="12"/>
  <c r="L68" i="12"/>
  <c r="M68" i="12"/>
  <c r="N68" i="12"/>
  <c r="O68" i="12"/>
  <c r="P68" i="12"/>
  <c r="Q68" i="12"/>
  <c r="A69" i="12"/>
  <c r="G69" i="12"/>
  <c r="H69" i="12"/>
  <c r="I69" i="12"/>
  <c r="J69" i="12"/>
  <c r="K69" i="12"/>
  <c r="L69" i="12"/>
  <c r="M69" i="12"/>
  <c r="N69" i="12"/>
  <c r="O69" i="12"/>
  <c r="P69" i="12"/>
  <c r="Q69" i="12"/>
  <c r="A70" i="12"/>
  <c r="G70" i="12"/>
  <c r="H70" i="12"/>
  <c r="I70" i="12"/>
  <c r="J70" i="12"/>
  <c r="K70" i="12"/>
  <c r="L70" i="12"/>
  <c r="M70" i="12"/>
  <c r="N70" i="12"/>
  <c r="O70" i="12"/>
  <c r="P70" i="12"/>
  <c r="Q70" i="12"/>
  <c r="A71" i="12"/>
  <c r="G71" i="12"/>
  <c r="H71" i="12"/>
  <c r="I71" i="12"/>
  <c r="J71" i="12"/>
  <c r="K71" i="12"/>
  <c r="L71" i="12"/>
  <c r="M71" i="12"/>
  <c r="N71" i="12"/>
  <c r="O71" i="12"/>
  <c r="P71" i="12"/>
  <c r="Q71" i="12"/>
  <c r="A72" i="12"/>
  <c r="G72" i="12"/>
  <c r="H72" i="12"/>
  <c r="I72" i="12"/>
  <c r="J72" i="12"/>
  <c r="K72" i="12"/>
  <c r="L72" i="12"/>
  <c r="M72" i="12"/>
  <c r="N72" i="12"/>
  <c r="O72" i="12"/>
  <c r="P72" i="12"/>
  <c r="Q72" i="12"/>
  <c r="A73" i="12"/>
  <c r="G73" i="12"/>
  <c r="H73" i="12"/>
  <c r="I73" i="12"/>
  <c r="J73" i="12"/>
  <c r="K73" i="12"/>
  <c r="L73" i="12"/>
  <c r="M73" i="12"/>
  <c r="N73" i="12"/>
  <c r="O73" i="12"/>
  <c r="P73" i="12"/>
  <c r="Q73" i="12"/>
  <c r="A74" i="12"/>
  <c r="G74" i="12"/>
  <c r="H74" i="12"/>
  <c r="I74" i="12"/>
  <c r="J74" i="12"/>
  <c r="K74" i="12"/>
  <c r="L74" i="12"/>
  <c r="M74" i="12"/>
  <c r="N74" i="12"/>
  <c r="O74" i="12"/>
  <c r="P74" i="12"/>
  <c r="Q74" i="12"/>
  <c r="A75" i="12"/>
  <c r="G75" i="12"/>
  <c r="H75" i="12"/>
  <c r="I75" i="12"/>
  <c r="J75" i="12"/>
  <c r="K75" i="12"/>
  <c r="L75" i="12"/>
  <c r="M75" i="12"/>
  <c r="N75" i="12"/>
  <c r="O75" i="12"/>
  <c r="P75" i="12"/>
  <c r="Q75" i="12"/>
  <c r="A76" i="12"/>
  <c r="G76" i="12"/>
  <c r="H76" i="12"/>
  <c r="I76" i="12"/>
  <c r="J76" i="12"/>
  <c r="K76" i="12"/>
  <c r="L76" i="12"/>
  <c r="M76" i="12"/>
  <c r="N76" i="12"/>
  <c r="O76" i="12"/>
  <c r="P76" i="12"/>
  <c r="Q76" i="12"/>
  <c r="A77" i="12"/>
  <c r="G77" i="12"/>
  <c r="H77" i="12"/>
  <c r="I77" i="12"/>
  <c r="J77" i="12"/>
  <c r="K77" i="12"/>
  <c r="L77" i="12"/>
  <c r="M77" i="12"/>
  <c r="N77" i="12"/>
  <c r="O77" i="12"/>
  <c r="P77" i="12"/>
  <c r="Q77" i="12"/>
  <c r="A78" i="12"/>
  <c r="G78" i="12"/>
  <c r="H78" i="12"/>
  <c r="I78" i="12"/>
  <c r="J78" i="12"/>
  <c r="K78" i="12"/>
  <c r="L78" i="12"/>
  <c r="M78" i="12"/>
  <c r="N78" i="12"/>
  <c r="O78" i="12"/>
  <c r="P78" i="12"/>
  <c r="Q78" i="12"/>
  <c r="A79" i="12"/>
  <c r="G79" i="12"/>
  <c r="H79" i="12"/>
  <c r="I79" i="12"/>
  <c r="J79" i="12"/>
  <c r="K79" i="12"/>
  <c r="L79" i="12"/>
  <c r="M79" i="12"/>
  <c r="N79" i="12"/>
  <c r="O79" i="12"/>
  <c r="P79" i="12"/>
  <c r="Q79" i="12"/>
  <c r="A80" i="12"/>
  <c r="G80" i="12"/>
  <c r="H80" i="12"/>
  <c r="I80" i="12"/>
  <c r="J80" i="12"/>
  <c r="K80" i="12"/>
  <c r="L80" i="12"/>
  <c r="M80" i="12"/>
  <c r="N80" i="12"/>
  <c r="O80" i="12"/>
  <c r="P80" i="12"/>
  <c r="Q80" i="12"/>
  <c r="A81" i="12"/>
  <c r="G81" i="12"/>
  <c r="H81" i="12"/>
  <c r="I81" i="12"/>
  <c r="J81" i="12"/>
  <c r="K81" i="12"/>
  <c r="L81" i="12"/>
  <c r="M81" i="12"/>
  <c r="N81" i="12"/>
  <c r="O81" i="12"/>
  <c r="P81" i="12"/>
  <c r="Q81" i="12"/>
  <c r="A82" i="12"/>
  <c r="G82" i="12"/>
  <c r="H82" i="12"/>
  <c r="I82" i="12"/>
  <c r="J82" i="12"/>
  <c r="K82" i="12"/>
  <c r="L82" i="12"/>
  <c r="M82" i="12"/>
  <c r="N82" i="12"/>
  <c r="O82" i="12"/>
  <c r="P82" i="12"/>
  <c r="Q82" i="12"/>
  <c r="A83" i="12"/>
  <c r="G83" i="12"/>
  <c r="H83" i="12"/>
  <c r="I83" i="12"/>
  <c r="J83" i="12"/>
  <c r="K83" i="12"/>
  <c r="L83" i="12"/>
  <c r="M83" i="12"/>
  <c r="N83" i="12"/>
  <c r="O83" i="12"/>
  <c r="P83" i="12"/>
  <c r="Q83" i="12"/>
  <c r="A84" i="12"/>
  <c r="G84" i="12"/>
  <c r="H84" i="12"/>
  <c r="I84" i="12"/>
  <c r="J84" i="12"/>
  <c r="K84" i="12"/>
  <c r="L84" i="12"/>
  <c r="M84" i="12"/>
  <c r="N84" i="12"/>
  <c r="O84" i="12"/>
  <c r="P84" i="12"/>
  <c r="Q84" i="12"/>
  <c r="A85" i="12"/>
  <c r="G85" i="12"/>
  <c r="H85" i="12"/>
  <c r="I85" i="12"/>
  <c r="J85" i="12"/>
  <c r="K85" i="12"/>
  <c r="L85" i="12"/>
  <c r="M85" i="12"/>
  <c r="N85" i="12"/>
  <c r="O85" i="12"/>
  <c r="P85" i="12"/>
  <c r="Q85" i="12"/>
  <c r="A86" i="12"/>
  <c r="G86" i="12"/>
  <c r="H86" i="12"/>
  <c r="I86" i="12"/>
  <c r="J86" i="12"/>
  <c r="K86" i="12"/>
  <c r="L86" i="12"/>
  <c r="M86" i="12"/>
  <c r="N86" i="12"/>
  <c r="O86" i="12"/>
  <c r="P86" i="12"/>
  <c r="Q86" i="12"/>
  <c r="A87" i="12"/>
  <c r="G87" i="12"/>
  <c r="H87" i="12"/>
  <c r="I87" i="12"/>
  <c r="J87" i="12"/>
  <c r="K87" i="12"/>
  <c r="L87" i="12"/>
  <c r="M87" i="12"/>
  <c r="N87" i="12"/>
  <c r="O87" i="12"/>
  <c r="P87" i="12"/>
  <c r="Q87" i="12"/>
  <c r="A88" i="12"/>
  <c r="G88" i="12"/>
  <c r="H88" i="12"/>
  <c r="I88" i="12"/>
  <c r="J88" i="12"/>
  <c r="K88" i="12"/>
  <c r="L88" i="12"/>
  <c r="M88" i="12"/>
  <c r="N88" i="12"/>
  <c r="O88" i="12"/>
  <c r="P88" i="12"/>
  <c r="Q88" i="12"/>
  <c r="A89" i="12"/>
  <c r="G89" i="12"/>
  <c r="H89" i="12"/>
  <c r="I89" i="12"/>
  <c r="J89" i="12"/>
  <c r="K89" i="12"/>
  <c r="L89" i="12"/>
  <c r="M89" i="12"/>
  <c r="N89" i="12"/>
  <c r="O89" i="12"/>
  <c r="P89" i="12"/>
  <c r="Q89" i="12"/>
  <c r="A90" i="12"/>
  <c r="G90" i="12"/>
  <c r="H90" i="12"/>
  <c r="I90" i="12"/>
  <c r="J90" i="12"/>
  <c r="K90" i="12"/>
  <c r="L90" i="12"/>
  <c r="M90" i="12"/>
  <c r="N90" i="12"/>
  <c r="O90" i="12"/>
  <c r="P90" i="12"/>
  <c r="Q90" i="12"/>
  <c r="A91" i="12"/>
  <c r="G91" i="12"/>
  <c r="H91" i="12"/>
  <c r="I91" i="12"/>
  <c r="J91" i="12"/>
  <c r="K91" i="12"/>
  <c r="L91" i="12"/>
  <c r="M91" i="12"/>
  <c r="N91" i="12"/>
  <c r="O91" i="12"/>
  <c r="P91" i="12"/>
  <c r="Q91" i="12"/>
  <c r="A92" i="12"/>
  <c r="G92" i="12"/>
  <c r="H92" i="12"/>
  <c r="I92" i="12"/>
  <c r="J92" i="12"/>
  <c r="K92" i="12"/>
  <c r="L92" i="12"/>
  <c r="M92" i="12"/>
  <c r="N92" i="12"/>
  <c r="O92" i="12"/>
  <c r="P92" i="12"/>
  <c r="Q92" i="12"/>
  <c r="A93" i="12"/>
  <c r="G93" i="12"/>
  <c r="H93" i="12"/>
  <c r="I93" i="12"/>
  <c r="J93" i="12"/>
  <c r="K93" i="12"/>
  <c r="L93" i="12"/>
  <c r="M93" i="12"/>
  <c r="N93" i="12"/>
  <c r="O93" i="12"/>
  <c r="P93" i="12"/>
  <c r="Q93" i="12"/>
  <c r="A94" i="12"/>
  <c r="G94" i="12"/>
  <c r="H94" i="12"/>
  <c r="I94" i="12"/>
  <c r="J94" i="12"/>
  <c r="K94" i="12"/>
  <c r="L94" i="12"/>
  <c r="M94" i="12"/>
  <c r="N94" i="12"/>
  <c r="O94" i="12"/>
  <c r="P94" i="12"/>
  <c r="Q94" i="12"/>
  <c r="A95" i="12"/>
  <c r="G95" i="12"/>
  <c r="H95" i="12"/>
  <c r="I95" i="12"/>
  <c r="J95" i="12"/>
  <c r="K95" i="12"/>
  <c r="L95" i="12"/>
  <c r="M95" i="12"/>
  <c r="N95" i="12"/>
  <c r="O95" i="12"/>
  <c r="P95" i="12"/>
  <c r="Q95" i="12"/>
  <c r="A96" i="12"/>
  <c r="G96" i="12"/>
  <c r="H96" i="12"/>
  <c r="I96" i="12"/>
  <c r="J96" i="12"/>
  <c r="K96" i="12"/>
  <c r="L96" i="12"/>
  <c r="M96" i="12"/>
  <c r="N96" i="12"/>
  <c r="O96" i="12"/>
  <c r="P96" i="12"/>
  <c r="Q96" i="12"/>
  <c r="A97" i="12"/>
  <c r="G97" i="12"/>
  <c r="H97" i="12"/>
  <c r="I97" i="12"/>
  <c r="J97" i="12"/>
  <c r="K97" i="12"/>
  <c r="L97" i="12"/>
  <c r="M97" i="12"/>
  <c r="N97" i="12"/>
  <c r="O97" i="12"/>
  <c r="P97" i="12"/>
  <c r="Q97" i="12"/>
  <c r="A98" i="12"/>
  <c r="G98" i="12"/>
  <c r="H98" i="12"/>
  <c r="I98" i="12"/>
  <c r="J98" i="12"/>
  <c r="K98" i="12"/>
  <c r="L98" i="12"/>
  <c r="M98" i="12"/>
  <c r="N98" i="12"/>
  <c r="O98" i="12"/>
  <c r="P98" i="12"/>
  <c r="Q98" i="12"/>
  <c r="A99" i="12"/>
  <c r="G99" i="12"/>
  <c r="H99" i="12"/>
  <c r="I99" i="12"/>
  <c r="J99" i="12"/>
  <c r="K99" i="12"/>
  <c r="L99" i="12"/>
  <c r="M99" i="12"/>
  <c r="N99" i="12"/>
  <c r="O99" i="12"/>
  <c r="P99" i="12"/>
  <c r="Q99" i="12"/>
  <c r="A100" i="12"/>
  <c r="G100" i="12"/>
  <c r="H100" i="12"/>
  <c r="I100" i="12"/>
  <c r="J100" i="12"/>
  <c r="K100" i="12"/>
  <c r="L100" i="12"/>
  <c r="M100" i="12"/>
  <c r="N100" i="12"/>
  <c r="O100" i="12"/>
  <c r="P100" i="12"/>
  <c r="Q100" i="12"/>
  <c r="A101" i="12"/>
  <c r="G101" i="12"/>
  <c r="H101" i="12"/>
  <c r="I101" i="12"/>
  <c r="J101" i="12"/>
  <c r="K101" i="12"/>
  <c r="L101" i="12"/>
  <c r="M101" i="12"/>
  <c r="N101" i="12"/>
  <c r="O101" i="12"/>
  <c r="P101" i="12"/>
  <c r="Q101" i="12"/>
  <c r="A102" i="12"/>
  <c r="G102" i="12"/>
  <c r="H102" i="12"/>
  <c r="I102" i="12"/>
  <c r="J102" i="12"/>
  <c r="K102" i="12"/>
  <c r="L102" i="12"/>
  <c r="M102" i="12"/>
  <c r="N102" i="12"/>
  <c r="O102" i="12"/>
  <c r="P102" i="12"/>
  <c r="Q102" i="12"/>
  <c r="A103" i="12"/>
  <c r="G103" i="12"/>
  <c r="H103" i="12"/>
  <c r="I103" i="12"/>
  <c r="J103" i="12"/>
  <c r="K103" i="12"/>
  <c r="L103" i="12"/>
  <c r="M103" i="12"/>
  <c r="N103" i="12"/>
  <c r="O103" i="12"/>
  <c r="P103" i="12"/>
  <c r="Q103" i="12"/>
  <c r="A104" i="12"/>
  <c r="G104" i="12"/>
  <c r="H104" i="12"/>
  <c r="I104" i="12"/>
  <c r="J104" i="12"/>
  <c r="K104" i="12"/>
  <c r="L104" i="12"/>
  <c r="M104" i="12"/>
  <c r="N104" i="12"/>
  <c r="O104" i="12"/>
  <c r="P104" i="12"/>
  <c r="Q104" i="12"/>
  <c r="A105" i="12"/>
  <c r="G105" i="12"/>
  <c r="H105" i="12"/>
  <c r="I105" i="12"/>
  <c r="J105" i="12"/>
  <c r="K105" i="12"/>
  <c r="L105" i="12"/>
  <c r="M105" i="12"/>
  <c r="N105" i="12"/>
  <c r="O105" i="12"/>
  <c r="P105" i="12"/>
  <c r="Q105" i="12"/>
  <c r="A106" i="12"/>
  <c r="G106" i="12"/>
  <c r="H106" i="12"/>
  <c r="I106" i="12"/>
  <c r="J106" i="12"/>
  <c r="K106" i="12"/>
  <c r="L106" i="12"/>
  <c r="M106" i="12"/>
  <c r="N106" i="12"/>
  <c r="O106" i="12"/>
  <c r="P106" i="12"/>
  <c r="Q106" i="12"/>
  <c r="A107" i="12"/>
  <c r="G107" i="12"/>
  <c r="H107" i="12"/>
  <c r="I107" i="12"/>
  <c r="J107" i="12"/>
  <c r="K107" i="12"/>
  <c r="L107" i="12"/>
  <c r="M107" i="12"/>
  <c r="N107" i="12"/>
  <c r="O107" i="12"/>
  <c r="P107" i="12"/>
  <c r="Q107" i="12"/>
  <c r="A108" i="12"/>
  <c r="G108" i="12"/>
  <c r="H108" i="12"/>
  <c r="I108" i="12"/>
  <c r="J108" i="12"/>
  <c r="K108" i="12"/>
  <c r="L108" i="12"/>
  <c r="M108" i="12"/>
  <c r="N108" i="12"/>
  <c r="O108" i="12"/>
  <c r="P108" i="12"/>
  <c r="Q108" i="12"/>
  <c r="A109" i="12"/>
  <c r="G109" i="12"/>
  <c r="H109" i="12"/>
  <c r="I109" i="12"/>
  <c r="J109" i="12"/>
  <c r="K109" i="12"/>
  <c r="L109" i="12"/>
  <c r="M109" i="12"/>
  <c r="N109" i="12"/>
  <c r="O109" i="12"/>
  <c r="P109" i="12"/>
  <c r="Q109" i="12"/>
  <c r="A110" i="12"/>
  <c r="G110" i="12"/>
  <c r="H110" i="12"/>
  <c r="I110" i="12"/>
  <c r="J110" i="12"/>
  <c r="K110" i="12"/>
  <c r="L110" i="12"/>
  <c r="M110" i="12"/>
  <c r="N110" i="12"/>
  <c r="O110" i="12"/>
  <c r="P110" i="12"/>
  <c r="Q110" i="12"/>
  <c r="A111" i="12"/>
  <c r="G111" i="12"/>
  <c r="H111" i="12"/>
  <c r="I111" i="12"/>
  <c r="J111" i="12"/>
  <c r="K111" i="12"/>
  <c r="L111" i="12"/>
  <c r="M111" i="12"/>
  <c r="N111" i="12"/>
  <c r="O111" i="12"/>
  <c r="P111" i="12"/>
  <c r="Q111" i="12"/>
  <c r="A112" i="12"/>
  <c r="G112" i="12"/>
  <c r="H112" i="12"/>
  <c r="I112" i="12"/>
  <c r="J112" i="12"/>
  <c r="K112" i="12"/>
  <c r="L112" i="12"/>
  <c r="M112" i="12"/>
  <c r="N112" i="12"/>
  <c r="O112" i="12"/>
  <c r="P112" i="12"/>
  <c r="Q112" i="12"/>
  <c r="A113" i="12"/>
  <c r="G113" i="12"/>
  <c r="H113" i="12"/>
  <c r="I113" i="12"/>
  <c r="J113" i="12"/>
  <c r="K113" i="12"/>
  <c r="L113" i="12"/>
  <c r="M113" i="12"/>
  <c r="N113" i="12"/>
  <c r="O113" i="12"/>
  <c r="P113" i="12"/>
  <c r="Q113" i="12"/>
  <c r="A114" i="12"/>
  <c r="G114" i="12"/>
  <c r="H114" i="12"/>
  <c r="I114" i="12"/>
  <c r="J114" i="12"/>
  <c r="K114" i="12"/>
  <c r="L114" i="12"/>
  <c r="M114" i="12"/>
  <c r="N114" i="12"/>
  <c r="O114" i="12"/>
  <c r="P114" i="12"/>
  <c r="Q114" i="12"/>
  <c r="A115" i="12"/>
  <c r="G115" i="12"/>
  <c r="H115" i="12"/>
  <c r="I115" i="12"/>
  <c r="J115" i="12"/>
  <c r="K115" i="12"/>
  <c r="L115" i="12"/>
  <c r="M115" i="12"/>
  <c r="N115" i="12"/>
  <c r="O115" i="12"/>
  <c r="P115" i="12"/>
  <c r="Q115" i="12"/>
  <c r="A116" i="12"/>
  <c r="G116" i="12"/>
  <c r="H116" i="12"/>
  <c r="I116" i="12"/>
  <c r="J116" i="12"/>
  <c r="K116" i="12"/>
  <c r="L116" i="12"/>
  <c r="M116" i="12"/>
  <c r="N116" i="12"/>
  <c r="O116" i="12"/>
  <c r="P116" i="12"/>
  <c r="Q116" i="12"/>
  <c r="A117" i="12"/>
  <c r="G117" i="12"/>
  <c r="H117" i="12"/>
  <c r="I117" i="12"/>
  <c r="J117" i="12"/>
  <c r="K117" i="12"/>
  <c r="L117" i="12"/>
  <c r="M117" i="12"/>
  <c r="N117" i="12"/>
  <c r="O117" i="12"/>
  <c r="P117" i="12"/>
  <c r="Q117" i="12"/>
  <c r="A118" i="12"/>
  <c r="G118" i="12"/>
  <c r="H118" i="12"/>
  <c r="I118" i="12"/>
  <c r="J118" i="12"/>
  <c r="K118" i="12"/>
  <c r="L118" i="12"/>
  <c r="M118" i="12"/>
  <c r="N118" i="12"/>
  <c r="O118" i="12"/>
  <c r="P118" i="12"/>
  <c r="Q118" i="12"/>
  <c r="A119" i="12"/>
  <c r="G119" i="12"/>
  <c r="H119" i="12"/>
  <c r="I119" i="12"/>
  <c r="J119" i="12"/>
  <c r="K119" i="12"/>
  <c r="L119" i="12"/>
  <c r="M119" i="12"/>
  <c r="N119" i="12"/>
  <c r="O119" i="12"/>
  <c r="P119" i="12"/>
  <c r="Q119" i="12"/>
  <c r="A120" i="12"/>
  <c r="G120" i="12"/>
  <c r="H120" i="12"/>
  <c r="I120" i="12"/>
  <c r="J120" i="12"/>
  <c r="K120" i="12"/>
  <c r="L120" i="12"/>
  <c r="M120" i="12"/>
  <c r="N120" i="12"/>
  <c r="O120" i="12"/>
  <c r="P120" i="12"/>
  <c r="Q120" i="12"/>
  <c r="A121" i="12"/>
  <c r="G121" i="12"/>
  <c r="H121" i="12"/>
  <c r="I121" i="12"/>
  <c r="J121" i="12"/>
  <c r="K121" i="12"/>
  <c r="L121" i="12"/>
  <c r="M121" i="12"/>
  <c r="N121" i="12"/>
  <c r="O121" i="12"/>
  <c r="P121" i="12"/>
  <c r="Q121" i="12"/>
  <c r="A122" i="12"/>
  <c r="G122" i="12"/>
  <c r="H122" i="12"/>
  <c r="I122" i="12"/>
  <c r="J122" i="12"/>
  <c r="K122" i="12"/>
  <c r="L122" i="12"/>
  <c r="M122" i="12"/>
  <c r="N122" i="12"/>
  <c r="O122" i="12"/>
  <c r="P122" i="12"/>
  <c r="Q122" i="12"/>
  <c r="A123" i="12"/>
  <c r="G123" i="12"/>
  <c r="H123" i="12"/>
  <c r="I123" i="12"/>
  <c r="J123" i="12"/>
  <c r="K123" i="12"/>
  <c r="L123" i="12"/>
  <c r="M123" i="12"/>
  <c r="N123" i="12"/>
  <c r="O123" i="12"/>
  <c r="P123" i="12"/>
  <c r="Q123" i="12"/>
  <c r="A124" i="12"/>
  <c r="G124" i="12"/>
  <c r="H124" i="12"/>
  <c r="I124" i="12"/>
  <c r="J124" i="12"/>
  <c r="K124" i="12"/>
  <c r="L124" i="12"/>
  <c r="M124" i="12"/>
  <c r="N124" i="12"/>
  <c r="O124" i="12"/>
  <c r="P124" i="12"/>
  <c r="Q124" i="12"/>
  <c r="A125" i="12"/>
  <c r="G125" i="12"/>
  <c r="H125" i="12"/>
  <c r="I125" i="12"/>
  <c r="J125" i="12"/>
  <c r="K125" i="12"/>
  <c r="L125" i="12"/>
  <c r="M125" i="12"/>
  <c r="N125" i="12"/>
  <c r="O125" i="12"/>
  <c r="P125" i="12"/>
  <c r="Q125" i="12"/>
  <c r="A126" i="12"/>
  <c r="G126" i="12"/>
  <c r="H126" i="12"/>
  <c r="I126" i="12"/>
  <c r="J126" i="12"/>
  <c r="K126" i="12"/>
  <c r="L126" i="12"/>
  <c r="M126" i="12"/>
  <c r="N126" i="12"/>
  <c r="O126" i="12"/>
  <c r="P126" i="12"/>
  <c r="Q126" i="12"/>
  <c r="A127" i="12"/>
  <c r="G127" i="12"/>
  <c r="H127" i="12"/>
  <c r="I127" i="12"/>
  <c r="J127" i="12"/>
  <c r="K127" i="12"/>
  <c r="L127" i="12"/>
  <c r="M127" i="12"/>
  <c r="N127" i="12"/>
  <c r="O127" i="12"/>
  <c r="P127" i="12"/>
  <c r="Q127" i="12"/>
  <c r="A128" i="12"/>
  <c r="G128" i="12"/>
  <c r="H128" i="12"/>
  <c r="I128" i="12"/>
  <c r="J128" i="12"/>
  <c r="K128" i="12"/>
  <c r="L128" i="12"/>
  <c r="M128" i="12"/>
  <c r="N128" i="12"/>
  <c r="O128" i="12"/>
  <c r="P128" i="12"/>
  <c r="Q128" i="12"/>
  <c r="A129" i="12"/>
  <c r="G129" i="12"/>
  <c r="H129" i="12"/>
  <c r="I129" i="12"/>
  <c r="J129" i="12"/>
  <c r="K129" i="12"/>
  <c r="L129" i="12"/>
  <c r="M129" i="12"/>
  <c r="N129" i="12"/>
  <c r="O129" i="12"/>
  <c r="P129" i="12"/>
  <c r="Q129" i="12"/>
  <c r="A130" i="12"/>
  <c r="G130" i="12"/>
  <c r="H130" i="12"/>
  <c r="I130" i="12"/>
  <c r="J130" i="12"/>
  <c r="K130" i="12"/>
  <c r="L130" i="12"/>
  <c r="M130" i="12"/>
  <c r="N130" i="12"/>
  <c r="O130" i="12"/>
  <c r="P130" i="12"/>
  <c r="Q130" i="12"/>
  <c r="A131" i="12"/>
  <c r="G131" i="12"/>
  <c r="H131" i="12"/>
  <c r="I131" i="12"/>
  <c r="J131" i="12"/>
  <c r="K131" i="12"/>
  <c r="L131" i="12"/>
  <c r="M131" i="12"/>
  <c r="N131" i="12"/>
  <c r="O131" i="12"/>
  <c r="P131" i="12"/>
  <c r="Q131" i="12"/>
  <c r="A132" i="12"/>
  <c r="G132" i="12"/>
  <c r="H132" i="12"/>
  <c r="I132" i="12"/>
  <c r="J132" i="12"/>
  <c r="K132" i="12"/>
  <c r="L132" i="12"/>
  <c r="M132" i="12"/>
  <c r="N132" i="12"/>
  <c r="O132" i="12"/>
  <c r="P132" i="12"/>
  <c r="Q132" i="12"/>
  <c r="A133" i="12"/>
  <c r="G133" i="12"/>
  <c r="H133" i="12"/>
  <c r="I133" i="12"/>
  <c r="J133" i="12"/>
  <c r="K133" i="12"/>
  <c r="L133" i="12"/>
  <c r="M133" i="12"/>
  <c r="N133" i="12"/>
  <c r="O133" i="12"/>
  <c r="P133" i="12"/>
  <c r="Q133" i="12"/>
  <c r="A134" i="12"/>
  <c r="G134" i="12"/>
  <c r="H134" i="12"/>
  <c r="I134" i="12"/>
  <c r="J134" i="12"/>
  <c r="K134" i="12"/>
  <c r="L134" i="12"/>
  <c r="M134" i="12"/>
  <c r="N134" i="12"/>
  <c r="O134" i="12"/>
  <c r="P134" i="12"/>
  <c r="Q134" i="12"/>
  <c r="A135" i="12"/>
  <c r="G135" i="12"/>
  <c r="H135" i="12"/>
  <c r="I135" i="12"/>
  <c r="J135" i="12"/>
  <c r="K135" i="12"/>
  <c r="L135" i="12"/>
  <c r="M135" i="12"/>
  <c r="N135" i="12"/>
  <c r="O135" i="12"/>
  <c r="P135" i="12"/>
  <c r="Q135" i="12"/>
  <c r="A136" i="12"/>
  <c r="G136" i="12"/>
  <c r="H136" i="12"/>
  <c r="I136" i="12"/>
  <c r="J136" i="12"/>
  <c r="K136" i="12"/>
  <c r="L136" i="12"/>
  <c r="M136" i="12"/>
  <c r="N136" i="12"/>
  <c r="O136" i="12"/>
  <c r="P136" i="12"/>
  <c r="Q136" i="12"/>
  <c r="A137" i="12"/>
  <c r="G137" i="12"/>
  <c r="H137" i="12"/>
  <c r="I137" i="12"/>
  <c r="J137" i="12"/>
  <c r="K137" i="12"/>
  <c r="L137" i="12"/>
  <c r="M137" i="12"/>
  <c r="N137" i="12"/>
  <c r="O137" i="12"/>
  <c r="P137" i="12"/>
  <c r="Q137" i="12"/>
  <c r="A138" i="12"/>
  <c r="G138" i="12"/>
  <c r="H138" i="12"/>
  <c r="I138" i="12"/>
  <c r="J138" i="12"/>
  <c r="K138" i="12"/>
  <c r="L138" i="12"/>
  <c r="M138" i="12"/>
  <c r="N138" i="12"/>
  <c r="O138" i="12"/>
  <c r="P138" i="12"/>
  <c r="Q138" i="12"/>
  <c r="A139" i="12"/>
  <c r="G139" i="12"/>
  <c r="H139" i="12"/>
  <c r="I139" i="12"/>
  <c r="J139" i="12"/>
  <c r="K139" i="12"/>
  <c r="L139" i="12"/>
  <c r="M139" i="12"/>
  <c r="N139" i="12"/>
  <c r="O139" i="12"/>
  <c r="P139" i="12"/>
  <c r="Q139" i="12"/>
  <c r="A140" i="12"/>
  <c r="G140" i="12"/>
  <c r="H140" i="12"/>
  <c r="I140" i="12"/>
  <c r="J140" i="12"/>
  <c r="K140" i="12"/>
  <c r="L140" i="12"/>
  <c r="M140" i="12"/>
  <c r="N140" i="12"/>
  <c r="O140" i="12"/>
  <c r="P140" i="12"/>
  <c r="Q140" i="12"/>
  <c r="A141" i="12"/>
  <c r="G141" i="12"/>
  <c r="H141" i="12"/>
  <c r="I141" i="12"/>
  <c r="J141" i="12"/>
  <c r="K141" i="12"/>
  <c r="L141" i="12"/>
  <c r="M141" i="12"/>
  <c r="N141" i="12"/>
  <c r="O141" i="12"/>
  <c r="P141" i="12"/>
  <c r="Q141" i="12"/>
  <c r="A142" i="12"/>
  <c r="G142" i="12"/>
  <c r="H142" i="12"/>
  <c r="I142" i="12"/>
  <c r="J142" i="12"/>
  <c r="K142" i="12"/>
  <c r="L142" i="12"/>
  <c r="M142" i="12"/>
  <c r="N142" i="12"/>
  <c r="O142" i="12"/>
  <c r="P142" i="12"/>
  <c r="Q142" i="12"/>
  <c r="A143" i="12"/>
  <c r="G143" i="12"/>
  <c r="H143" i="12"/>
  <c r="I143" i="12"/>
  <c r="J143" i="12"/>
  <c r="K143" i="12"/>
  <c r="L143" i="12"/>
  <c r="M143" i="12"/>
  <c r="N143" i="12"/>
  <c r="O143" i="12"/>
  <c r="P143" i="12"/>
  <c r="Q143" i="12"/>
  <c r="A144" i="12"/>
  <c r="G144" i="12"/>
  <c r="H144" i="12"/>
  <c r="I144" i="12"/>
  <c r="J144" i="12"/>
  <c r="K144" i="12"/>
  <c r="L144" i="12"/>
  <c r="M144" i="12"/>
  <c r="N144" i="12"/>
  <c r="O144" i="12"/>
  <c r="P144" i="12"/>
  <c r="Q144" i="12"/>
  <c r="A145" i="12"/>
  <c r="G145" i="12"/>
  <c r="H145" i="12"/>
  <c r="I145" i="12"/>
  <c r="J145" i="12"/>
  <c r="K145" i="12"/>
  <c r="L145" i="12"/>
  <c r="M145" i="12"/>
  <c r="N145" i="12"/>
  <c r="O145" i="12"/>
  <c r="P145" i="12"/>
  <c r="Q145" i="12"/>
  <c r="A146" i="12"/>
  <c r="G146" i="12"/>
  <c r="H146" i="12"/>
  <c r="I146" i="12"/>
  <c r="J146" i="12"/>
  <c r="K146" i="12"/>
  <c r="L146" i="12"/>
  <c r="M146" i="12"/>
  <c r="N146" i="12"/>
  <c r="O146" i="12"/>
  <c r="P146" i="12"/>
  <c r="Q146" i="12"/>
  <c r="A147" i="12"/>
  <c r="G147" i="12"/>
  <c r="H147" i="12"/>
  <c r="I147" i="12"/>
  <c r="J147" i="12"/>
  <c r="K147" i="12"/>
  <c r="L147" i="12"/>
  <c r="M147" i="12"/>
  <c r="N147" i="12"/>
  <c r="O147" i="12"/>
  <c r="P147" i="12"/>
  <c r="Q147" i="12"/>
  <c r="A148" i="12"/>
  <c r="G148" i="12"/>
  <c r="H148" i="12"/>
  <c r="I148" i="12"/>
  <c r="J148" i="12"/>
  <c r="K148" i="12"/>
  <c r="L148" i="12"/>
  <c r="M148" i="12"/>
  <c r="N148" i="12"/>
  <c r="O148" i="12"/>
  <c r="P148" i="12"/>
  <c r="Q148" i="12"/>
  <c r="A149" i="12"/>
  <c r="G149" i="12"/>
  <c r="H149" i="12"/>
  <c r="I149" i="12"/>
  <c r="J149" i="12"/>
  <c r="K149" i="12"/>
  <c r="L149" i="12"/>
  <c r="M149" i="12"/>
  <c r="N149" i="12"/>
  <c r="O149" i="12"/>
  <c r="P149" i="12"/>
  <c r="Q149" i="12"/>
  <c r="A150" i="12"/>
  <c r="G150" i="12"/>
  <c r="H150" i="12"/>
  <c r="I150" i="12"/>
  <c r="J150" i="12"/>
  <c r="K150" i="12"/>
  <c r="L150" i="12"/>
  <c r="M150" i="12"/>
  <c r="N150" i="12"/>
  <c r="O150" i="12"/>
  <c r="P150" i="12"/>
  <c r="Q150" i="12"/>
  <c r="A151" i="12"/>
  <c r="G151" i="12"/>
  <c r="H151" i="12"/>
  <c r="I151" i="12"/>
  <c r="J151" i="12"/>
  <c r="K151" i="12"/>
  <c r="L151" i="12"/>
  <c r="M151" i="12"/>
  <c r="N151" i="12"/>
  <c r="O151" i="12"/>
  <c r="P151" i="12"/>
  <c r="Q151" i="12"/>
  <c r="A152" i="12"/>
  <c r="G152" i="12"/>
  <c r="H152" i="12"/>
  <c r="I152" i="12"/>
  <c r="J152" i="12"/>
  <c r="K152" i="12"/>
  <c r="L152" i="12"/>
  <c r="M152" i="12"/>
  <c r="N152" i="12"/>
  <c r="O152" i="12"/>
  <c r="P152" i="12"/>
  <c r="Q152" i="12"/>
  <c r="A153" i="12"/>
  <c r="G153" i="12"/>
  <c r="H153" i="12"/>
  <c r="I153" i="12"/>
  <c r="J153" i="12"/>
  <c r="K153" i="12"/>
  <c r="L153" i="12"/>
  <c r="M153" i="12"/>
  <c r="N153" i="12"/>
  <c r="O153" i="12"/>
  <c r="P153" i="12"/>
  <c r="Q153" i="12"/>
  <c r="A154" i="12"/>
  <c r="G154" i="12"/>
  <c r="H154" i="12"/>
  <c r="I154" i="12"/>
  <c r="J154" i="12"/>
  <c r="K154" i="12"/>
  <c r="L154" i="12"/>
  <c r="M154" i="12"/>
  <c r="N154" i="12"/>
  <c r="O154" i="12"/>
  <c r="P154" i="12"/>
  <c r="Q154" i="12"/>
  <c r="A8" i="15"/>
  <c r="B4" i="15"/>
  <c r="C4" i="15"/>
  <c r="D4" i="15"/>
  <c r="D7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W26" i="15"/>
  <c r="AX26" i="15"/>
  <c r="AY26" i="15"/>
  <c r="AZ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7" i="15"/>
  <c r="B8" i="15"/>
  <c r="C7" i="15"/>
  <c r="C8" i="15"/>
  <c r="D8" i="15"/>
  <c r="B1" i="15"/>
  <c r="A27" i="13"/>
  <c r="C21" i="13"/>
  <c r="B21" i="13"/>
  <c r="C24" i="13"/>
  <c r="B22" i="13"/>
  <c r="B18" i="13"/>
  <c r="B19" i="13"/>
  <c r="B4" i="13"/>
  <c r="B5" i="13"/>
  <c r="B9" i="13"/>
  <c r="B10" i="13"/>
  <c r="B11" i="13"/>
  <c r="B13" i="13"/>
  <c r="B14" i="13"/>
  <c r="B16" i="13"/>
  <c r="B7" i="13"/>
  <c r="B26" i="13"/>
  <c r="B27" i="13"/>
  <c r="B1" i="13"/>
  <c r="AC4" i="8"/>
  <c r="X5" i="8"/>
  <c r="V5" i="8"/>
  <c r="Z5" i="8"/>
  <c r="W5" i="8"/>
  <c r="AA5" i="8"/>
  <c r="AB5" i="8"/>
  <c r="U5" i="8"/>
  <c r="AC5" i="8"/>
  <c r="X6" i="8"/>
  <c r="V6" i="8"/>
  <c r="Z6" i="8"/>
  <c r="W6" i="8"/>
  <c r="AA6" i="8"/>
  <c r="AB6" i="8"/>
  <c r="U6" i="8"/>
  <c r="AC6" i="8"/>
  <c r="X7" i="8"/>
  <c r="V7" i="8"/>
  <c r="Z7" i="8"/>
  <c r="W7" i="8"/>
  <c r="AA7" i="8"/>
  <c r="AB7" i="8"/>
  <c r="U7" i="8"/>
  <c r="AC7" i="8"/>
  <c r="X8" i="8"/>
  <c r="V8" i="8"/>
  <c r="Z8" i="8"/>
  <c r="W8" i="8"/>
  <c r="AA8" i="8"/>
  <c r="AB8" i="8"/>
  <c r="U8" i="8"/>
  <c r="AC8" i="8"/>
  <c r="X9" i="8"/>
  <c r="V9" i="8"/>
  <c r="Z9" i="8"/>
  <c r="W9" i="8"/>
  <c r="AA9" i="8"/>
  <c r="AB9" i="8"/>
  <c r="U9" i="8"/>
  <c r="AC9" i="8"/>
  <c r="X10" i="8"/>
  <c r="V10" i="8"/>
  <c r="Z10" i="8"/>
  <c r="W10" i="8"/>
  <c r="AA10" i="8"/>
  <c r="AB10" i="8"/>
  <c r="U10" i="8"/>
  <c r="AC10" i="8"/>
  <c r="X11" i="8"/>
  <c r="V11" i="8"/>
  <c r="Z11" i="8"/>
  <c r="W11" i="8"/>
  <c r="AA11" i="8"/>
  <c r="AB11" i="8"/>
  <c r="U11" i="8"/>
  <c r="AC11" i="8"/>
  <c r="X12" i="8"/>
  <c r="V12" i="8"/>
  <c r="Z12" i="8"/>
  <c r="W12" i="8"/>
  <c r="AA12" i="8"/>
  <c r="AB12" i="8"/>
  <c r="U12" i="8"/>
  <c r="AC12" i="8"/>
  <c r="X13" i="8"/>
  <c r="V13" i="8"/>
  <c r="Z13" i="8"/>
  <c r="W13" i="8"/>
  <c r="AA13" i="8"/>
  <c r="AB13" i="8"/>
  <c r="U13" i="8"/>
  <c r="AC13" i="8"/>
  <c r="X14" i="8"/>
  <c r="V14" i="8"/>
  <c r="Z14" i="8"/>
  <c r="W14" i="8"/>
  <c r="AA14" i="8"/>
  <c r="AB14" i="8"/>
  <c r="U14" i="8"/>
  <c r="AC14" i="8"/>
  <c r="X15" i="8"/>
  <c r="V15" i="8"/>
  <c r="Z15" i="8"/>
  <c r="W15" i="8"/>
  <c r="AA15" i="8"/>
  <c r="AB15" i="8"/>
  <c r="U15" i="8"/>
  <c r="AC15" i="8"/>
  <c r="B2" i="8"/>
  <c r="Y5" i="8"/>
  <c r="Y6" i="8"/>
  <c r="Y7" i="8"/>
  <c r="Y8" i="8"/>
  <c r="Y9" i="8"/>
  <c r="Y10" i="8"/>
  <c r="Y11" i="8"/>
  <c r="Y12" i="8"/>
  <c r="Y13" i="8"/>
  <c r="Y14" i="8"/>
  <c r="Y15" i="8"/>
  <c r="A3" i="5"/>
  <c r="B6" i="5"/>
  <c r="B4" i="5"/>
  <c r="B3" i="5"/>
  <c r="B1" i="5"/>
  <c r="B1" i="4"/>
  <c r="M1" i="4"/>
  <c r="W3" i="4"/>
  <c r="W4" i="4"/>
  <c r="W5" i="4"/>
  <c r="W6" i="4"/>
  <c r="W7" i="4"/>
  <c r="W8" i="4"/>
  <c r="W9" i="4"/>
  <c r="W10" i="4"/>
  <c r="A2" i="3"/>
  <c r="B3" i="3"/>
  <c r="B2" i="3"/>
  <c r="B1" i="3"/>
  <c r="K4" i="6"/>
  <c r="I5" i="6"/>
  <c r="J5" i="6"/>
  <c r="K5" i="6"/>
  <c r="I6" i="6"/>
  <c r="J6" i="6"/>
  <c r="K6" i="6"/>
  <c r="I7" i="6"/>
  <c r="J7" i="6"/>
  <c r="K7" i="6"/>
  <c r="I8" i="6"/>
  <c r="J8" i="6"/>
  <c r="K8" i="6"/>
  <c r="I9" i="6"/>
  <c r="J9" i="6"/>
  <c r="K9" i="6"/>
  <c r="I10" i="6"/>
  <c r="J10" i="6"/>
  <c r="K10" i="6"/>
  <c r="I11" i="6"/>
  <c r="J11" i="6"/>
  <c r="K11" i="6"/>
  <c r="I12" i="6"/>
  <c r="J12" i="6"/>
  <c r="K12" i="6"/>
  <c r="I13" i="6"/>
  <c r="J13" i="6"/>
  <c r="K13" i="6"/>
  <c r="I14" i="6"/>
  <c r="J14" i="6"/>
  <c r="K14" i="6"/>
  <c r="I15" i="6"/>
  <c r="J15" i="6"/>
  <c r="K15" i="6"/>
  <c r="I16" i="6"/>
  <c r="J16" i="6"/>
  <c r="K16" i="6"/>
  <c r="I17" i="6"/>
  <c r="J17" i="6"/>
  <c r="K17" i="6"/>
  <c r="I18" i="6"/>
  <c r="J18" i="6"/>
  <c r="K18" i="6"/>
  <c r="I19" i="6"/>
  <c r="J19" i="6"/>
  <c r="K19" i="6"/>
  <c r="I20" i="6"/>
  <c r="J20" i="6"/>
  <c r="K20" i="6"/>
  <c r="I21" i="6"/>
  <c r="J21" i="6"/>
  <c r="K21" i="6"/>
  <c r="I22" i="6"/>
  <c r="J22" i="6"/>
  <c r="K22" i="6"/>
  <c r="I23" i="6"/>
  <c r="J23" i="6"/>
  <c r="K23" i="6"/>
  <c r="I24" i="6"/>
  <c r="J24" i="6"/>
  <c r="K24" i="6"/>
  <c r="I25" i="6"/>
  <c r="J25" i="6"/>
  <c r="K25" i="6"/>
  <c r="I26" i="6"/>
  <c r="J26" i="6"/>
  <c r="K26" i="6"/>
  <c r="I27" i="6"/>
  <c r="J27" i="6"/>
  <c r="K27" i="6"/>
  <c r="I28" i="6"/>
  <c r="J28" i="6"/>
  <c r="K28" i="6"/>
  <c r="I29" i="6"/>
  <c r="J29" i="6"/>
  <c r="K29" i="6"/>
  <c r="I30" i="6"/>
  <c r="J30" i="6"/>
  <c r="K30" i="6"/>
  <c r="I31" i="6"/>
  <c r="J31" i="6"/>
  <c r="K31" i="6"/>
  <c r="I32" i="6"/>
  <c r="J32" i="6"/>
  <c r="K32" i="6"/>
  <c r="I33" i="6"/>
  <c r="J33" i="6"/>
  <c r="K33" i="6"/>
  <c r="I34" i="6"/>
  <c r="J34" i="6"/>
  <c r="K34" i="6"/>
  <c r="I35" i="6"/>
  <c r="J35" i="6"/>
  <c r="K35" i="6"/>
  <c r="I36" i="6"/>
  <c r="J36" i="6"/>
  <c r="K36" i="6"/>
  <c r="I37" i="6"/>
  <c r="J37" i="6"/>
  <c r="K37" i="6"/>
  <c r="I38" i="6"/>
  <c r="J38" i="6"/>
  <c r="K38" i="6"/>
  <c r="I39" i="6"/>
  <c r="J39" i="6"/>
  <c r="K39" i="6"/>
  <c r="I40" i="6"/>
  <c r="J40" i="6"/>
  <c r="K40" i="6"/>
  <c r="I41" i="6"/>
  <c r="J41" i="6"/>
  <c r="K41" i="6"/>
  <c r="I42" i="6"/>
  <c r="J42" i="6"/>
  <c r="K42" i="6"/>
  <c r="I43" i="6"/>
  <c r="J43" i="6"/>
  <c r="K43" i="6"/>
  <c r="I44" i="6"/>
  <c r="J44" i="6"/>
  <c r="K44" i="6"/>
  <c r="I45" i="6"/>
  <c r="J45" i="6"/>
  <c r="K45" i="6"/>
  <c r="I46" i="6"/>
  <c r="J46" i="6"/>
  <c r="K46" i="6"/>
  <c r="I47" i="6"/>
  <c r="J47" i="6"/>
  <c r="K47" i="6"/>
  <c r="I48" i="6"/>
  <c r="J48" i="6"/>
  <c r="K48" i="6"/>
  <c r="I49" i="6"/>
  <c r="J49" i="6"/>
  <c r="K49" i="6"/>
  <c r="I50" i="6"/>
  <c r="J50" i="6"/>
  <c r="K50" i="6"/>
  <c r="I51" i="6"/>
  <c r="J51" i="6"/>
  <c r="K51" i="6"/>
  <c r="I52" i="6"/>
  <c r="J52" i="6"/>
  <c r="K52" i="6"/>
  <c r="I53" i="6"/>
  <c r="J53" i="6"/>
  <c r="K53" i="6"/>
  <c r="I54" i="6"/>
  <c r="J54" i="6"/>
  <c r="K54" i="6"/>
  <c r="B1" i="6"/>
  <c r="B1" i="11"/>
  <c r="B2" i="9"/>
  <c r="B3" i="9"/>
  <c r="C3" i="9"/>
  <c r="G3" i="9"/>
  <c r="H3" i="9"/>
  <c r="B1" i="9"/>
  <c r="B2" i="1"/>
  <c r="F3" i="1"/>
  <c r="G3" i="1"/>
  <c r="B1" i="1"/>
  <c r="B3" i="1"/>
  <c r="C3" i="1"/>
</calcChain>
</file>

<file path=xl/sharedStrings.xml><?xml version="1.0" encoding="utf-8"?>
<sst xmlns="http://schemas.openxmlformats.org/spreadsheetml/2006/main" count="1452" uniqueCount="312">
  <si>
    <t>Tenor</t>
  </si>
  <si>
    <t>1W</t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</si>
  <si>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</si>
  <si>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</si>
  <si>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</si>
  <si>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</si>
  <si>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</si>
  <si>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</si>
  <si>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</si>
  <si>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</si>
  <si>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</si>
  <si>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</si>
  <si>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</si>
  <si>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</si>
  <si>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</si>
  <si>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</si>
  <si>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</si>
  <si>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</si>
  <si>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</si>
  <si>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</si>
  <si>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</si>
  <si>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</si>
  <si>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</si>
  <si>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</si>
  <si>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</si>
  <si>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</si>
  <si>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</si>
  <si>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</si>
  <si>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</si>
  <si>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</si>
  <si>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Currency</t>
  </si>
  <si>
    <t>USD</t>
  </si>
  <si>
    <t>Business Center</t>
  </si>
  <si>
    <t>NONE</t>
  </si>
  <si>
    <t>Business Conv</t>
  </si>
  <si>
    <t>Fix Conv</t>
  </si>
  <si>
    <t>30/360</t>
  </si>
  <si>
    <t>Float Conv</t>
  </si>
  <si>
    <t>ACT/360</t>
  </si>
  <si>
    <t>EUR</t>
  </si>
  <si>
    <t>Market Date</t>
  </si>
  <si>
    <t xml:space="preserve">Ticker </t>
  </si>
  <si>
    <t>Weight</t>
  </si>
  <si>
    <t>Ticker</t>
  </si>
  <si>
    <t>b0</t>
  </si>
  <si>
    <t>Industry</t>
  </si>
  <si>
    <t>IndustrySub</t>
  </si>
  <si>
    <t>Bid</t>
  </si>
  <si>
    <t>Ask</t>
  </si>
  <si>
    <t>Mid</t>
  </si>
  <si>
    <t>Beverages</t>
  </si>
  <si>
    <t>Food</t>
  </si>
  <si>
    <t>Apparel</t>
  </si>
  <si>
    <t>Aerospace/Defense</t>
  </si>
  <si>
    <t>Chemicals</t>
  </si>
  <si>
    <t>Insurance</t>
  </si>
  <si>
    <t>Commercial Services</t>
  </si>
  <si>
    <t>Semiconductors</t>
  </si>
  <si>
    <t>Pharmaceuticals</t>
  </si>
  <si>
    <t>Banks</t>
  </si>
  <si>
    <t>Auto Manufacturers</t>
  </si>
  <si>
    <t>Building Materials</t>
  </si>
  <si>
    <t>Diversified Finan Serv</t>
  </si>
  <si>
    <t>Transportation</t>
  </si>
  <si>
    <t>Telecommunications</t>
  </si>
  <si>
    <t>Electric</t>
  </si>
  <si>
    <t>Oil&amp;Gas</t>
  </si>
  <si>
    <t>Healthcare-Products</t>
  </si>
  <si>
    <t>Healthcare-Services</t>
  </si>
  <si>
    <t>Retail</t>
  </si>
  <si>
    <t>Cosmetics/Personal Care</t>
  </si>
  <si>
    <t>Software</t>
  </si>
  <si>
    <t>Electrical Compo&amp;Equip</t>
  </si>
  <si>
    <t>Engineering&amp;Construction</t>
  </si>
  <si>
    <t>Miscellaneous Manufactur</t>
  </si>
  <si>
    <t>Brewery</t>
  </si>
  <si>
    <t>Food-Retail</t>
  </si>
  <si>
    <t>Athletic Footwear</t>
  </si>
  <si>
    <t>Aerospace/Defense-Equip</t>
  </si>
  <si>
    <t>Industrial Gases</t>
  </si>
  <si>
    <t>Multi-line Insurance</t>
  </si>
  <si>
    <t>Semiconductor Equipment</t>
  </si>
  <si>
    <t>Life/Health Insurance</t>
  </si>
  <si>
    <t>Chemicals-Diversified</t>
  </si>
  <si>
    <t>Medical-Drugs</t>
  </si>
  <si>
    <t>Commer Banks Non-US</t>
  </si>
  <si>
    <t>Auto-Cars/Light Trucks</t>
  </si>
  <si>
    <t>Diversified Banking Inst</t>
  </si>
  <si>
    <t>Bldg Prod-Cement/Aggreg</t>
  </si>
  <si>
    <t>Food-Dairy Products</t>
  </si>
  <si>
    <t>Finance-Other Services</t>
  </si>
  <si>
    <t>Transport-Services</t>
  </si>
  <si>
    <t>Telephone-Integrated</t>
  </si>
  <si>
    <t>Electric-Integrated</t>
  </si>
  <si>
    <t>Electric-Generation</t>
  </si>
  <si>
    <t>Oil Comp-Integrated</t>
  </si>
  <si>
    <t>Optical Supplies</t>
  </si>
  <si>
    <t>Dialysis Centers</t>
  </si>
  <si>
    <t>Retail-Apparel/Shoe</t>
  </si>
  <si>
    <t>Textile-Apparel</t>
  </si>
  <si>
    <t>Reinsurance</t>
  </si>
  <si>
    <t>Wireless Equipment</t>
  </si>
  <si>
    <t>Cellular Telecom</t>
  </si>
  <si>
    <t>Cosmetics&amp;Toiletries</t>
  </si>
  <si>
    <t>Medical Products</t>
  </si>
  <si>
    <t>Apparel Manufacturers</t>
  </si>
  <si>
    <t>Enterprise Software/Serv</t>
  </si>
  <si>
    <t>Power Conv/Supply Equip</t>
  </si>
  <si>
    <t>Building-Heavy Construct</t>
  </si>
  <si>
    <t>Diversified Manufact Op</t>
  </si>
  <si>
    <t>Multimedia</t>
  </si>
  <si>
    <t>sn tickers</t>
  </si>
  <si>
    <t>security</t>
  </si>
  <si>
    <t>Basket</t>
  </si>
  <si>
    <t>Sheet</t>
  </si>
  <si>
    <t>ExDate</t>
  </si>
  <si>
    <t>PayDate</t>
  </si>
  <si>
    <t>Estimates</t>
  </si>
  <si>
    <t>Rough</t>
  </si>
  <si>
    <t>Basket Set</t>
  </si>
  <si>
    <t>AllIn Bid</t>
  </si>
  <si>
    <t>AllIn Ask</t>
  </si>
  <si>
    <t>AllIn Mid</t>
  </si>
  <si>
    <t>AddSheet</t>
  </si>
  <si>
    <t>Type</t>
  </si>
  <si>
    <t>RepoRate</t>
  </si>
  <si>
    <t>Compounding</t>
  </si>
  <si>
    <t>DayCount</t>
  </si>
  <si>
    <t>Simply</t>
  </si>
  <si>
    <t>Ticker obj</t>
  </si>
  <si>
    <t>Id</t>
  </si>
  <si>
    <t>Buyer</t>
  </si>
  <si>
    <t>Seller</t>
  </si>
  <si>
    <t>Underlying</t>
  </si>
  <si>
    <t>DivRatio</t>
  </si>
  <si>
    <t>Maturity</t>
  </si>
  <si>
    <t>IssueDate</t>
  </si>
  <si>
    <t>Frequency</t>
  </si>
  <si>
    <t>BusinessCenter</t>
  </si>
  <si>
    <t>BusinessDayConvention</t>
  </si>
  <si>
    <t>DayCountConvention</t>
  </si>
  <si>
    <t>Stub</t>
  </si>
  <si>
    <t>ShortInitial</t>
  </si>
  <si>
    <t>A</t>
  </si>
  <si>
    <t>B</t>
  </si>
  <si>
    <t>Trade0</t>
  </si>
  <si>
    <t>Fix Rate</t>
  </si>
  <si>
    <t>Underlying obj</t>
  </si>
  <si>
    <t>Shedule</t>
  </si>
  <si>
    <t>Asset Leg</t>
  </si>
  <si>
    <t>TRS</t>
  </si>
  <si>
    <t>Trade1</t>
  </si>
  <si>
    <t>Trade2</t>
  </si>
  <si>
    <t>Trade3</t>
  </si>
  <si>
    <t>Trade4</t>
  </si>
  <si>
    <t>Trade5</t>
  </si>
  <si>
    <t>Trade6</t>
  </si>
  <si>
    <t>Trade7</t>
  </si>
  <si>
    <t>Trade8</t>
  </si>
  <si>
    <t>Trade9</t>
  </si>
  <si>
    <t>Book</t>
  </si>
  <si>
    <t>Book Id</t>
  </si>
  <si>
    <t>book0</t>
  </si>
  <si>
    <t>Number of objects</t>
  </si>
  <si>
    <t>Object details</t>
  </si>
  <si>
    <t>From</t>
  </si>
  <si>
    <t>To</t>
  </si>
  <si>
    <t>Long Term Proxy</t>
  </si>
  <si>
    <t>Collateral</t>
  </si>
  <si>
    <t>cash</t>
  </si>
  <si>
    <t>Collat Ccy</t>
  </si>
  <si>
    <t>Collat Security</t>
  </si>
  <si>
    <t>Collat obj</t>
  </si>
  <si>
    <t>Data sheets</t>
  </si>
  <si>
    <t>Instruments</t>
  </si>
  <si>
    <t>Technical</t>
  </si>
  <si>
    <t>Pricing &amp; Risk</t>
  </si>
  <si>
    <t>Data Sheets</t>
  </si>
  <si>
    <t>Data Sheet</t>
  </si>
  <si>
    <t>Repo Sheets</t>
  </si>
  <si>
    <t>Ois Market</t>
  </si>
  <si>
    <t>Fwd Curves Market</t>
  </si>
  <si>
    <t>Forex Fwd Market</t>
  </si>
  <si>
    <t>Single Names</t>
  </si>
  <si>
    <t>Repo Market</t>
  </si>
  <si>
    <t>Repo bootstrapper</t>
  </si>
  <si>
    <t>Div bootstrapper</t>
  </si>
  <si>
    <t>Div Market</t>
  </si>
  <si>
    <t>Rate Underlying</t>
  </si>
  <si>
    <t>Rate Und. obj</t>
  </si>
  <si>
    <t>Ref Ccy</t>
  </si>
  <si>
    <t>Ref Party</t>
  </si>
  <si>
    <t>Tasks</t>
  </si>
  <si>
    <t>All</t>
  </si>
  <si>
    <t>Price</t>
  </si>
  <si>
    <t>Fix Tenor</t>
  </si>
  <si>
    <t>Float Tenor</t>
  </si>
  <si>
    <t>future</t>
  </si>
  <si>
    <t>swap</t>
  </si>
  <si>
    <t>Ois Disc. Bootstrapper</t>
  </si>
  <si>
    <t>CFS Fwd Bootstrapper</t>
  </si>
  <si>
    <t>ois</t>
  </si>
  <si>
    <t>Rate Leg</t>
  </si>
  <si>
    <t xml:space="preserve">Leg 1 </t>
  </si>
  <si>
    <t>Leg2</t>
  </si>
  <si>
    <t>DirtyPrice</t>
  </si>
  <si>
    <t>Dirty Leg 1</t>
  </si>
  <si>
    <t>Dirty Leg 2</t>
  </si>
  <si>
    <t>ABI BB</t>
  </si>
  <si>
    <t>AD NA</t>
  </si>
  <si>
    <t>ADS GY</t>
  </si>
  <si>
    <t>AIR FP</t>
  </si>
  <si>
    <t>AI FP</t>
  </si>
  <si>
    <t>ALV GY</t>
  </si>
  <si>
    <t>AMS SM</t>
  </si>
  <si>
    <t>ASML NA</t>
  </si>
  <si>
    <t>CS FP</t>
  </si>
  <si>
    <t>BAS GY</t>
  </si>
  <si>
    <t>BAYN GY</t>
  </si>
  <si>
    <t>BBVA SM</t>
  </si>
  <si>
    <t>BMW GY</t>
  </si>
  <si>
    <t>BNP FP</t>
  </si>
  <si>
    <t>CRH ID</t>
  </si>
  <si>
    <t>DAI GY</t>
  </si>
  <si>
    <t>BN FP</t>
  </si>
  <si>
    <t>DB1 GY</t>
  </si>
  <si>
    <t>DPW GY</t>
  </si>
  <si>
    <t>DTE GY</t>
  </si>
  <si>
    <t>ENEL IM</t>
  </si>
  <si>
    <t>ENGI FP</t>
  </si>
  <si>
    <t>ENI IM</t>
  </si>
  <si>
    <t>EL FP</t>
  </si>
  <si>
    <t>FRE GY</t>
  </si>
  <si>
    <t>IBE SM</t>
  </si>
  <si>
    <t>INGA NA</t>
  </si>
  <si>
    <t>ISP IM</t>
  </si>
  <si>
    <t>ITX SM</t>
  </si>
  <si>
    <t>LIN GY</t>
  </si>
  <si>
    <t>MC FP</t>
  </si>
  <si>
    <t>MUV2 GY</t>
  </si>
  <si>
    <t>NOKIA FH</t>
  </si>
  <si>
    <t>ORA FP</t>
  </si>
  <si>
    <t>OR FP</t>
  </si>
  <si>
    <t>PHIA NA</t>
  </si>
  <si>
    <t>KER FP</t>
  </si>
  <si>
    <t>SAF FP</t>
  </si>
  <si>
    <t>SAN SM</t>
  </si>
  <si>
    <t>SAP GY</t>
  </si>
  <si>
    <t>SAN FP</t>
  </si>
  <si>
    <t>SU FP</t>
  </si>
  <si>
    <t>DG FP</t>
  </si>
  <si>
    <t>SIE GY</t>
  </si>
  <si>
    <t>GLE FP</t>
  </si>
  <si>
    <t>TEF SM</t>
  </si>
  <si>
    <t>FP FP</t>
  </si>
  <si>
    <t>UNA NA</t>
  </si>
  <si>
    <t>VIV FP</t>
  </si>
  <si>
    <t>Media</t>
  </si>
  <si>
    <t>VOW3 GY</t>
  </si>
  <si>
    <t>FOLLOWING</t>
  </si>
  <si>
    <t>EUTA</t>
  </si>
  <si>
    <t>Trade10</t>
  </si>
  <si>
    <t>Bump Policy</t>
  </si>
  <si>
    <t>Bump Set Type</t>
  </si>
  <si>
    <t>Price Only</t>
  </si>
  <si>
    <t>Ois Fwd Bootstrapper</t>
  </si>
  <si>
    <t>Fixing Tenor</t>
  </si>
  <si>
    <t>Disc Fwd Market</t>
  </si>
  <si>
    <t>Disc Fwd Bootstrapper</t>
  </si>
  <si>
    <t>Business Centers</t>
  </si>
  <si>
    <t>Business Day Convention</t>
  </si>
  <si>
    <t>Roll Conventions</t>
  </si>
  <si>
    <t>Day Count</t>
  </si>
  <si>
    <t>Compounding Type</t>
  </si>
  <si>
    <t>Stub Type</t>
  </si>
  <si>
    <t>Instrument Type</t>
  </si>
  <si>
    <t>Base</t>
  </si>
  <si>
    <t>Market Set</t>
  </si>
  <si>
    <t>FactorNumber</t>
  </si>
  <si>
    <t>Model</t>
  </si>
  <si>
    <t>BS3F</t>
  </si>
  <si>
    <t>Basket Object</t>
  </si>
  <si>
    <t>Models</t>
  </si>
  <si>
    <t>BS2F</t>
  </si>
  <si>
    <t>Block Size</t>
  </si>
  <si>
    <t>Path Number</t>
  </si>
  <si>
    <t>Confidence Level</t>
  </si>
  <si>
    <t>Half Interval</t>
  </si>
  <si>
    <t>Reach Precision</t>
  </si>
  <si>
    <t>MonteCarlo setting</t>
  </si>
  <si>
    <t>MC Settings</t>
  </si>
  <si>
    <t>Setting0</t>
  </si>
  <si>
    <t>Active</t>
  </si>
  <si>
    <t>Context</t>
  </si>
  <si>
    <t>Setting</t>
  </si>
  <si>
    <t>Setting1</t>
  </si>
  <si>
    <t>TEST</t>
  </si>
  <si>
    <t>Fair Spread (bp)</t>
  </si>
  <si>
    <t>Book Object</t>
  </si>
  <si>
    <t>Div Currency</t>
  </si>
  <si>
    <t>ResetSchedule</t>
  </si>
  <si>
    <t>Confidence</t>
  </si>
  <si>
    <t>Leg1 Conf</t>
  </si>
  <si>
    <t>Leg2 Conf</t>
  </si>
  <si>
    <t>Status</t>
  </si>
  <si>
    <t>Calculation Time (s)</t>
  </si>
  <si>
    <t>Vols</t>
  </si>
  <si>
    <t>Quotity/Notional</t>
  </si>
  <si>
    <t>Reset Type</t>
  </si>
  <si>
    <t>Ref</t>
  </si>
  <si>
    <t>Diff</t>
  </si>
  <si>
    <t>Use BidAsk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</si>
</sst>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€_-;\-* #,##0.00\ _€_-;_-* &quot;-&quot;??\ _€_-;_-@_-"/>
    <numFmt numFmtId="164" formatCode="_-* #,##0.0000_-;\-* #,##0.0000_-;_-* &quot;-&quot;??_-;_-@_-"/>
    <numFmt numFmtId="165" formatCode="d/m/yy\ h:mm;@"/>
    <numFmt numFmtId="166" formatCode="[$-F400]h:mm:ss\ AM/PM"/>
    <numFmt numFmtId="167" formatCode="_-* #,##0.00000\ _€_-;\-* #,##0.00000\ _€_-;_-* &quot;-&quot;??\ _€_-;_-@_-"/>
    <numFmt numFmtId="168" formatCode="_-* #,##0.0000\ _C_H_F_-;\-* #,##0.0000\ _C_H_F_-;_-* &quot;-&quot;????\ _C_H_F_-;_-@_-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ahoma"/>
      <family val="2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6" fontId="6" fillId="0" borderId="0"/>
  </cellStyleXfs>
  <cellXfs count="3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64" fontId="0" fillId="0" borderId="5" xfId="1" applyNumberFormat="1" applyFont="1" applyBorder="1"/>
    <xf numFmtId="0" fontId="0" fillId="0" borderId="6" xfId="0" applyBorder="1"/>
    <xf numFmtId="0" fontId="0" fillId="0" borderId="7" xfId="0" applyBorder="1"/>
    <xf numFmtId="164" fontId="0" fillId="0" borderId="8" xfId="1" applyNumberFormat="1" applyFont="1" applyBorder="1"/>
    <xf numFmtId="0" fontId="3" fillId="0" borderId="9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14" fontId="0" fillId="0" borderId="2" xfId="0" applyNumberFormat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165" fontId="0" fillId="0" borderId="0" xfId="0" applyNumberFormat="1"/>
    <xf numFmtId="0" fontId="4" fillId="0" borderId="0" xfId="0" applyFont="1" applyAlignment="1">
      <alignment horizontal="left"/>
    </xf>
    <xf numFmtId="0" fontId="0" fillId="0" borderId="10" xfId="0" applyBorder="1"/>
    <xf numFmtId="0" fontId="2" fillId="2" borderId="11" xfId="0" applyFont="1" applyFill="1" applyBorder="1" applyAlignment="1">
      <alignment horizontal="left" vertical="center"/>
    </xf>
    <xf numFmtId="0" fontId="0" fillId="3" borderId="11" xfId="0" applyFill="1" applyBorder="1"/>
    <xf numFmtId="0" fontId="0" fillId="4" borderId="11" xfId="0" applyFill="1" applyBorder="1"/>
    <xf numFmtId="0" fontId="5" fillId="5" borderId="11" xfId="0" applyFont="1" applyFill="1" applyBorder="1"/>
    <xf numFmtId="0" fontId="0" fillId="6" borderId="11" xfId="0" applyFill="1" applyBorder="1"/>
    <xf numFmtId="0" fontId="4" fillId="7" borderId="0" xfId="0" applyFont="1" applyFill="1" applyAlignment="1">
      <alignment horizont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/>
    <xf numFmtId="0" fontId="2" fillId="2" borderId="1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0" fontId="7" fillId="8" borderId="0" xfId="0" applyFont="1" applyFill="1"/>
    <xf numFmtId="169" fontId="0" fillId="0" borderId="0" xfId="0" applyNumberFormat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9525</xdr:rowOff>
    </xdr:from>
    <xdr:to>
      <xdr:col>6</xdr:col>
      <xdr:colOff>19050</xdr:colOff>
      <xdr:row>3</xdr:row>
      <xdr:rowOff>38100</xdr:rowOff>
    </xdr:to>
    <xdr:sp macro="[0]!CalcAll1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733675" y="209550"/>
          <a:ext cx="1314450" cy="4095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</a:rPr>
            <a:t>Calculate</a:t>
          </a:r>
          <a:endParaRPr lang="fr-FR" sz="11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zeliade/ogam_prod_git/zqf_ogam_prod/excel/src/vba/Zeliade.Excel.Tools/bin/Zeliade.Excel.Tool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"/>
    </sheetNames>
    <definedNames>
      <definedName name="cco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B8"/>
  <sheetViews>
    <sheetView workbookViewId="0">
      <selection sqref="A1:XFD1048576"/>
    </sheetView>
  </sheetViews>
  <sheetFormatPr defaultRowHeight="14.5" x14ac:dyDescent="0.35"/>
  <cols>
    <col min="1" max="1" width="13.1796875" bestFit="1" customWidth="1"/>
    <col min="2" max="2" width="10.7265625" bestFit="1" customWidth="1"/>
  </cols>
  <sheetData>
    <row r="1" spans="1:2" ht="15" thickBot="1" x14ac:dyDescent="0.4">
      <c r="A1" s="9" t="s">
        <v>40</v>
      </c>
      <c r="B1" s="10">
        <v>44015</v>
      </c>
    </row>
    <row r="4" spans="1:2" ht="15" thickBot="1" x14ac:dyDescent="0.4"/>
    <row r="5" spans="1:2" ht="15" thickBot="1" x14ac:dyDescent="0.4">
      <c r="A5" s="20" t="s">
        <v>173</v>
      </c>
      <c r="B5" s="21"/>
    </row>
    <row r="6" spans="1:2" ht="15" thickBot="1" x14ac:dyDescent="0.4">
      <c r="A6" s="20" t="s">
        <v>174</v>
      </c>
      <c r="B6" s="22"/>
    </row>
    <row r="7" spans="1:2" ht="15" thickBot="1" x14ac:dyDescent="0.4">
      <c r="A7" s="20" t="s">
        <v>176</v>
      </c>
      <c r="B7" s="23"/>
    </row>
    <row r="8" spans="1:2" ht="15" thickBot="1" x14ac:dyDescent="0.4">
      <c r="A8" s="20" t="s">
        <v>175</v>
      </c>
      <c r="B8" s="2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J38"/>
  <sheetViews>
    <sheetView zoomScaleNormal="100" workbookViewId="0">
      <selection sqref="A1:XFD1048576"/>
    </sheetView>
  </sheetViews>
  <sheetFormatPr defaultRowHeight="14.5" x14ac:dyDescent="0.35"/>
  <cols>
    <col min="1" max="1" width="15.26953125" bestFit="1" customWidth="1"/>
    <col min="2" max="2" width="14" bestFit="1" customWidth="1"/>
    <col min="3" max="3" width="14.453125" customWidth="1"/>
    <col min="4" max="4" width="8.1796875" customWidth="1"/>
    <col min="5" max="6" width="15.26953125" bestFit="1" customWidth="1"/>
    <col min="7" max="7" width="8.1796875" bestFit="1" customWidth="1"/>
    <col min="8" max="8" width="8.1796875" customWidth="1"/>
    <col min="9" max="9" width="7.7265625" bestFit="1" customWidth="1"/>
    <col min="10" max="10" width="11.81640625" bestFit="1" customWidth="1"/>
  </cols>
  <sheetData>
    <row r="1" spans="1:10" ht="15" thickBot="1" x14ac:dyDescent="0.4">
      <c r="A1" s="9" t="s">
        <v>177</v>
      </c>
      <c r="B1" s="16" t="str">
        <f ca="1">G3</f>
        <v>OBJ_51101433</v>
      </c>
    </row>
    <row r="2" spans="1:10" ht="15" thickBot="1" x14ac:dyDescent="0.4">
      <c r="B2" s="16" t="str">
        <f ca="1">_xll.DataSheetContainer.New(COB)</f>
        <v>OBJ_51101433</v>
      </c>
    </row>
    <row r="3" spans="1:10" ht="15" thickBot="1" x14ac:dyDescent="0.4">
      <c r="A3" s="9" t="s">
        <v>114</v>
      </c>
      <c r="B3" s="16" t="str">
        <f ca="1">_xll.DataSheets.OisSheet(COB,[1]!ccol(A10),[1]!ccol(B10),[1]!ccol(C10),[1]!ccol(D10),B5,B6,B7,B8,B4)</f>
        <v>OBJ_11576397</v>
      </c>
      <c r="C3" s="18" t="str">
        <f ca="1">_xll.DataSheetContainer.AddSheet($B$2,_xll.Currency.New(B4),B3)</f>
        <v>OBJ_51101433</v>
      </c>
      <c r="E3" s="9" t="s">
        <v>114</v>
      </c>
      <c r="F3" s="16" t="str">
        <f ca="1">_xll.DataSheets.OisSheet(COB,[1]!ccol(E10),[1]!ccol(F10),[1]!ccol(G10),[1]!ccol(H10),F5,F6,F7,F8,F4)</f>
        <v>OBJ_43001397</v>
      </c>
      <c r="G3" s="18" t="str">
        <f ca="1">_xll.DataSheetContainer.AddSheet($B$2,_xll.Currency.New(F4),F3)</f>
        <v>OBJ_51101433</v>
      </c>
    </row>
    <row r="4" spans="1:10" ht="15" thickBot="1" x14ac:dyDescent="0.4">
      <c r="A4" s="9" t="s">
        <v>30</v>
      </c>
      <c r="B4" s="8" t="s">
        <v>39</v>
      </c>
      <c r="E4" s="9" t="s">
        <v>30</v>
      </c>
      <c r="F4" s="8" t="s">
        <v>31</v>
      </c>
    </row>
    <row r="5" spans="1:10" ht="15" thickBot="1" x14ac:dyDescent="0.4">
      <c r="A5" s="9" t="s">
        <v>32</v>
      </c>
      <c r="B5" s="8" t="s">
        <v>33</v>
      </c>
      <c r="E5" s="9" t="s">
        <v>32</v>
      </c>
      <c r="F5" s="8" t="s">
        <v>33</v>
      </c>
    </row>
    <row r="6" spans="1:10" ht="15" thickBot="1" x14ac:dyDescent="0.4">
      <c r="A6" s="9" t="s">
        <v>34</v>
      </c>
      <c r="B6" s="8" t="s">
        <v>33</v>
      </c>
      <c r="E6" s="9" t="s">
        <v>34</v>
      </c>
      <c r="F6" s="8" t="s">
        <v>33</v>
      </c>
    </row>
    <row r="7" spans="1:10" ht="15" thickBot="1" x14ac:dyDescent="0.4">
      <c r="A7" s="9" t="s">
        <v>35</v>
      </c>
      <c r="B7" s="8" t="s">
        <v>36</v>
      </c>
      <c r="E7" s="9" t="s">
        <v>35</v>
      </c>
      <c r="F7" s="8" t="s">
        <v>36</v>
      </c>
    </row>
    <row r="8" spans="1:10" ht="15" thickBot="1" x14ac:dyDescent="0.4">
      <c r="A8" s="9" t="s">
        <v>37</v>
      </c>
      <c r="B8" s="8" t="s">
        <v>38</v>
      </c>
      <c r="E8" s="9" t="s">
        <v>37</v>
      </c>
      <c r="F8" s="8" t="s">
        <v>38</v>
      </c>
    </row>
    <row r="9" spans="1:10" ht="15" thickBot="1" x14ac:dyDescent="0.4">
      <c r="A9" s="1" t="s">
        <v>0</v>
      </c>
      <c r="B9" s="9" t="s">
        <v>47</v>
      </c>
      <c r="C9" s="9" t="s">
        <v>48</v>
      </c>
      <c r="D9" s="9" t="s">
        <v>49</v>
      </c>
      <c r="E9" s="1" t="s">
        <v>0</v>
      </c>
      <c r="F9" s="9" t="s">
        <v>47</v>
      </c>
      <c r="G9" s="9" t="s">
        <v>48</v>
      </c>
      <c r="H9" s="9" t="s">
        <v>49</v>
      </c>
    </row>
    <row r="10" spans="1:10" x14ac:dyDescent="0.35">
      <c r="A10" t="s">
        <v>1</v>
      </c>
      <c r="B10" s="2">
        <v>-0.46600000000000003</v>
      </c>
      <c r="C10" s="3">
        <v>-0.46</v>
      </c>
      <c r="D10" s="4">
        <v>-4.6300000000000004E-3</v>
      </c>
      <c r="E10" t="s">
        <v>1</v>
      </c>
      <c r="F10" s="2">
        <v>-4.6700000000000005E-3</v>
      </c>
      <c r="G10" s="3">
        <v>-4.5149999999999999E-3</v>
      </c>
      <c r="H10" s="4">
        <v>-4.5925000000000002E-3</v>
      </c>
      <c r="J10" s="31"/>
    </row>
    <row r="11" spans="1:10" x14ac:dyDescent="0.35">
      <c r="A11" t="s">
        <v>2</v>
      </c>
      <c r="B11" s="2">
        <v>-0.4728</v>
      </c>
      <c r="C11" s="3">
        <v>-0.4531</v>
      </c>
      <c r="D11" s="4">
        <v>-4.6294999999999999E-3</v>
      </c>
      <c r="E11" t="s">
        <v>2</v>
      </c>
      <c r="F11" s="2">
        <v>-4.7590000000000002E-3</v>
      </c>
      <c r="G11" s="3">
        <v>-4.431E-3</v>
      </c>
      <c r="H11" s="4">
        <v>-4.5950000000000001E-3</v>
      </c>
      <c r="J11" s="31"/>
    </row>
    <row r="12" spans="1:10" x14ac:dyDescent="0.35">
      <c r="A12" t="s">
        <v>3</v>
      </c>
      <c r="B12" s="2">
        <v>-0.47399999999999998</v>
      </c>
      <c r="C12" s="3">
        <v>-0.46200000000000002</v>
      </c>
      <c r="D12" s="4">
        <v>-4.6800000000000001E-3</v>
      </c>
      <c r="E12" t="s">
        <v>3</v>
      </c>
      <c r="F12" s="2">
        <v>-4.6769999999999997E-3</v>
      </c>
      <c r="G12" s="3">
        <v>-4.5830000000000003E-3</v>
      </c>
      <c r="H12" s="4">
        <v>-4.6299999999999996E-3</v>
      </c>
      <c r="J12" s="31"/>
    </row>
    <row r="13" spans="1:10" x14ac:dyDescent="0.35">
      <c r="A13" t="s">
        <v>4</v>
      </c>
      <c r="B13" s="2">
        <v>-0.47599999999999998</v>
      </c>
      <c r="C13" s="3">
        <v>-0.46600000000000003</v>
      </c>
      <c r="D13" s="4">
        <v>-4.7099999999999998E-3</v>
      </c>
      <c r="E13" t="s">
        <v>4</v>
      </c>
      <c r="F13" s="2">
        <v>-4.7349999999999996E-3</v>
      </c>
      <c r="G13" s="3">
        <v>-4.6470000000000001E-3</v>
      </c>
      <c r="H13" s="4">
        <v>-4.6909999999999999E-3</v>
      </c>
      <c r="J13" s="31"/>
    </row>
    <row r="14" spans="1:10" x14ac:dyDescent="0.35">
      <c r="A14" t="s">
        <v>5</v>
      </c>
      <c r="B14" s="2">
        <v>-0.4803</v>
      </c>
      <c r="C14" s="3">
        <v>-0.47170000000000001</v>
      </c>
      <c r="D14" s="4">
        <v>-4.7599999999999995E-3</v>
      </c>
      <c r="E14" t="s">
        <v>5</v>
      </c>
      <c r="F14" s="2">
        <v>-4.7599999999999995E-3</v>
      </c>
      <c r="G14" s="3">
        <v>-4.6760000000000005E-3</v>
      </c>
      <c r="H14" s="4">
        <v>-4.718E-3</v>
      </c>
      <c r="J14" s="31"/>
    </row>
    <row r="15" spans="1:10" x14ac:dyDescent="0.35">
      <c r="A15" t="s">
        <v>6</v>
      </c>
      <c r="B15" s="2">
        <v>-0.48380000000000001</v>
      </c>
      <c r="C15" s="3">
        <v>-0.47620000000000001</v>
      </c>
      <c r="D15" s="4">
        <v>-4.7999999999999996E-3</v>
      </c>
      <c r="E15" t="s">
        <v>6</v>
      </c>
      <c r="F15" s="2">
        <v>-4.7939999999999997E-3</v>
      </c>
      <c r="G15" s="3">
        <v>-4.7060000000000001E-3</v>
      </c>
      <c r="H15" s="4">
        <v>-4.7499999999999999E-3</v>
      </c>
      <c r="J15" s="31"/>
    </row>
    <row r="16" spans="1:10" x14ac:dyDescent="0.35">
      <c r="A16" t="s">
        <v>7</v>
      </c>
      <c r="B16" s="2">
        <v>-0.48859999999999998</v>
      </c>
      <c r="C16" s="3">
        <v>-0.47939999999999999</v>
      </c>
      <c r="D16" s="4">
        <v>-4.8399999999999997E-3</v>
      </c>
      <c r="E16" t="s">
        <v>7</v>
      </c>
      <c r="F16" s="2">
        <v>-4.8190000000000004E-3</v>
      </c>
      <c r="G16" s="3">
        <v>-4.731E-3</v>
      </c>
      <c r="H16" s="4">
        <v>-4.7750000000000006E-3</v>
      </c>
      <c r="J16" s="31"/>
    </row>
    <row r="17" spans="1:10" x14ac:dyDescent="0.35">
      <c r="A17" t="s">
        <v>8</v>
      </c>
      <c r="B17" s="2">
        <v>-0.49249999999999999</v>
      </c>
      <c r="C17" s="3">
        <v>-0.48249999999999998</v>
      </c>
      <c r="D17" s="4">
        <v>-4.875E-3</v>
      </c>
      <c r="E17" t="s">
        <v>8</v>
      </c>
      <c r="F17" s="2">
        <v>-4.8349999999999999E-3</v>
      </c>
      <c r="G17" s="3">
        <v>-4.7450000000000001E-3</v>
      </c>
      <c r="H17" s="4">
        <v>-4.79E-3</v>
      </c>
      <c r="J17" s="31"/>
    </row>
    <row r="18" spans="1:10" x14ac:dyDescent="0.35">
      <c r="A18" t="s">
        <v>9</v>
      </c>
      <c r="B18" s="2">
        <v>-0.49349999999999999</v>
      </c>
      <c r="C18" s="3">
        <v>-0.48859999999999998</v>
      </c>
      <c r="D18" s="4">
        <v>-4.9104999999999999E-3</v>
      </c>
      <c r="E18" t="s">
        <v>9</v>
      </c>
      <c r="F18" s="2">
        <v>-4.8419999999999999E-3</v>
      </c>
      <c r="G18" s="3">
        <v>-4.7930000000000004E-3</v>
      </c>
      <c r="H18" s="4">
        <v>-4.8174999999999997E-3</v>
      </c>
      <c r="J18" s="31"/>
    </row>
    <row r="19" spans="1:10" x14ac:dyDescent="0.35">
      <c r="A19" t="s">
        <v>10</v>
      </c>
      <c r="B19" s="2">
        <v>-0.49819999999999998</v>
      </c>
      <c r="C19" s="3">
        <v>-0.48980000000000001</v>
      </c>
      <c r="D19" s="4">
        <v>-4.9399999999999999E-3</v>
      </c>
      <c r="E19" t="s">
        <v>10</v>
      </c>
      <c r="F19" s="2">
        <v>-4.8799999999999998E-3</v>
      </c>
      <c r="G19" s="3">
        <v>-4.79E-3</v>
      </c>
      <c r="H19" s="4">
        <v>-4.8349999999999999E-3</v>
      </c>
      <c r="J19" s="31"/>
    </row>
    <row r="20" spans="1:10" x14ac:dyDescent="0.35">
      <c r="A20" t="s">
        <v>11</v>
      </c>
      <c r="B20" s="2">
        <v>-0.50239999999999996</v>
      </c>
      <c r="C20" s="3">
        <v>-0.49259999999999998</v>
      </c>
      <c r="D20" s="4">
        <v>-4.9749999999999994E-3</v>
      </c>
      <c r="E20" t="s">
        <v>11</v>
      </c>
      <c r="F20" s="2">
        <v>-4.8900000000000002E-3</v>
      </c>
      <c r="G20" s="3">
        <v>-4.7999999999999996E-3</v>
      </c>
      <c r="H20" s="4">
        <v>-4.8449999999999995E-3</v>
      </c>
      <c r="J20" s="31"/>
    </row>
    <row r="21" spans="1:10" x14ac:dyDescent="0.35">
      <c r="A21" t="s">
        <v>12</v>
      </c>
      <c r="B21" s="2">
        <v>-0.50539999999999996</v>
      </c>
      <c r="C21" s="3">
        <v>-0.49559999999999998</v>
      </c>
      <c r="D21" s="4">
        <v>-5.004999999999999E-3</v>
      </c>
      <c r="E21" t="s">
        <v>12</v>
      </c>
      <c r="F21" s="2">
        <v>-4.9129999999999998E-3</v>
      </c>
      <c r="G21" s="3">
        <v>-4.8249999999999994E-3</v>
      </c>
      <c r="H21" s="4">
        <v>-4.8690000000000001E-3</v>
      </c>
      <c r="J21" s="31"/>
    </row>
    <row r="22" spans="1:10" x14ac:dyDescent="0.35">
      <c r="A22" t="s">
        <v>13</v>
      </c>
      <c r="B22" s="2">
        <v>-0.50770000000000004</v>
      </c>
      <c r="C22" s="3">
        <v>-0.50029999999999997</v>
      </c>
      <c r="D22" s="4">
        <v>-5.0400000000000002E-3</v>
      </c>
      <c r="E22" t="s">
        <v>13</v>
      </c>
      <c r="F22" s="2">
        <v>-4.9300000000000004E-3</v>
      </c>
      <c r="G22" s="3">
        <v>-4.8399999999999997E-3</v>
      </c>
      <c r="H22" s="4">
        <v>-4.8849999999999996E-3</v>
      </c>
      <c r="J22" s="31"/>
    </row>
    <row r="23" spans="1:10" x14ac:dyDescent="0.35">
      <c r="A23" t="s">
        <v>14</v>
      </c>
      <c r="B23" s="2">
        <v>-0.51290000000000002</v>
      </c>
      <c r="C23" s="3">
        <v>-0.50309999999999999</v>
      </c>
      <c r="D23" s="4">
        <v>-5.0800000000000003E-3</v>
      </c>
      <c r="E23" t="s">
        <v>14</v>
      </c>
      <c r="F23" s="2">
        <v>-4.9449999999999997E-3</v>
      </c>
      <c r="G23" s="3">
        <v>-4.8549999999999999E-3</v>
      </c>
      <c r="H23" s="4">
        <v>-4.8999999999999998E-3</v>
      </c>
      <c r="J23" s="31"/>
    </row>
    <row r="24" spans="1:10" x14ac:dyDescent="0.35">
      <c r="A24" t="s">
        <v>15</v>
      </c>
      <c r="B24" s="2">
        <v>-0.53669999999999995</v>
      </c>
      <c r="C24" s="3">
        <v>-0.52729999999999999</v>
      </c>
      <c r="D24" s="4">
        <v>-5.3200000000000001E-3</v>
      </c>
      <c r="E24" t="s">
        <v>15</v>
      </c>
      <c r="F24" s="2">
        <v>-4.9759999999999995E-3</v>
      </c>
      <c r="G24" s="3">
        <v>-4.8840000000000003E-3</v>
      </c>
      <c r="H24" s="4">
        <v>-4.9300000000000004E-3</v>
      </c>
      <c r="J24" s="31"/>
    </row>
    <row r="25" spans="1:10" x14ac:dyDescent="0.35">
      <c r="A25" t="s">
        <v>16</v>
      </c>
      <c r="B25" s="2">
        <v>-0.53959999999999997</v>
      </c>
      <c r="C25" s="3">
        <v>-0.53039999999999998</v>
      </c>
      <c r="D25" s="4">
        <v>-5.3499999999999989E-3</v>
      </c>
      <c r="E25" t="s">
        <v>16</v>
      </c>
      <c r="F25" s="2">
        <v>-4.8549999999999999E-3</v>
      </c>
      <c r="G25" s="3">
        <v>-4.7689999999999998E-3</v>
      </c>
      <c r="H25" s="4">
        <v>-4.8119999999999994E-3</v>
      </c>
      <c r="J25" s="31"/>
    </row>
    <row r="26" spans="1:10" x14ac:dyDescent="0.35">
      <c r="A26" t="s">
        <v>17</v>
      </c>
      <c r="B26" s="2">
        <v>-0.52659999999999996</v>
      </c>
      <c r="C26" s="3">
        <v>-0.51739999999999997</v>
      </c>
      <c r="D26" s="4">
        <v>-5.2199999999999998E-3</v>
      </c>
      <c r="E26" t="s">
        <v>17</v>
      </c>
      <c r="F26" s="2">
        <v>-4.6610000000000002E-3</v>
      </c>
      <c r="G26" s="3">
        <v>-4.5390000000000005E-3</v>
      </c>
      <c r="H26" s="4">
        <v>-4.5999999999999999E-3</v>
      </c>
      <c r="J26" s="31"/>
    </row>
    <row r="27" spans="1:10" x14ac:dyDescent="0.35">
      <c r="A27" t="s">
        <v>18</v>
      </c>
      <c r="B27" s="2">
        <v>-0.50390000000000001</v>
      </c>
      <c r="C27" s="3">
        <v>-0.49509999999999998</v>
      </c>
      <c r="D27" s="4">
        <v>-4.9950000000000003E-3</v>
      </c>
      <c r="E27" t="s">
        <v>18</v>
      </c>
      <c r="F27" s="2">
        <v>-4.3499999999999997E-3</v>
      </c>
      <c r="G27" s="3">
        <v>-4.2199999999999998E-3</v>
      </c>
      <c r="H27" s="4">
        <v>-4.2849999999999997E-3</v>
      </c>
      <c r="J27" s="31"/>
    </row>
    <row r="28" spans="1:10" x14ac:dyDescent="0.35">
      <c r="A28" t="s">
        <v>19</v>
      </c>
      <c r="B28" s="2">
        <v>-0.47310000000000002</v>
      </c>
      <c r="C28" s="3">
        <v>-0.46589999999999998</v>
      </c>
      <c r="D28" s="4">
        <v>-4.6950000000000004E-3</v>
      </c>
      <c r="E28" t="s">
        <v>19</v>
      </c>
      <c r="F28" s="2">
        <v>-3.9719999999999998E-3</v>
      </c>
      <c r="G28" s="3">
        <v>-3.9020000000000001E-3</v>
      </c>
      <c r="H28" s="4">
        <v>-3.9369999999999995E-3</v>
      </c>
      <c r="J28" s="31"/>
    </row>
    <row r="29" spans="1:10" x14ac:dyDescent="0.35">
      <c r="A29" t="s">
        <v>20</v>
      </c>
      <c r="B29" s="2">
        <v>-0.43780000000000002</v>
      </c>
      <c r="C29" s="3">
        <v>-0.432</v>
      </c>
      <c r="D29" s="4">
        <v>-4.3490000000000004E-3</v>
      </c>
      <c r="E29" t="s">
        <v>20</v>
      </c>
      <c r="F29" s="2">
        <v>-3.5909999999999996E-3</v>
      </c>
      <c r="G29" s="3">
        <v>-3.509E-3</v>
      </c>
      <c r="H29" s="4">
        <v>-3.5499999999999998E-3</v>
      </c>
      <c r="J29" s="31"/>
    </row>
    <row r="30" spans="1:10" x14ac:dyDescent="0.35">
      <c r="A30" t="s">
        <v>21</v>
      </c>
      <c r="B30" s="2">
        <v>-0.39789999999999998</v>
      </c>
      <c r="C30" s="3">
        <v>-0.3921</v>
      </c>
      <c r="D30" s="4">
        <v>-3.9500000000000004E-3</v>
      </c>
      <c r="E30" t="s">
        <v>21</v>
      </c>
      <c r="F30" s="2">
        <v>-3.1580000000000002E-3</v>
      </c>
      <c r="G30" s="3">
        <v>-3.0799999999999998E-3</v>
      </c>
      <c r="H30" s="4">
        <v>-3.1190000000000002E-3</v>
      </c>
      <c r="J30" s="31"/>
    </row>
    <row r="31" spans="1:10" x14ac:dyDescent="0.35">
      <c r="A31" t="s">
        <v>22</v>
      </c>
      <c r="B31" s="2">
        <v>-0.35699999999999998</v>
      </c>
      <c r="C31" s="3">
        <v>-0.34860000000000002</v>
      </c>
      <c r="D31" s="4">
        <v>-3.5279999999999999E-3</v>
      </c>
      <c r="E31" t="s">
        <v>22</v>
      </c>
      <c r="F31" s="2">
        <v>-2.728E-3</v>
      </c>
      <c r="G31" s="3">
        <v>-2.6019999999999997E-3</v>
      </c>
      <c r="H31" s="4">
        <v>-2.6649999999999994E-3</v>
      </c>
      <c r="J31" s="31"/>
    </row>
    <row r="32" spans="1:10" x14ac:dyDescent="0.35">
      <c r="A32" t="s">
        <v>23</v>
      </c>
      <c r="B32" s="2">
        <v>-0.3115</v>
      </c>
      <c r="C32" s="3">
        <v>-0.30570000000000003</v>
      </c>
      <c r="D32" s="4">
        <v>-3.0859999999999998E-3</v>
      </c>
      <c r="E32" t="s">
        <v>23</v>
      </c>
      <c r="F32" s="2">
        <v>-2.2629999999999998E-3</v>
      </c>
      <c r="G32" s="3">
        <v>-2.1870000000000001E-3</v>
      </c>
      <c r="H32" s="4">
        <v>-2.225E-3</v>
      </c>
      <c r="J32" s="31"/>
    </row>
    <row r="33" spans="1:10" x14ac:dyDescent="0.35">
      <c r="A33" t="s">
        <v>24</v>
      </c>
      <c r="B33" s="2">
        <v>-0.26869999999999999</v>
      </c>
      <c r="C33" s="3">
        <v>-0.25950000000000001</v>
      </c>
      <c r="D33" s="4">
        <v>-2.6410000000000001E-3</v>
      </c>
      <c r="E33" t="s">
        <v>24</v>
      </c>
      <c r="F33" s="2">
        <v>-1.8570000000000001E-3</v>
      </c>
      <c r="G33" s="3">
        <v>-1.7130000000000001E-3</v>
      </c>
      <c r="H33" s="4">
        <v>-1.7849999999999999E-3</v>
      </c>
      <c r="J33" s="31"/>
    </row>
    <row r="34" spans="1:10" x14ac:dyDescent="0.35">
      <c r="A34" t="s">
        <v>25</v>
      </c>
      <c r="B34" s="2">
        <v>-0.2281</v>
      </c>
      <c r="C34" s="3">
        <v>-0.21490000000000001</v>
      </c>
      <c r="D34" s="4">
        <v>-2.215E-3</v>
      </c>
      <c r="E34" t="s">
        <v>25</v>
      </c>
      <c r="F34" s="2">
        <v>-1.4269999999999999E-3</v>
      </c>
      <c r="G34" s="3">
        <v>-1.343E-3</v>
      </c>
      <c r="H34" s="4">
        <v>-1.3850000000000002E-3</v>
      </c>
      <c r="J34" s="31"/>
    </row>
    <row r="35" spans="1:10" x14ac:dyDescent="0.35">
      <c r="A35" t="s">
        <v>26</v>
      </c>
      <c r="B35" s="2">
        <v>-0.1245</v>
      </c>
      <c r="C35" s="3">
        <v>-0.1075</v>
      </c>
      <c r="D35" s="4">
        <v>-1.16E-3</v>
      </c>
      <c r="E35" t="s">
        <v>26</v>
      </c>
      <c r="F35" s="2">
        <v>-4.0099999999999999E-4</v>
      </c>
      <c r="G35" s="3">
        <v>-3.19E-4</v>
      </c>
      <c r="H35" s="4">
        <v>-3.5999999999999997E-4</v>
      </c>
      <c r="J35" s="31"/>
    </row>
    <row r="36" spans="1:10" x14ac:dyDescent="0.35">
      <c r="A36" t="s">
        <v>27</v>
      </c>
      <c r="B36" s="2">
        <v>-3.56E-2</v>
      </c>
      <c r="C36" s="3">
        <v>-2.8899999999999999E-2</v>
      </c>
      <c r="D36" s="4">
        <v>-3.2250000000000003E-4</v>
      </c>
      <c r="E36" t="s">
        <v>27</v>
      </c>
      <c r="F36" s="2">
        <v>3.0299999999999999E-4</v>
      </c>
      <c r="G36" s="3">
        <v>4.57E-4</v>
      </c>
      <c r="H36" s="4">
        <v>3.7999999999999997E-4</v>
      </c>
      <c r="J36" s="31"/>
    </row>
    <row r="37" spans="1:10" x14ac:dyDescent="0.35">
      <c r="A37" t="s">
        <v>28</v>
      </c>
      <c r="B37" s="2">
        <v>-3.32E-2</v>
      </c>
      <c r="C37" s="3">
        <v>-2.4799999999999999E-2</v>
      </c>
      <c r="D37" s="4">
        <v>-2.9E-4</v>
      </c>
      <c r="E37" t="s">
        <v>28</v>
      </c>
      <c r="F37" s="2">
        <v>2.5399999999999999E-4</v>
      </c>
      <c r="G37" s="3">
        <v>3.86E-4</v>
      </c>
      <c r="H37" s="4">
        <v>3.2000000000000003E-4</v>
      </c>
      <c r="J37" s="31"/>
    </row>
    <row r="38" spans="1:10" ht="15" thickBot="1" x14ac:dyDescent="0.4">
      <c r="A38" t="s">
        <v>29</v>
      </c>
      <c r="B38" s="5">
        <v>-6.0100000000000001E-2</v>
      </c>
      <c r="C38" s="6">
        <v>-4.7300000000000002E-2</v>
      </c>
      <c r="D38" s="7">
        <v>-5.3699999999999993E-4</v>
      </c>
      <c r="E38" t="s">
        <v>29</v>
      </c>
      <c r="F38" s="5">
        <v>-6.7000000000000002E-5</v>
      </c>
      <c r="G38" s="6">
        <v>1.1999999999999999E-5</v>
      </c>
      <c r="H38" s="7">
        <v>-2.7500000000000004E-5</v>
      </c>
      <c r="J38" s="3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40"/>
  <sheetViews>
    <sheetView zoomScale="85" zoomScaleNormal="85" workbookViewId="0">
      <selection sqref="A1:XFD1048576"/>
    </sheetView>
  </sheetViews>
  <sheetFormatPr defaultRowHeight="14.5" x14ac:dyDescent="0.35"/>
  <cols>
    <col min="1" max="1" width="15.26953125" bestFit="1" customWidth="1"/>
    <col min="2" max="3" width="14" bestFit="1" customWidth="1"/>
    <col min="6" max="6" width="15.26953125" bestFit="1" customWidth="1"/>
    <col min="7" max="7" width="14" bestFit="1" customWidth="1"/>
    <col min="8" max="8" width="12.81640625" bestFit="1" customWidth="1"/>
  </cols>
  <sheetData>
    <row r="1" spans="1:10" ht="15" thickBot="1" x14ac:dyDescent="0.4">
      <c r="A1" s="9" t="s">
        <v>177</v>
      </c>
      <c r="B1" s="16" t="str">
        <f ca="1">H3</f>
        <v>OBJ_37078712</v>
      </c>
    </row>
    <row r="2" spans="1:10" ht="15" thickBot="1" x14ac:dyDescent="0.4">
      <c r="B2" s="16" t="str">
        <f ca="1">_xll.DataSheetContainer.New(COB)</f>
        <v>OBJ_37078712</v>
      </c>
    </row>
    <row r="3" spans="1:10" ht="15" thickBot="1" x14ac:dyDescent="0.4">
      <c r="A3" s="9" t="s">
        <v>114</v>
      </c>
      <c r="B3" s="16" t="str">
        <f ca="1">_xll.DataSheets.FutureSwapSheet(COB,[1]!ccol(B12),[1]!ccol(A12),[1]!ccol(C12),[1]!ccol(D12),[1]!ccol(E12),B5,B6,B7,B8,B9,B10,B4)</f>
        <v>OBJ_46019115</v>
      </c>
      <c r="C3" s="16" t="str">
        <f ca="1">_xll.DataSheetContainer.AddSheet(B2, _xll.Currency.New(B4),B3)</f>
        <v>OBJ_37078712</v>
      </c>
      <c r="F3" s="9" t="s">
        <v>114</v>
      </c>
      <c r="G3" s="16" t="str">
        <f ca="1">_xll.DataSheets.FutureSwapSheet(COB,[1]!ccol(G12),[1]!ccol(F12),[1]!ccol(H12),[1]!ccol(I12),[1]!ccol(J12),G5,G6,G7,G8,G9,G10,G4)</f>
        <v>OBJ_19838352</v>
      </c>
      <c r="H3" s="16" t="str">
        <f ca="1">_xll.DataSheetContainer.AddSheet(C3,_xll.Currency.New(G4),G3)</f>
        <v>OBJ_37078712</v>
      </c>
    </row>
    <row r="4" spans="1:10" ht="15" thickBot="1" x14ac:dyDescent="0.4">
      <c r="A4" s="9" t="s">
        <v>30</v>
      </c>
      <c r="B4" t="s">
        <v>39</v>
      </c>
      <c r="F4" s="9" t="s">
        <v>30</v>
      </c>
      <c r="G4" t="s">
        <v>31</v>
      </c>
    </row>
    <row r="5" spans="1:10" ht="15" thickBot="1" x14ac:dyDescent="0.4">
      <c r="A5" s="9" t="s">
        <v>32</v>
      </c>
      <c r="B5" t="s">
        <v>33</v>
      </c>
      <c r="F5" s="9" t="s">
        <v>32</v>
      </c>
      <c r="G5" t="s">
        <v>33</v>
      </c>
    </row>
    <row r="6" spans="1:10" ht="15" thickBot="1" x14ac:dyDescent="0.4">
      <c r="A6" s="9" t="s">
        <v>34</v>
      </c>
      <c r="B6" t="s">
        <v>33</v>
      </c>
      <c r="F6" s="9" t="s">
        <v>34</v>
      </c>
      <c r="G6" t="s">
        <v>33</v>
      </c>
    </row>
    <row r="7" spans="1:10" ht="15" thickBot="1" x14ac:dyDescent="0.4">
      <c r="A7" s="9" t="s">
        <v>35</v>
      </c>
      <c r="B7" t="s">
        <v>36</v>
      </c>
      <c r="F7" s="9" t="s">
        <v>35</v>
      </c>
      <c r="G7" t="s">
        <v>36</v>
      </c>
    </row>
    <row r="8" spans="1:10" ht="15" thickBot="1" x14ac:dyDescent="0.4">
      <c r="A8" s="9" t="s">
        <v>37</v>
      </c>
      <c r="B8" t="s">
        <v>38</v>
      </c>
      <c r="F8" s="9" t="s">
        <v>37</v>
      </c>
      <c r="G8" t="s">
        <v>38</v>
      </c>
    </row>
    <row r="9" spans="1:10" ht="15" thickBot="1" x14ac:dyDescent="0.4">
      <c r="A9" s="9" t="s">
        <v>195</v>
      </c>
      <c r="B9" t="s">
        <v>14</v>
      </c>
      <c r="F9" s="9" t="s">
        <v>195</v>
      </c>
      <c r="G9" t="s">
        <v>14</v>
      </c>
    </row>
    <row r="10" spans="1:10" ht="15" thickBot="1" x14ac:dyDescent="0.4">
      <c r="A10" s="9" t="s">
        <v>196</v>
      </c>
      <c r="B10" t="s">
        <v>5</v>
      </c>
      <c r="F10" s="9" t="s">
        <v>196</v>
      </c>
      <c r="G10" t="s">
        <v>5</v>
      </c>
    </row>
    <row r="11" spans="1:10" ht="15" thickBot="1" x14ac:dyDescent="0.4">
      <c r="A11" s="9" t="s">
        <v>0</v>
      </c>
      <c r="B11" s="9" t="s">
        <v>124</v>
      </c>
      <c r="C11" s="9" t="s">
        <v>47</v>
      </c>
      <c r="D11" s="9" t="s">
        <v>48</v>
      </c>
      <c r="E11" s="9" t="s">
        <v>49</v>
      </c>
      <c r="F11" s="9" t="s">
        <v>0</v>
      </c>
      <c r="G11" s="9" t="s">
        <v>124</v>
      </c>
      <c r="H11" s="9" t="s">
        <v>47</v>
      </c>
      <c r="I11" s="9" t="s">
        <v>48</v>
      </c>
      <c r="J11" s="9" t="s">
        <v>49</v>
      </c>
    </row>
    <row r="12" spans="1:10" x14ac:dyDescent="0.35">
      <c r="A12" t="s">
        <v>1</v>
      </c>
      <c r="B12" t="s">
        <v>169</v>
      </c>
      <c r="C12">
        <v>-4.6700000000000005E-3</v>
      </c>
      <c r="D12">
        <v>-4.5149999999999999E-3</v>
      </c>
      <c r="E12">
        <v>-4.5149999999999999E-3</v>
      </c>
      <c r="F12" t="s">
        <v>1</v>
      </c>
      <c r="G12" t="s">
        <v>169</v>
      </c>
      <c r="H12">
        <v>-4.6700000000000005E-3</v>
      </c>
      <c r="I12">
        <v>-4.5149999999999999E-3</v>
      </c>
      <c r="J12">
        <v>-4.5925000000000002E-3</v>
      </c>
    </row>
    <row r="13" spans="1:10" x14ac:dyDescent="0.35">
      <c r="A13" t="s">
        <v>2</v>
      </c>
      <c r="B13" t="s">
        <v>169</v>
      </c>
      <c r="C13">
        <v>-4.7590000000000002E-3</v>
      </c>
      <c r="D13">
        <v>-4.431E-3</v>
      </c>
      <c r="E13">
        <v>-4.5950000000000001E-3</v>
      </c>
      <c r="F13" t="s">
        <v>2</v>
      </c>
      <c r="G13" t="s">
        <v>169</v>
      </c>
      <c r="H13">
        <v>-4.7590000000000002E-3</v>
      </c>
      <c r="I13">
        <v>-4.431E-3</v>
      </c>
      <c r="J13">
        <v>-4.5950000000000001E-3</v>
      </c>
    </row>
    <row r="14" spans="1:10" x14ac:dyDescent="0.35">
      <c r="A14" t="s">
        <v>3</v>
      </c>
      <c r="B14" t="s">
        <v>169</v>
      </c>
      <c r="C14">
        <v>-4.6769999999999997E-3</v>
      </c>
      <c r="D14">
        <v>-4.5830000000000003E-3</v>
      </c>
      <c r="E14">
        <v>-4.5950000000000001E-3</v>
      </c>
      <c r="F14" t="s">
        <v>3</v>
      </c>
      <c r="G14" t="s">
        <v>169</v>
      </c>
      <c r="H14">
        <v>-4.6769999999999997E-3</v>
      </c>
      <c r="I14">
        <v>-4.5830000000000003E-3</v>
      </c>
      <c r="J14">
        <v>-4.6299999999999996E-3</v>
      </c>
    </row>
    <row r="15" spans="1:10" x14ac:dyDescent="0.35">
      <c r="A15" t="s">
        <v>4</v>
      </c>
      <c r="B15" t="s">
        <v>169</v>
      </c>
      <c r="C15">
        <v>-4.7349999999999996E-3</v>
      </c>
      <c r="D15">
        <v>-4.6470000000000001E-3</v>
      </c>
      <c r="E15">
        <v>-4.6909999999999999E-3</v>
      </c>
      <c r="F15" t="s">
        <v>4</v>
      </c>
      <c r="G15" t="s">
        <v>169</v>
      </c>
      <c r="H15">
        <v>-4.7349999999999996E-3</v>
      </c>
      <c r="I15">
        <v>-4.6470000000000001E-3</v>
      </c>
      <c r="J15">
        <v>-4.6909999999999999E-3</v>
      </c>
    </row>
    <row r="16" spans="1:10" x14ac:dyDescent="0.35">
      <c r="A16" s="29">
        <v>44090</v>
      </c>
      <c r="B16" t="s">
        <v>197</v>
      </c>
      <c r="C16">
        <v>-4.7599999999999995E-3</v>
      </c>
      <c r="D16">
        <v>-4.6760000000000005E-3</v>
      </c>
      <c r="E16">
        <v>-4.718E-3</v>
      </c>
      <c r="F16" s="29">
        <v>44090</v>
      </c>
      <c r="G16" t="s">
        <v>197</v>
      </c>
      <c r="H16">
        <v>-4.7599999999999995E-3</v>
      </c>
      <c r="I16">
        <v>-4.6760000000000005E-3</v>
      </c>
      <c r="J16">
        <v>-4.718E-3</v>
      </c>
    </row>
    <row r="17" spans="1:10" x14ac:dyDescent="0.35">
      <c r="A17" s="29">
        <v>44181</v>
      </c>
      <c r="B17" t="s">
        <v>197</v>
      </c>
      <c r="C17">
        <v>-4.7939999999999997E-3</v>
      </c>
      <c r="D17">
        <v>-4.7060000000000001E-3</v>
      </c>
      <c r="E17">
        <v>-4.7499999999999999E-3</v>
      </c>
      <c r="F17" s="29">
        <v>44181</v>
      </c>
      <c r="G17" t="s">
        <v>197</v>
      </c>
      <c r="H17">
        <v>-4.7939999999999997E-3</v>
      </c>
      <c r="I17">
        <v>-4.7060000000000001E-3</v>
      </c>
      <c r="J17">
        <v>-4.7499999999999999E-3</v>
      </c>
    </row>
    <row r="18" spans="1:10" x14ac:dyDescent="0.35">
      <c r="A18" s="29">
        <v>44272</v>
      </c>
      <c r="B18" t="s">
        <v>197</v>
      </c>
      <c r="C18">
        <v>-4.8190000000000004E-3</v>
      </c>
      <c r="D18">
        <v>-4.731E-3</v>
      </c>
      <c r="E18">
        <v>-4.7750000000000006E-3</v>
      </c>
      <c r="F18" s="29">
        <v>44272</v>
      </c>
      <c r="G18" t="s">
        <v>197</v>
      </c>
      <c r="H18">
        <v>-4.8190000000000004E-3</v>
      </c>
      <c r="I18">
        <v>-4.731E-3</v>
      </c>
      <c r="J18">
        <v>-4.7750000000000006E-3</v>
      </c>
    </row>
    <row r="19" spans="1:10" x14ac:dyDescent="0.35">
      <c r="A19" s="29">
        <v>44363</v>
      </c>
      <c r="B19" t="s">
        <v>197</v>
      </c>
      <c r="C19">
        <v>-4.8349999999999999E-3</v>
      </c>
      <c r="D19">
        <v>-4.7450000000000001E-3</v>
      </c>
      <c r="E19">
        <v>-4.79E-3</v>
      </c>
      <c r="F19" s="29">
        <v>44363</v>
      </c>
      <c r="G19" t="s">
        <v>197</v>
      </c>
      <c r="H19">
        <v>-4.8349999999999999E-3</v>
      </c>
      <c r="I19">
        <v>-4.7450000000000001E-3</v>
      </c>
      <c r="J19">
        <v>-4.79E-3</v>
      </c>
    </row>
    <row r="20" spans="1:10" x14ac:dyDescent="0.35">
      <c r="A20" s="29">
        <v>44454</v>
      </c>
      <c r="B20" t="s">
        <v>197</v>
      </c>
      <c r="C20">
        <v>-4.8419999999999999E-3</v>
      </c>
      <c r="D20">
        <v>-4.7930000000000004E-3</v>
      </c>
      <c r="E20">
        <v>-4.8174999999999997E-3</v>
      </c>
      <c r="F20" s="29">
        <v>44454</v>
      </c>
      <c r="G20" t="s">
        <v>197</v>
      </c>
      <c r="H20">
        <v>-4.8419999999999999E-3</v>
      </c>
      <c r="I20">
        <v>-4.7930000000000004E-3</v>
      </c>
      <c r="J20">
        <v>-4.8174999999999997E-3</v>
      </c>
    </row>
    <row r="21" spans="1:10" x14ac:dyDescent="0.35">
      <c r="A21" s="29">
        <v>44545</v>
      </c>
      <c r="B21" t="s">
        <v>197</v>
      </c>
      <c r="C21">
        <v>-4.8799999999999998E-3</v>
      </c>
      <c r="D21">
        <v>-4.79E-3</v>
      </c>
      <c r="E21">
        <v>-4.8349999999999999E-3</v>
      </c>
      <c r="F21" s="29">
        <v>44545</v>
      </c>
      <c r="G21" t="s">
        <v>197</v>
      </c>
      <c r="H21">
        <v>-4.8799999999999998E-3</v>
      </c>
      <c r="I21">
        <v>-4.79E-3</v>
      </c>
      <c r="J21">
        <v>-4.8349999999999999E-3</v>
      </c>
    </row>
    <row r="22" spans="1:10" x14ac:dyDescent="0.35">
      <c r="A22" s="29">
        <v>44636</v>
      </c>
      <c r="B22" t="s">
        <v>197</v>
      </c>
      <c r="C22">
        <v>-4.8900000000000002E-3</v>
      </c>
      <c r="D22">
        <v>-4.7999999999999996E-3</v>
      </c>
      <c r="E22">
        <v>-4.8449999999999995E-3</v>
      </c>
      <c r="F22" s="29">
        <v>44636</v>
      </c>
      <c r="G22" t="s">
        <v>197</v>
      </c>
      <c r="H22">
        <v>-4.8900000000000002E-3</v>
      </c>
      <c r="I22">
        <v>-4.7999999999999996E-3</v>
      </c>
      <c r="J22">
        <v>-4.8449999999999995E-3</v>
      </c>
    </row>
    <row r="23" spans="1:10" x14ac:dyDescent="0.35">
      <c r="A23" s="29">
        <v>44727</v>
      </c>
      <c r="B23" t="s">
        <v>197</v>
      </c>
      <c r="C23">
        <v>-4.9129999999999998E-3</v>
      </c>
      <c r="D23">
        <v>-4.8249999999999994E-3</v>
      </c>
      <c r="E23">
        <v>-4.8690000000000001E-3</v>
      </c>
      <c r="F23" s="29">
        <v>44727</v>
      </c>
      <c r="G23" t="s">
        <v>197</v>
      </c>
      <c r="H23">
        <v>-4.9129999999999998E-3</v>
      </c>
      <c r="I23">
        <v>-4.8249999999999994E-3</v>
      </c>
      <c r="J23">
        <v>-4.8690000000000001E-3</v>
      </c>
    </row>
    <row r="24" spans="1:10" x14ac:dyDescent="0.35">
      <c r="A24" s="29">
        <v>44825</v>
      </c>
      <c r="B24" t="s">
        <v>197</v>
      </c>
      <c r="C24">
        <v>-4.9300000000000004E-3</v>
      </c>
      <c r="D24">
        <v>-4.8399999999999997E-3</v>
      </c>
      <c r="E24">
        <v>-4.8849999999999996E-3</v>
      </c>
      <c r="F24" s="29">
        <v>44825</v>
      </c>
      <c r="G24" t="s">
        <v>197</v>
      </c>
      <c r="H24">
        <v>-4.9300000000000004E-3</v>
      </c>
      <c r="I24">
        <v>-4.8399999999999997E-3</v>
      </c>
      <c r="J24">
        <v>-4.8849999999999996E-3</v>
      </c>
    </row>
    <row r="25" spans="1:10" x14ac:dyDescent="0.35">
      <c r="A25" s="29">
        <v>44916</v>
      </c>
      <c r="B25" t="s">
        <v>197</v>
      </c>
      <c r="C25">
        <v>-4.9449999999999997E-3</v>
      </c>
      <c r="D25">
        <v>-4.8549999999999999E-3</v>
      </c>
      <c r="E25">
        <v>-4.8999999999999998E-3</v>
      </c>
      <c r="F25" s="29">
        <v>44916</v>
      </c>
      <c r="G25" t="s">
        <v>197</v>
      </c>
      <c r="H25">
        <v>-4.9449999999999997E-3</v>
      </c>
      <c r="I25">
        <v>-4.8549999999999999E-3</v>
      </c>
      <c r="J25">
        <v>-4.8999999999999998E-3</v>
      </c>
    </row>
    <row r="26" spans="1:10" x14ac:dyDescent="0.35">
      <c r="A26" s="29">
        <v>45000</v>
      </c>
      <c r="B26" t="s">
        <v>197</v>
      </c>
      <c r="C26">
        <v>-4.9759999999999995E-3</v>
      </c>
      <c r="D26">
        <v>-4.8840000000000003E-3</v>
      </c>
      <c r="E26">
        <v>-4.9300000000000004E-3</v>
      </c>
      <c r="F26" s="29">
        <v>45000</v>
      </c>
      <c r="G26" t="s">
        <v>197</v>
      </c>
      <c r="H26">
        <v>-4.9759999999999995E-3</v>
      </c>
      <c r="I26">
        <v>-4.8840000000000003E-3</v>
      </c>
      <c r="J26">
        <v>-4.9300000000000004E-3</v>
      </c>
    </row>
    <row r="27" spans="1:10" x14ac:dyDescent="0.35">
      <c r="A27" t="s">
        <v>16</v>
      </c>
      <c r="B27" t="s">
        <v>198</v>
      </c>
      <c r="C27">
        <v>-4.8549999999999999E-3</v>
      </c>
      <c r="D27">
        <v>-4.7689999999999998E-3</v>
      </c>
      <c r="E27">
        <v>-4.8119999999999994E-3</v>
      </c>
      <c r="F27" t="s">
        <v>16</v>
      </c>
      <c r="G27" t="s">
        <v>198</v>
      </c>
      <c r="H27">
        <v>-4.8549999999999999E-3</v>
      </c>
      <c r="I27">
        <v>-4.7689999999999998E-3</v>
      </c>
      <c r="J27">
        <v>-4.8119999999999994E-3</v>
      </c>
    </row>
    <row r="28" spans="1:10" x14ac:dyDescent="0.35">
      <c r="A28" t="s">
        <v>17</v>
      </c>
      <c r="B28" t="s">
        <v>198</v>
      </c>
      <c r="C28">
        <v>-4.6610000000000002E-3</v>
      </c>
      <c r="D28">
        <v>-4.5390000000000005E-3</v>
      </c>
      <c r="E28">
        <v>-4.5999999999999999E-3</v>
      </c>
      <c r="F28" t="s">
        <v>17</v>
      </c>
      <c r="G28" t="s">
        <v>198</v>
      </c>
      <c r="H28">
        <v>-4.6610000000000002E-3</v>
      </c>
      <c r="I28">
        <v>-4.5390000000000005E-3</v>
      </c>
      <c r="J28">
        <v>-4.5999999999999999E-3</v>
      </c>
    </row>
    <row r="29" spans="1:10" x14ac:dyDescent="0.35">
      <c r="A29" t="s">
        <v>18</v>
      </c>
      <c r="B29" t="s">
        <v>198</v>
      </c>
      <c r="C29">
        <v>-4.3499999999999997E-3</v>
      </c>
      <c r="D29">
        <v>-4.2199999999999998E-3</v>
      </c>
      <c r="E29">
        <v>-4.2849999999999997E-3</v>
      </c>
      <c r="F29" t="s">
        <v>18</v>
      </c>
      <c r="G29" t="s">
        <v>198</v>
      </c>
      <c r="H29">
        <v>-4.3499999999999997E-3</v>
      </c>
      <c r="I29">
        <v>-4.2199999999999998E-3</v>
      </c>
      <c r="J29">
        <v>-4.2849999999999997E-3</v>
      </c>
    </row>
    <row r="30" spans="1:10" x14ac:dyDescent="0.35">
      <c r="A30" t="s">
        <v>19</v>
      </c>
      <c r="B30" t="s">
        <v>198</v>
      </c>
      <c r="C30">
        <v>-3.9719999999999998E-3</v>
      </c>
      <c r="D30">
        <v>-3.9020000000000001E-3</v>
      </c>
      <c r="E30">
        <v>-3.9369999999999995E-3</v>
      </c>
      <c r="F30" t="s">
        <v>19</v>
      </c>
      <c r="G30" t="s">
        <v>198</v>
      </c>
      <c r="H30">
        <v>-3.9719999999999998E-3</v>
      </c>
      <c r="I30">
        <v>-3.9020000000000001E-3</v>
      </c>
      <c r="J30">
        <v>-3.9369999999999995E-3</v>
      </c>
    </row>
    <row r="31" spans="1:10" x14ac:dyDescent="0.35">
      <c r="A31" t="s">
        <v>20</v>
      </c>
      <c r="B31" t="s">
        <v>198</v>
      </c>
      <c r="C31">
        <v>-3.5909999999999996E-3</v>
      </c>
      <c r="D31">
        <v>-3.509E-3</v>
      </c>
      <c r="E31">
        <v>-3.5499999999999998E-3</v>
      </c>
      <c r="F31" t="s">
        <v>20</v>
      </c>
      <c r="G31" t="s">
        <v>198</v>
      </c>
      <c r="H31">
        <v>-3.5909999999999996E-3</v>
      </c>
      <c r="I31">
        <v>-3.509E-3</v>
      </c>
      <c r="J31">
        <v>-3.5499999999999998E-3</v>
      </c>
    </row>
    <row r="32" spans="1:10" x14ac:dyDescent="0.35">
      <c r="A32" t="s">
        <v>21</v>
      </c>
      <c r="B32" t="s">
        <v>198</v>
      </c>
      <c r="C32">
        <v>-3.1580000000000002E-3</v>
      </c>
      <c r="D32">
        <v>-3.0799999999999998E-3</v>
      </c>
      <c r="E32">
        <v>-3.1190000000000002E-3</v>
      </c>
      <c r="F32" t="s">
        <v>21</v>
      </c>
      <c r="G32" t="s">
        <v>198</v>
      </c>
      <c r="H32">
        <v>-3.1580000000000002E-3</v>
      </c>
      <c r="I32">
        <v>-3.0799999999999998E-3</v>
      </c>
      <c r="J32">
        <v>-3.1190000000000002E-3</v>
      </c>
    </row>
    <row r="33" spans="1:10" x14ac:dyDescent="0.35">
      <c r="A33" t="s">
        <v>22</v>
      </c>
      <c r="B33" t="s">
        <v>198</v>
      </c>
      <c r="C33">
        <v>-2.728E-3</v>
      </c>
      <c r="D33">
        <v>-2.6019999999999997E-3</v>
      </c>
      <c r="E33">
        <v>-2.6649999999999994E-3</v>
      </c>
      <c r="F33" t="s">
        <v>22</v>
      </c>
      <c r="G33" t="s">
        <v>198</v>
      </c>
      <c r="H33">
        <v>-2.728E-3</v>
      </c>
      <c r="I33">
        <v>-2.6019999999999997E-3</v>
      </c>
      <c r="J33">
        <v>-2.6649999999999994E-3</v>
      </c>
    </row>
    <row r="34" spans="1:10" x14ac:dyDescent="0.35">
      <c r="A34" t="s">
        <v>23</v>
      </c>
      <c r="B34" t="s">
        <v>198</v>
      </c>
      <c r="C34">
        <v>-2.2629999999999998E-3</v>
      </c>
      <c r="D34">
        <v>-2.1870000000000001E-3</v>
      </c>
      <c r="E34">
        <v>-2.225E-3</v>
      </c>
      <c r="F34" t="s">
        <v>23</v>
      </c>
      <c r="G34" t="s">
        <v>198</v>
      </c>
      <c r="H34">
        <v>-2.2629999999999998E-3</v>
      </c>
      <c r="I34">
        <v>-2.1870000000000001E-3</v>
      </c>
      <c r="J34">
        <v>-2.225E-3</v>
      </c>
    </row>
    <row r="35" spans="1:10" x14ac:dyDescent="0.35">
      <c r="A35" t="s">
        <v>24</v>
      </c>
      <c r="B35" t="s">
        <v>198</v>
      </c>
      <c r="C35">
        <v>-1.8570000000000001E-3</v>
      </c>
      <c r="D35">
        <v>-1.7130000000000001E-3</v>
      </c>
      <c r="E35">
        <v>-1.7849999999999999E-3</v>
      </c>
      <c r="F35" t="s">
        <v>24</v>
      </c>
      <c r="G35" t="s">
        <v>198</v>
      </c>
      <c r="H35">
        <v>-1.8570000000000001E-3</v>
      </c>
      <c r="I35">
        <v>-1.7130000000000001E-3</v>
      </c>
      <c r="J35">
        <v>-1.7849999999999999E-3</v>
      </c>
    </row>
    <row r="36" spans="1:10" x14ac:dyDescent="0.35">
      <c r="A36" t="s">
        <v>25</v>
      </c>
      <c r="B36" t="s">
        <v>198</v>
      </c>
      <c r="C36">
        <v>-1.4269999999999999E-3</v>
      </c>
      <c r="D36">
        <v>-1.343E-3</v>
      </c>
      <c r="E36">
        <v>-1.3850000000000002E-3</v>
      </c>
      <c r="F36" t="s">
        <v>25</v>
      </c>
      <c r="G36" t="s">
        <v>198</v>
      </c>
      <c r="H36">
        <v>-1.4269999999999999E-3</v>
      </c>
      <c r="I36">
        <v>-1.343E-3</v>
      </c>
      <c r="J36">
        <v>-1.3850000000000002E-3</v>
      </c>
    </row>
    <row r="37" spans="1:10" x14ac:dyDescent="0.35">
      <c r="A37" t="s">
        <v>26</v>
      </c>
      <c r="B37" t="s">
        <v>198</v>
      </c>
      <c r="C37">
        <v>-4.0099999999999999E-4</v>
      </c>
      <c r="D37">
        <v>-3.19E-4</v>
      </c>
      <c r="E37">
        <v>-3.5999999999999997E-4</v>
      </c>
      <c r="F37" t="s">
        <v>26</v>
      </c>
      <c r="G37" t="s">
        <v>198</v>
      </c>
      <c r="H37">
        <v>-4.0099999999999999E-4</v>
      </c>
      <c r="I37">
        <v>-3.19E-4</v>
      </c>
      <c r="J37">
        <v>-3.5999999999999997E-4</v>
      </c>
    </row>
    <row r="38" spans="1:10" x14ac:dyDescent="0.35">
      <c r="A38" t="s">
        <v>27</v>
      </c>
      <c r="B38" t="s">
        <v>198</v>
      </c>
      <c r="C38">
        <v>3.0299999999999999E-4</v>
      </c>
      <c r="D38">
        <v>4.57E-4</v>
      </c>
      <c r="E38">
        <v>3.7999999999999997E-4</v>
      </c>
      <c r="F38" t="s">
        <v>27</v>
      </c>
      <c r="G38" t="s">
        <v>198</v>
      </c>
      <c r="H38">
        <v>3.0299999999999999E-4</v>
      </c>
      <c r="I38">
        <v>4.57E-4</v>
      </c>
      <c r="J38">
        <v>3.7999999999999997E-4</v>
      </c>
    </row>
    <row r="39" spans="1:10" x14ac:dyDescent="0.35">
      <c r="A39" t="s">
        <v>28</v>
      </c>
      <c r="B39" t="s">
        <v>198</v>
      </c>
      <c r="C39">
        <v>2.5399999999999999E-4</v>
      </c>
      <c r="D39">
        <v>3.86E-4</v>
      </c>
      <c r="E39">
        <v>3.2000000000000003E-4</v>
      </c>
      <c r="F39" t="s">
        <v>28</v>
      </c>
      <c r="G39" t="s">
        <v>198</v>
      </c>
      <c r="H39">
        <v>2.5399999999999999E-4</v>
      </c>
      <c r="I39">
        <v>3.86E-4</v>
      </c>
      <c r="J39">
        <v>3.2000000000000003E-4</v>
      </c>
    </row>
    <row r="40" spans="1:10" x14ac:dyDescent="0.35">
      <c r="A40" t="s">
        <v>29</v>
      </c>
      <c r="B40" t="s">
        <v>198</v>
      </c>
      <c r="C40">
        <v>-6.7000000000000002E-5</v>
      </c>
      <c r="D40">
        <v>1.1999999999999999E-5</v>
      </c>
      <c r="E40">
        <v>-2.7500000000000004E-5</v>
      </c>
      <c r="F40" t="s">
        <v>29</v>
      </c>
      <c r="G40" t="s">
        <v>198</v>
      </c>
      <c r="H40">
        <v>-6.7000000000000002E-5</v>
      </c>
      <c r="I40">
        <v>1.1999999999999999E-5</v>
      </c>
      <c r="J40">
        <v>-2.7500000000000004E-5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4"/>
  <sheetViews>
    <sheetView zoomScale="115" zoomScaleNormal="115" workbookViewId="0">
      <selection sqref="A1:XFD1048576"/>
    </sheetView>
  </sheetViews>
  <sheetFormatPr defaultRowHeight="14.5" x14ac:dyDescent="0.35"/>
  <cols>
    <col min="1" max="1" width="12.54296875" bestFit="1" customWidth="1"/>
    <col min="2" max="2" width="12.26953125" customWidth="1"/>
  </cols>
  <sheetData>
    <row r="1" spans="1:5" ht="15" thickBot="1" x14ac:dyDescent="0.4">
      <c r="A1" s="15" t="s">
        <v>114</v>
      </c>
      <c r="B1" s="16" t="str">
        <f ca="1">_xll.DataSheets.ForexSheet(COB,[1]!ccol(A3),[1]!ccol(B3),[1]!ccol(C3),[1]!ccol(D3),[1]!ccol(E3))</f>
        <v>OBJ_33752906</v>
      </c>
    </row>
    <row r="2" spans="1:5" ht="15" thickBot="1" x14ac:dyDescent="0.4">
      <c r="A2" s="9" t="s">
        <v>165</v>
      </c>
      <c r="B2" s="9" t="s">
        <v>166</v>
      </c>
      <c r="C2" s="9" t="s">
        <v>47</v>
      </c>
      <c r="D2" s="9" t="s">
        <v>48</v>
      </c>
      <c r="E2" s="9" t="s">
        <v>49</v>
      </c>
    </row>
    <row r="3" spans="1:5" x14ac:dyDescent="0.35">
      <c r="A3" t="s">
        <v>31</v>
      </c>
      <c r="B3" t="s">
        <v>39</v>
      </c>
      <c r="C3">
        <v>0.89259999999999995</v>
      </c>
      <c r="D3">
        <v>0.89270000000000005</v>
      </c>
      <c r="E3">
        <v>0.89265000000000005</v>
      </c>
    </row>
    <row r="4" spans="1:5" x14ac:dyDescent="0.35">
      <c r="A4" t="s">
        <v>39</v>
      </c>
      <c r="B4" t="s">
        <v>31</v>
      </c>
      <c r="C4">
        <v>1.1203000000000001</v>
      </c>
      <c r="D4">
        <v>1.1204000000000001</v>
      </c>
      <c r="E4">
        <v>1.12025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K99"/>
  <sheetViews>
    <sheetView zoomScale="85" zoomScaleNormal="85" workbookViewId="0">
      <selection sqref="A1:XFD1048576"/>
    </sheetView>
  </sheetViews>
  <sheetFormatPr defaultRowHeight="14.5" x14ac:dyDescent="0.35"/>
  <cols>
    <col min="1" max="1" width="10.54296875" bestFit="1" customWidth="1"/>
    <col min="2" max="2" width="13.7265625" bestFit="1" customWidth="1"/>
    <col min="3" max="3" width="13.7265625" customWidth="1"/>
    <col min="4" max="4" width="24.7265625" bestFit="1" customWidth="1"/>
    <col min="5" max="5" width="24.81640625" bestFit="1" customWidth="1"/>
    <col min="9" max="9" width="16.54296875" bestFit="1" customWidth="1"/>
    <col min="10" max="11" width="13.7265625" bestFit="1" customWidth="1"/>
  </cols>
  <sheetData>
    <row r="1" spans="1:11" ht="15" thickBot="1" x14ac:dyDescent="0.4">
      <c r="A1" s="9" t="s">
        <v>178</v>
      </c>
      <c r="B1" s="16" t="str">
        <f ca="1">K54</f>
        <v>OBJ_35340701</v>
      </c>
      <c r="C1" s="16"/>
    </row>
    <row r="3" spans="1:11" ht="15" thickBot="1" x14ac:dyDescent="0.4">
      <c r="K3" s="11"/>
    </row>
    <row r="4" spans="1:11" ht="15" thickBot="1" x14ac:dyDescent="0.4">
      <c r="A4" s="9" t="s">
        <v>43</v>
      </c>
      <c r="B4" s="9" t="s">
        <v>30</v>
      </c>
      <c r="C4" s="9" t="s">
        <v>299</v>
      </c>
      <c r="D4" s="9" t="s">
        <v>45</v>
      </c>
      <c r="E4" s="9" t="s">
        <v>46</v>
      </c>
      <c r="F4" s="9" t="s">
        <v>47</v>
      </c>
      <c r="G4" s="9" t="s">
        <v>48</v>
      </c>
      <c r="H4" s="9" t="s">
        <v>49</v>
      </c>
      <c r="I4" s="11" t="s">
        <v>111</v>
      </c>
      <c r="J4" s="11" t="s">
        <v>112</v>
      </c>
      <c r="K4" s="25" t="str">
        <f ca="1">_xll.SingleNameDataSheet.New(COB)</f>
        <v>OBJ_35340701</v>
      </c>
    </row>
    <row r="5" spans="1:11" x14ac:dyDescent="0.35">
      <c r="A5" t="s">
        <v>208</v>
      </c>
      <c r="B5" t="s">
        <v>39</v>
      </c>
      <c r="C5" t="s">
        <v>39</v>
      </c>
      <c r="D5" t="s">
        <v>50</v>
      </c>
      <c r="E5" t="s">
        <v>75</v>
      </c>
      <c r="F5">
        <v>43.6</v>
      </c>
      <c r="G5">
        <v>43.6</v>
      </c>
      <c r="H5">
        <v>44.814999999999998</v>
      </c>
      <c r="I5" s="25" t="str">
        <f ca="1">_xll.SingleNameTicker.New(A5,B5,C5,D5,E5)</f>
        <v>OBJ_-1056869436</v>
      </c>
      <c r="J5" s="25" t="str">
        <f ca="1">_xll.SingleNameSecurity.New(COB,F5,G5,H5,I5)</f>
        <v>OBJ_49630856</v>
      </c>
      <c r="K5" s="25" t="str">
        <f ca="1">_xll.DataQuoteSheet.AddQuote(K4,J5)</f>
        <v>OBJ_35340701</v>
      </c>
    </row>
    <row r="6" spans="1:11" x14ac:dyDescent="0.35">
      <c r="A6" t="s">
        <v>209</v>
      </c>
      <c r="B6" t="s">
        <v>39</v>
      </c>
      <c r="C6" t="s">
        <v>39</v>
      </c>
      <c r="D6" t="s">
        <v>51</v>
      </c>
      <c r="E6" t="s">
        <v>76</v>
      </c>
      <c r="F6">
        <v>24.12</v>
      </c>
      <c r="G6">
        <v>24.12</v>
      </c>
      <c r="H6">
        <v>24.13</v>
      </c>
      <c r="I6" s="25" t="str">
        <f ca="1">_xll.SingleNameTicker.New(A6,B6,C6,D6,E6)</f>
        <v>OBJ_-1903731168</v>
      </c>
      <c r="J6" s="25" t="str">
        <f ca="1">_xll.SingleNameSecurity.New(COB,F6,G6,H6,I6)</f>
        <v>OBJ_44024524</v>
      </c>
      <c r="K6" s="25" t="str">
        <f ca="1">_xll.DataQuoteSheet.AddQuote(K5,J6)</f>
        <v>OBJ_35340701</v>
      </c>
    </row>
    <row r="7" spans="1:11" x14ac:dyDescent="0.35">
      <c r="A7" t="s">
        <v>210</v>
      </c>
      <c r="B7" t="s">
        <v>39</v>
      </c>
      <c r="C7" t="s">
        <v>39</v>
      </c>
      <c r="D7" t="s">
        <v>52</v>
      </c>
      <c r="E7" t="s">
        <v>77</v>
      </c>
      <c r="F7">
        <v>231.4</v>
      </c>
      <c r="G7">
        <v>231.4</v>
      </c>
      <c r="H7">
        <v>244.6</v>
      </c>
      <c r="I7" s="25" t="str">
        <f ca="1">_xll.SingleNameTicker.New(A7,B7,C7,D7,E7)</f>
        <v>OBJ_-264652769</v>
      </c>
      <c r="J7" s="25" t="str">
        <f ca="1">_xll.SingleNameSecurity.New(COB,F7,G7,H7,I7)</f>
        <v>OBJ_60676403</v>
      </c>
      <c r="K7" s="25" t="str">
        <f ca="1">_xll.DataQuoteSheet.AddQuote(K6,J7)</f>
        <v>OBJ_35340701</v>
      </c>
    </row>
    <row r="8" spans="1:11" x14ac:dyDescent="0.35">
      <c r="A8" t="s">
        <v>211</v>
      </c>
      <c r="B8" t="s">
        <v>39</v>
      </c>
      <c r="C8" t="s">
        <v>39</v>
      </c>
      <c r="D8" t="s">
        <v>53</v>
      </c>
      <c r="E8" t="s">
        <v>78</v>
      </c>
      <c r="F8">
        <v>63.35</v>
      </c>
      <c r="G8">
        <v>63.35</v>
      </c>
      <c r="H8">
        <v>66.41</v>
      </c>
      <c r="I8" s="25" t="str">
        <f ca="1">_xll.SingleNameTicker.New(A8,B8,C8,D8,E8)</f>
        <v>OBJ_1327776643</v>
      </c>
      <c r="J8" s="25" t="str">
        <f ca="1">_xll.SingleNameSecurity.New(COB,F8,G8,H8,I8)</f>
        <v>OBJ_9216716</v>
      </c>
      <c r="K8" s="25" t="str">
        <f ca="1">_xll.DataQuoteSheet.AddQuote(K7,J8)</f>
        <v>OBJ_35340701</v>
      </c>
    </row>
    <row r="9" spans="1:11" x14ac:dyDescent="0.35">
      <c r="A9" t="s">
        <v>212</v>
      </c>
      <c r="B9" t="s">
        <v>39</v>
      </c>
      <c r="C9" t="s">
        <v>39</v>
      </c>
      <c r="D9" t="s">
        <v>54</v>
      </c>
      <c r="E9" t="s">
        <v>79</v>
      </c>
      <c r="F9">
        <v>127.5</v>
      </c>
      <c r="G9">
        <v>127.5</v>
      </c>
      <c r="H9">
        <v>132.65</v>
      </c>
      <c r="I9" s="25" t="str">
        <f ca="1">_xll.SingleNameTicker.New(A9,B9,C9,D9,E9)</f>
        <v>OBJ_885677583</v>
      </c>
      <c r="J9" s="25" t="str">
        <f ca="1">_xll.SingleNameSecurity.New(COB,F9,G9,H9,I9)</f>
        <v>OBJ_15841586</v>
      </c>
      <c r="K9" s="25" t="str">
        <f ca="1">_xll.DataQuoteSheet.AddQuote(K8,J9)</f>
        <v>OBJ_35340701</v>
      </c>
    </row>
    <row r="10" spans="1:11" x14ac:dyDescent="0.35">
      <c r="A10" t="s">
        <v>213</v>
      </c>
      <c r="B10" t="s">
        <v>39</v>
      </c>
      <c r="C10" t="s">
        <v>39</v>
      </c>
      <c r="D10" t="s">
        <v>55</v>
      </c>
      <c r="E10" t="s">
        <v>80</v>
      </c>
      <c r="F10">
        <v>180.22</v>
      </c>
      <c r="G10">
        <v>180.22</v>
      </c>
      <c r="H10">
        <v>186.1</v>
      </c>
      <c r="I10" s="25" t="str">
        <f ca="1">_xll.SingleNameTicker.New(A10,B10,C10,D10,E10)</f>
        <v>OBJ_-647490064</v>
      </c>
      <c r="J10" s="25" t="str">
        <f ca="1">_xll.SingleNameSecurity.New(COB,F10,G10,H10,I10)</f>
        <v>OBJ_8356549</v>
      </c>
      <c r="K10" s="25" t="str">
        <f ca="1">_xll.DataQuoteSheet.AddQuote(K9,J10)</f>
        <v>OBJ_35340701</v>
      </c>
    </row>
    <row r="11" spans="1:11" x14ac:dyDescent="0.35">
      <c r="A11" t="s">
        <v>214</v>
      </c>
      <c r="B11" t="s">
        <v>39</v>
      </c>
      <c r="C11" t="s">
        <v>39</v>
      </c>
      <c r="D11" t="s">
        <v>56</v>
      </c>
      <c r="E11" t="s">
        <v>56</v>
      </c>
      <c r="F11">
        <v>47.03</v>
      </c>
      <c r="G11">
        <v>47.03</v>
      </c>
      <c r="H11">
        <v>49.5</v>
      </c>
      <c r="I11" s="25" t="str">
        <f ca="1">_xll.SingleNameTicker.New(A11,B11,C11,D11,E11)</f>
        <v>OBJ_-247285741</v>
      </c>
      <c r="J11" s="25" t="str">
        <f ca="1">_xll.SingleNameSecurity.New(COB,F11,G11,H11,I11)</f>
        <v>OBJ_8100078</v>
      </c>
      <c r="K11" s="25" t="str">
        <f ca="1">_xll.DataQuoteSheet.AddQuote(K10,J11)</f>
        <v>OBJ_35340701</v>
      </c>
    </row>
    <row r="12" spans="1:11" x14ac:dyDescent="0.35">
      <c r="A12" t="s">
        <v>215</v>
      </c>
      <c r="B12" t="s">
        <v>39</v>
      </c>
      <c r="C12" t="s">
        <v>39</v>
      </c>
      <c r="D12" t="s">
        <v>57</v>
      </c>
      <c r="E12" t="s">
        <v>81</v>
      </c>
      <c r="F12">
        <v>322.2</v>
      </c>
      <c r="G12">
        <v>322.2</v>
      </c>
      <c r="H12">
        <v>332.75</v>
      </c>
      <c r="I12" s="25" t="str">
        <f ca="1">_xll.SingleNameTicker.New(A12,B12,C12,D12,E12)</f>
        <v>OBJ_1436197633</v>
      </c>
      <c r="J12" s="25" t="str">
        <f ca="1">_xll.SingleNameSecurity.New(COB,F12,G12,H12,I12)</f>
        <v>OBJ_5791838</v>
      </c>
      <c r="K12" s="25" t="str">
        <f ca="1">_xll.DataQuoteSheet.AddQuote(K11,J12)</f>
        <v>OBJ_35340701</v>
      </c>
    </row>
    <row r="13" spans="1:11" x14ac:dyDescent="0.35">
      <c r="A13" t="s">
        <v>216</v>
      </c>
      <c r="B13" t="s">
        <v>39</v>
      </c>
      <c r="C13" t="s">
        <v>39</v>
      </c>
      <c r="D13" t="s">
        <v>55</v>
      </c>
      <c r="E13" t="s">
        <v>82</v>
      </c>
      <c r="F13">
        <v>18.62</v>
      </c>
      <c r="G13">
        <v>18.62</v>
      </c>
      <c r="H13">
        <v>19.09</v>
      </c>
      <c r="I13" s="25" t="str">
        <f ca="1">_xll.SingleNameTicker.New(A13,B13,C13,D13,E13)</f>
        <v>OBJ_898653517</v>
      </c>
      <c r="J13" s="25" t="str">
        <f ca="1">_xll.SingleNameSecurity.New(COB,F13,G13,H13,I13)</f>
        <v>OBJ_52126542</v>
      </c>
      <c r="K13" s="25" t="str">
        <f ca="1">_xll.DataQuoteSheet.AddQuote(K12,J13)</f>
        <v>OBJ_35340701</v>
      </c>
    </row>
    <row r="14" spans="1:11" x14ac:dyDescent="0.35">
      <c r="A14" t="s">
        <v>217</v>
      </c>
      <c r="B14" t="s">
        <v>39</v>
      </c>
      <c r="C14" t="s">
        <v>39</v>
      </c>
      <c r="D14" t="s">
        <v>54</v>
      </c>
      <c r="E14" t="s">
        <v>83</v>
      </c>
      <c r="F14">
        <v>50.13</v>
      </c>
      <c r="G14">
        <v>50.13</v>
      </c>
      <c r="H14">
        <v>50.97</v>
      </c>
      <c r="I14" s="25" t="str">
        <f ca="1">_xll.SingleNameTicker.New(A14,B14,C14,D14,E14)</f>
        <v>OBJ_-249907328</v>
      </c>
      <c r="J14" s="25" t="str">
        <f ca="1">_xll.SingleNameSecurity.New(COB,F14,G14,H14,I14)</f>
        <v>OBJ_66485695</v>
      </c>
      <c r="K14" s="25" t="str">
        <f ca="1">_xll.DataQuoteSheet.AddQuote(K13,J14)</f>
        <v>OBJ_35340701</v>
      </c>
    </row>
    <row r="15" spans="1:11" x14ac:dyDescent="0.35">
      <c r="A15" t="s">
        <v>218</v>
      </c>
      <c r="B15" t="s">
        <v>39</v>
      </c>
      <c r="C15" t="s">
        <v>39</v>
      </c>
      <c r="D15" t="s">
        <v>58</v>
      </c>
      <c r="E15" t="s">
        <v>84</v>
      </c>
      <c r="F15">
        <v>66.900000000000006</v>
      </c>
      <c r="G15">
        <v>66.900000000000006</v>
      </c>
      <c r="H15">
        <v>67.08</v>
      </c>
      <c r="I15" s="25" t="str">
        <f ca="1">_xll.SingleNameTicker.New(A15,B15,C15,D15,E15)</f>
        <v>OBJ_558409692</v>
      </c>
      <c r="J15" s="25" t="str">
        <f ca="1">_xll.SingleNameSecurity.New(COB,F15,G15,H15,I15)</f>
        <v>OBJ_61500346</v>
      </c>
      <c r="K15" s="25" t="str">
        <f ca="1">_xll.DataQuoteSheet.AddQuote(K14,J15)</f>
        <v>OBJ_35340701</v>
      </c>
    </row>
    <row r="16" spans="1:11" x14ac:dyDescent="0.35">
      <c r="A16" t="s">
        <v>219</v>
      </c>
      <c r="B16" t="s">
        <v>39</v>
      </c>
      <c r="C16" t="s">
        <v>39</v>
      </c>
      <c r="D16" t="s">
        <v>59</v>
      </c>
      <c r="E16" t="s">
        <v>85</v>
      </c>
      <c r="F16">
        <v>3.0819999999999999</v>
      </c>
      <c r="G16">
        <v>3.0819999999999999</v>
      </c>
      <c r="H16">
        <v>3.2269999999999999</v>
      </c>
      <c r="I16" s="25" t="str">
        <f ca="1">_xll.SingleNameTicker.New(A16,B16,C16,D16,E16)</f>
        <v>OBJ_1898086797</v>
      </c>
      <c r="J16" s="25" t="str">
        <f ca="1">_xll.SingleNameSecurity.New(COB,F16,G16,H16,I16)</f>
        <v>OBJ_16632209</v>
      </c>
      <c r="K16" s="25" t="str">
        <f ca="1">_xll.DataQuoteSheet.AddQuote(K15,J16)</f>
        <v>OBJ_35340701</v>
      </c>
    </row>
    <row r="17" spans="1:11" x14ac:dyDescent="0.35">
      <c r="A17" t="s">
        <v>220</v>
      </c>
      <c r="B17" t="s">
        <v>39</v>
      </c>
      <c r="C17" t="s">
        <v>39</v>
      </c>
      <c r="D17" t="s">
        <v>60</v>
      </c>
      <c r="E17" t="s">
        <v>86</v>
      </c>
      <c r="F17">
        <v>56.71</v>
      </c>
      <c r="G17">
        <v>56.71</v>
      </c>
      <c r="H17">
        <v>57.95</v>
      </c>
      <c r="I17" s="25" t="str">
        <f ca="1">_xll.SingleNameTicker.New(A17,B17,C17,D17,E17)</f>
        <v>OBJ_2079099372</v>
      </c>
      <c r="J17" s="25" t="str">
        <f ca="1">_xll.SingleNameSecurity.New(COB,F17,G17,H17,I17)</f>
        <v>OBJ_15472155</v>
      </c>
      <c r="K17" s="25" t="str">
        <f ca="1">_xll.DataQuoteSheet.AddQuote(K16,J17)</f>
        <v>OBJ_35340701</v>
      </c>
    </row>
    <row r="18" spans="1:11" x14ac:dyDescent="0.35">
      <c r="A18" t="s">
        <v>221</v>
      </c>
      <c r="B18" t="s">
        <v>39</v>
      </c>
      <c r="C18" t="s">
        <v>39</v>
      </c>
      <c r="D18" t="s">
        <v>59</v>
      </c>
      <c r="E18" t="s">
        <v>87</v>
      </c>
      <c r="F18">
        <v>35.35</v>
      </c>
      <c r="G18">
        <v>35.35</v>
      </c>
      <c r="H18">
        <v>36.604999999999997</v>
      </c>
      <c r="I18" s="25" t="str">
        <f ca="1">_xll.SingleNameTicker.New(A18,B18,C18,D18,E18)</f>
        <v>OBJ_162552240</v>
      </c>
      <c r="J18" s="25" t="str">
        <f ca="1">_xll.SingleNameSecurity.New(COB,F18,G18,H18,I18)</f>
        <v>OBJ_5031675</v>
      </c>
      <c r="K18" s="25" t="str">
        <f ca="1">_xll.DataQuoteSheet.AddQuote(K17,J18)</f>
        <v>OBJ_35340701</v>
      </c>
    </row>
    <row r="19" spans="1:11" x14ac:dyDescent="0.35">
      <c r="A19" t="s">
        <v>222</v>
      </c>
      <c r="B19" t="s">
        <v>39</v>
      </c>
      <c r="C19" t="s">
        <v>39</v>
      </c>
      <c r="D19" t="s">
        <v>61</v>
      </c>
      <c r="E19" t="s">
        <v>88</v>
      </c>
      <c r="F19">
        <v>30.68</v>
      </c>
      <c r="G19">
        <v>30.68</v>
      </c>
      <c r="H19">
        <v>31.79</v>
      </c>
      <c r="I19" s="25" t="str">
        <f ca="1">_xll.SingleNameTicker.New(A19,B19,C19,D19,E19)</f>
        <v>OBJ_543424094</v>
      </c>
      <c r="J19" s="25" t="str">
        <f ca="1">_xll.SingleNameSecurity.New(COB,F19,G19,H19,I19)</f>
        <v>OBJ_45285081</v>
      </c>
      <c r="K19" s="25" t="str">
        <f ca="1">_xll.DataQuoteSheet.AddQuote(K18,J19)</f>
        <v>OBJ_35340701</v>
      </c>
    </row>
    <row r="20" spans="1:11" x14ac:dyDescent="0.35">
      <c r="A20" t="s">
        <v>223</v>
      </c>
      <c r="B20" t="s">
        <v>39</v>
      </c>
      <c r="C20" t="s">
        <v>39</v>
      </c>
      <c r="D20" t="s">
        <v>60</v>
      </c>
      <c r="E20" t="s">
        <v>86</v>
      </c>
      <c r="F20">
        <v>35.909999999999997</v>
      </c>
      <c r="G20">
        <v>35.909999999999997</v>
      </c>
      <c r="H20">
        <v>37.164999999999999</v>
      </c>
      <c r="I20" s="25" t="str">
        <f ca="1">_xll.SingleNameTicker.New(A20,B20,C20,D20,E20)</f>
        <v>OBJ_-1056476316</v>
      </c>
      <c r="J20" s="25" t="str">
        <f ca="1">_xll.SingleNameSecurity.New(COB,F20,G20,H20,I20)</f>
        <v>OBJ_4912550</v>
      </c>
      <c r="K20" s="25" t="str">
        <f ca="1">_xll.DataQuoteSheet.AddQuote(K19,J20)</f>
        <v>OBJ_35340701</v>
      </c>
    </row>
    <row r="21" spans="1:11" x14ac:dyDescent="0.35">
      <c r="A21" t="s">
        <v>224</v>
      </c>
      <c r="B21" t="s">
        <v>39</v>
      </c>
      <c r="C21" t="s">
        <v>39</v>
      </c>
      <c r="D21" t="s">
        <v>51</v>
      </c>
      <c r="E21" t="s">
        <v>89</v>
      </c>
      <c r="F21">
        <v>62.1</v>
      </c>
      <c r="G21">
        <v>62.1</v>
      </c>
      <c r="H21">
        <v>62.5</v>
      </c>
      <c r="I21" s="25" t="str">
        <f ca="1">_xll.SingleNameTicker.New(A21,B21,C21,D21,E21)</f>
        <v>OBJ_874863982</v>
      </c>
      <c r="J21" s="25" t="str">
        <f ca="1">_xll.SingleNameSecurity.New(COB,F21,G21,H21,I21)</f>
        <v>OBJ_44212955</v>
      </c>
      <c r="K21" s="25" t="str">
        <f ca="1">_xll.DataQuoteSheet.AddQuote(K20,J21)</f>
        <v>OBJ_35340701</v>
      </c>
    </row>
    <row r="22" spans="1:11" x14ac:dyDescent="0.35">
      <c r="A22" t="s">
        <v>225</v>
      </c>
      <c r="B22" t="s">
        <v>39</v>
      </c>
      <c r="C22" t="s">
        <v>39</v>
      </c>
      <c r="D22" t="s">
        <v>62</v>
      </c>
      <c r="E22" t="s">
        <v>90</v>
      </c>
      <c r="F22">
        <v>159.69999999999999</v>
      </c>
      <c r="G22">
        <v>159.69999999999999</v>
      </c>
      <c r="H22">
        <v>165.45</v>
      </c>
      <c r="I22" s="25" t="str">
        <f ca="1">_xll.SingleNameTicker.New(A22,B22,C22,D22,E22)</f>
        <v>OBJ_-1434941268</v>
      </c>
      <c r="J22" s="25" t="str">
        <f ca="1">_xll.SingleNameSecurity.New(COB,F22,G22,H22,I22)</f>
        <v>OBJ_62372282</v>
      </c>
      <c r="K22" s="25" t="str">
        <f ca="1">_xll.DataQuoteSheet.AddQuote(K21,J22)</f>
        <v>OBJ_35340701</v>
      </c>
    </row>
    <row r="23" spans="1:11" x14ac:dyDescent="0.35">
      <c r="A23" t="s">
        <v>226</v>
      </c>
      <c r="B23" t="s">
        <v>39</v>
      </c>
      <c r="C23" t="s">
        <v>39</v>
      </c>
      <c r="D23" t="s">
        <v>63</v>
      </c>
      <c r="E23" t="s">
        <v>91</v>
      </c>
      <c r="F23">
        <v>31.87</v>
      </c>
      <c r="G23">
        <v>31.87</v>
      </c>
      <c r="H23">
        <v>33.28</v>
      </c>
      <c r="I23" s="25" t="str">
        <f ca="1">_xll.SingleNameTicker.New(A23,B23,C23,D23,E23)</f>
        <v>OBJ_2106296878</v>
      </c>
      <c r="J23" s="25" t="str">
        <f ca="1">_xll.SingleNameSecurity.New(COB,F23,G23,H23,I23)</f>
        <v>OBJ_24479626</v>
      </c>
      <c r="K23" s="25" t="str">
        <f ca="1">_xll.DataQuoteSheet.AddQuote(K22,J23)</f>
        <v>OBJ_35340701</v>
      </c>
    </row>
    <row r="24" spans="1:11" x14ac:dyDescent="0.35">
      <c r="A24" t="s">
        <v>227</v>
      </c>
      <c r="B24" t="s">
        <v>39</v>
      </c>
      <c r="C24" t="s">
        <v>39</v>
      </c>
      <c r="D24" t="s">
        <v>64</v>
      </c>
      <c r="E24" t="s">
        <v>92</v>
      </c>
      <c r="F24">
        <v>14.805</v>
      </c>
      <c r="G24">
        <v>14.805</v>
      </c>
      <c r="H24">
        <v>15.115</v>
      </c>
      <c r="I24" s="25" t="str">
        <f ca="1">_xll.SingleNameTicker.New(A24,B24,C24,D24,E24)</f>
        <v>OBJ_1647307432</v>
      </c>
      <c r="J24" s="25" t="str">
        <f ca="1">_xll.SingleNameSecurity.New(COB,F24,G24,H24,I24)</f>
        <v>OBJ_18990045</v>
      </c>
      <c r="K24" s="25" t="str">
        <f ca="1">_xll.DataQuoteSheet.AddQuote(K23,J24)</f>
        <v>OBJ_35340701</v>
      </c>
    </row>
    <row r="25" spans="1:11" x14ac:dyDescent="0.35">
      <c r="A25" t="s">
        <v>228</v>
      </c>
      <c r="B25" t="s">
        <v>39</v>
      </c>
      <c r="C25" t="s">
        <v>39</v>
      </c>
      <c r="D25" t="s">
        <v>65</v>
      </c>
      <c r="E25" t="s">
        <v>93</v>
      </c>
      <c r="F25">
        <v>7.7240000000000002</v>
      </c>
      <c r="G25">
        <v>7.7240000000000002</v>
      </c>
      <c r="H25">
        <v>7.9470000000000001</v>
      </c>
      <c r="I25" s="25" t="str">
        <f ca="1">_xll.SingleNameTicker.New(A25,B25,C25,D25,E25)</f>
        <v>OBJ_-1685277503</v>
      </c>
      <c r="J25" s="25" t="str">
        <f ca="1">_xll.SingleNameSecurity.New(COB,F25,G25,H25,I25)</f>
        <v>OBJ_36692685</v>
      </c>
      <c r="K25" s="25" t="str">
        <f ca="1">_xll.DataQuoteSheet.AddQuote(K24,J25)</f>
        <v>OBJ_35340701</v>
      </c>
    </row>
    <row r="26" spans="1:11" x14ac:dyDescent="0.35">
      <c r="A26" t="s">
        <v>229</v>
      </c>
      <c r="B26" t="s">
        <v>39</v>
      </c>
      <c r="C26" t="s">
        <v>39</v>
      </c>
      <c r="D26" t="s">
        <v>65</v>
      </c>
      <c r="E26" t="s">
        <v>94</v>
      </c>
      <c r="F26">
        <v>11.19</v>
      </c>
      <c r="G26">
        <v>11.19</v>
      </c>
      <c r="H26">
        <v>11.37</v>
      </c>
      <c r="I26" s="25" t="str">
        <f ca="1">_xll.SingleNameTicker.New(A26,B26,C26,D26,E26)</f>
        <v>OBJ_150994454</v>
      </c>
      <c r="J26" s="25" t="str">
        <f ca="1">_xll.SingleNameSecurity.New(COB,F26,G26,H26,I26)</f>
        <v>OBJ_61798714</v>
      </c>
      <c r="K26" s="25" t="str">
        <f ca="1">_xll.DataQuoteSheet.AddQuote(K25,J26)</f>
        <v>OBJ_35340701</v>
      </c>
    </row>
    <row r="27" spans="1:11" x14ac:dyDescent="0.35">
      <c r="A27" t="s">
        <v>230</v>
      </c>
      <c r="B27" t="s">
        <v>39</v>
      </c>
      <c r="C27" t="s">
        <v>39</v>
      </c>
      <c r="D27" t="s">
        <v>66</v>
      </c>
      <c r="E27" t="s">
        <v>95</v>
      </c>
      <c r="F27">
        <v>8.625</v>
      </c>
      <c r="G27">
        <v>8.625</v>
      </c>
      <c r="H27">
        <v>8.7200000000000006</v>
      </c>
      <c r="I27" s="25" t="str">
        <f ca="1">_xll.SingleNameTicker.New(A27,B27,C27,D27,E27)</f>
        <v>OBJ_-1047497929</v>
      </c>
      <c r="J27" s="25" t="str">
        <f ca="1">_xll.SingleNameSecurity.New(COB,F27,G27,H27,I27)</f>
        <v>OBJ_19317517</v>
      </c>
      <c r="K27" s="25" t="str">
        <f ca="1">_xll.DataQuoteSheet.AddQuote(K26,J27)</f>
        <v>OBJ_35340701</v>
      </c>
    </row>
    <row r="28" spans="1:11" x14ac:dyDescent="0.35">
      <c r="A28" t="s">
        <v>231</v>
      </c>
      <c r="B28" t="s">
        <v>39</v>
      </c>
      <c r="C28" t="s">
        <v>39</v>
      </c>
      <c r="D28" t="s">
        <v>67</v>
      </c>
      <c r="E28" t="s">
        <v>96</v>
      </c>
      <c r="F28">
        <v>117.45</v>
      </c>
      <c r="G28">
        <v>117.45</v>
      </c>
      <c r="H28">
        <v>116.95</v>
      </c>
      <c r="I28" s="25" t="str">
        <f ca="1">_xll.SingleNameTicker.New(A28,B28,C28,D28,E28)</f>
        <v>OBJ_879189387</v>
      </c>
      <c r="J28" s="25" t="str">
        <f ca="1">_xll.SingleNameSecurity.New(COB,F28,G28,H28,I28)</f>
        <v>OBJ_39639927</v>
      </c>
      <c r="K28" s="25" t="str">
        <f ca="1">_xll.DataQuoteSheet.AddQuote(K27,J28)</f>
        <v>OBJ_35340701</v>
      </c>
    </row>
    <row r="29" spans="1:11" x14ac:dyDescent="0.35">
      <c r="A29" t="s">
        <v>232</v>
      </c>
      <c r="B29" t="s">
        <v>39</v>
      </c>
      <c r="C29" t="s">
        <v>39</v>
      </c>
      <c r="D29" t="s">
        <v>68</v>
      </c>
      <c r="E29" t="s">
        <v>97</v>
      </c>
      <c r="F29">
        <v>44.21</v>
      </c>
      <c r="G29">
        <v>44.21</v>
      </c>
      <c r="H29">
        <v>45.95</v>
      </c>
      <c r="I29" s="25" t="str">
        <f ca="1">_xll.SingleNameTicker.New(A29,B29,C29,D29,E29)</f>
        <v>OBJ_1660021210</v>
      </c>
      <c r="J29" s="25" t="str">
        <f ca="1">_xll.SingleNameSecurity.New(COB,F29,G29,H29,I29)</f>
        <v>OBJ_21215025</v>
      </c>
      <c r="K29" s="25" t="str">
        <f ca="1">_xll.DataQuoteSheet.AddQuote(K28,J29)</f>
        <v>OBJ_35340701</v>
      </c>
    </row>
    <row r="30" spans="1:11" x14ac:dyDescent="0.35">
      <c r="A30" t="s">
        <v>233</v>
      </c>
      <c r="B30" t="s">
        <v>39</v>
      </c>
      <c r="C30" t="s">
        <v>39</v>
      </c>
      <c r="D30" t="s">
        <v>65</v>
      </c>
      <c r="E30" t="s">
        <v>93</v>
      </c>
      <c r="F30">
        <v>10.18</v>
      </c>
      <c r="G30">
        <v>10.18</v>
      </c>
      <c r="H30">
        <v>10.72</v>
      </c>
      <c r="I30" s="25" t="str">
        <f ca="1">_xll.SingleNameTicker.New(A30,B30,C30,D30,E30)</f>
        <v>OBJ_1624108065</v>
      </c>
      <c r="J30" s="25" t="str">
        <f ca="1">_xll.SingleNameSecurity.New(COB,F30,G30,H30,I30)</f>
        <v>OBJ_56717500</v>
      </c>
      <c r="K30" s="25" t="str">
        <f ca="1">_xll.DataQuoteSheet.AddQuote(K29,J30)</f>
        <v>OBJ_35340701</v>
      </c>
    </row>
    <row r="31" spans="1:11" x14ac:dyDescent="0.35">
      <c r="A31" t="s">
        <v>234</v>
      </c>
      <c r="B31" t="s">
        <v>39</v>
      </c>
      <c r="C31" t="s">
        <v>39</v>
      </c>
      <c r="D31" t="s">
        <v>59</v>
      </c>
      <c r="E31" t="s">
        <v>85</v>
      </c>
      <c r="F31">
        <v>6.2629999999999999</v>
      </c>
      <c r="G31">
        <v>6.2629999999999999</v>
      </c>
      <c r="H31">
        <v>6.4489999999999998</v>
      </c>
      <c r="I31" s="25" t="str">
        <f ca="1">_xll.SingleNameTicker.New(A31,B31,C31,D31,E31)</f>
        <v>OBJ_2076262679</v>
      </c>
      <c r="J31" s="25" t="str">
        <f ca="1">_xll.SingleNameSecurity.New(COB,F31,G31,H31,I31)</f>
        <v>OBJ_40695458</v>
      </c>
      <c r="K31" s="25" t="str">
        <f ca="1">_xll.DataQuoteSheet.AddQuote(K30,J31)</f>
        <v>OBJ_35340701</v>
      </c>
    </row>
    <row r="32" spans="1:11" x14ac:dyDescent="0.35">
      <c r="A32" t="s">
        <v>235</v>
      </c>
      <c r="B32" t="s">
        <v>39</v>
      </c>
      <c r="C32" t="s">
        <v>39</v>
      </c>
      <c r="D32" t="s">
        <v>59</v>
      </c>
      <c r="E32" t="s">
        <v>85</v>
      </c>
      <c r="F32">
        <v>1.702</v>
      </c>
      <c r="G32">
        <v>1.702</v>
      </c>
      <c r="H32">
        <v>1.7528000000000001</v>
      </c>
      <c r="I32" s="25" t="str">
        <f ca="1">_xll.SingleNameTicker.New(A32,B32,C32,D32,E32)</f>
        <v>OBJ_184965984</v>
      </c>
      <c r="J32" s="25" t="str">
        <f ca="1">_xll.SingleNameSecurity.New(COB,F32,G32,H32,I32)</f>
        <v>OBJ_30714802</v>
      </c>
      <c r="K32" s="25" t="str">
        <f ca="1">_xll.DataQuoteSheet.AddQuote(K31,J32)</f>
        <v>OBJ_35340701</v>
      </c>
    </row>
    <row r="33" spans="1:11" x14ac:dyDescent="0.35">
      <c r="A33" t="s">
        <v>236</v>
      </c>
      <c r="B33" t="s">
        <v>39</v>
      </c>
      <c r="C33" t="s">
        <v>39</v>
      </c>
      <c r="D33" t="s">
        <v>69</v>
      </c>
      <c r="E33" t="s">
        <v>98</v>
      </c>
      <c r="F33">
        <v>23.91</v>
      </c>
      <c r="G33">
        <v>23.91</v>
      </c>
      <c r="H33">
        <v>24.33</v>
      </c>
      <c r="I33" s="25" t="str">
        <f ca="1">_xll.SingleNameTicker.New(A33,B33,C33,D33,E33)</f>
        <v>OBJ_-181684590</v>
      </c>
      <c r="J33" s="25" t="str">
        <f ca="1">_xll.SingleNameSecurity.New(COB,F33,G33,H33,I33)</f>
        <v>OBJ_7997767</v>
      </c>
      <c r="K33" s="25" t="str">
        <f ca="1">_xll.DataQuoteSheet.AddQuote(K32,J33)</f>
        <v>OBJ_35340701</v>
      </c>
    </row>
    <row r="34" spans="1:11" x14ac:dyDescent="0.35">
      <c r="A34" t="s">
        <v>237</v>
      </c>
      <c r="B34" t="s">
        <v>39</v>
      </c>
      <c r="C34" t="s">
        <v>31</v>
      </c>
      <c r="D34" t="s">
        <v>54</v>
      </c>
      <c r="E34" t="s">
        <v>79</v>
      </c>
      <c r="F34">
        <v>188.25</v>
      </c>
      <c r="G34">
        <v>188.25</v>
      </c>
      <c r="H34">
        <v>196.7</v>
      </c>
      <c r="I34" s="25" t="str">
        <f ca="1">_xll.SingleNameTicker.New(A34,B34,C34,D34,E34)</f>
        <v>OBJ_-284902669</v>
      </c>
      <c r="J34" s="25" t="str">
        <f ca="1">_xll.SingleNameSecurity.New(COB,F34,G34,H34,I34)</f>
        <v>OBJ_4871040</v>
      </c>
      <c r="K34" s="25" t="str">
        <f ca="1">_xll.DataQuoteSheet.AddQuote(K33,J34)</f>
        <v>OBJ_35340701</v>
      </c>
    </row>
    <row r="35" spans="1:11" x14ac:dyDescent="0.35">
      <c r="A35" t="s">
        <v>238</v>
      </c>
      <c r="B35" t="s">
        <v>39</v>
      </c>
      <c r="C35" t="s">
        <v>39</v>
      </c>
      <c r="D35" t="s">
        <v>52</v>
      </c>
      <c r="E35" t="s">
        <v>99</v>
      </c>
      <c r="F35">
        <v>389.5</v>
      </c>
      <c r="G35">
        <v>389.5</v>
      </c>
      <c r="H35">
        <v>401.85</v>
      </c>
      <c r="I35" s="25" t="str">
        <f ca="1">_xll.SingleNameTicker.New(A35,B35,C35,D35,E35)</f>
        <v>OBJ_864050867</v>
      </c>
      <c r="J35" s="25" t="str">
        <f ca="1">_xll.SingleNameSecurity.New(COB,F35,G35,H35,I35)</f>
        <v>OBJ_43839368</v>
      </c>
      <c r="K35" s="25" t="str">
        <f ca="1">_xll.DataQuoteSheet.AddQuote(K34,J35)</f>
        <v>OBJ_35340701</v>
      </c>
    </row>
    <row r="36" spans="1:11" x14ac:dyDescent="0.35">
      <c r="A36" t="s">
        <v>239</v>
      </c>
      <c r="B36" t="s">
        <v>39</v>
      </c>
      <c r="C36" t="s">
        <v>39</v>
      </c>
      <c r="D36" t="s">
        <v>55</v>
      </c>
      <c r="E36" t="s">
        <v>100</v>
      </c>
      <c r="F36">
        <v>227.2</v>
      </c>
      <c r="G36">
        <v>227.2</v>
      </c>
      <c r="H36">
        <v>232.2</v>
      </c>
      <c r="I36" s="25" t="str">
        <f ca="1">_xll.SingleNameTicker.New(A36,B36,C36,D36,E36)</f>
        <v>OBJ_1136092694</v>
      </c>
      <c r="J36" s="25" t="str">
        <f ca="1">_xll.SingleNameSecurity.New(COB,F36,G36,H36,I36)</f>
        <v>OBJ_59009999</v>
      </c>
      <c r="K36" s="25" t="str">
        <f ca="1">_xll.DataQuoteSheet.AddQuote(K35,J36)</f>
        <v>OBJ_35340701</v>
      </c>
    </row>
    <row r="37" spans="1:11" x14ac:dyDescent="0.35">
      <c r="A37" t="s">
        <v>240</v>
      </c>
      <c r="B37" t="s">
        <v>39</v>
      </c>
      <c r="C37" t="s">
        <v>39</v>
      </c>
      <c r="D37" t="s">
        <v>64</v>
      </c>
      <c r="E37" t="s">
        <v>101</v>
      </c>
      <c r="F37">
        <v>3.8834999999999997</v>
      </c>
      <c r="G37">
        <v>3.8834999999999997</v>
      </c>
      <c r="H37">
        <v>3.9729999999999999</v>
      </c>
      <c r="I37" s="25" t="str">
        <f ca="1">_xll.SingleNameTicker.New(A37,B37,C37,D37,E37)</f>
        <v>OBJ_2140302322</v>
      </c>
      <c r="J37" s="25" t="str">
        <f ca="1">_xll.SingleNameSecurity.New(COB,F37,G37,H37,I37)</f>
        <v>OBJ_61327951</v>
      </c>
      <c r="K37" s="25" t="str">
        <f ca="1">_xll.DataQuoteSheet.AddQuote(K36,J37)</f>
        <v>OBJ_35340701</v>
      </c>
    </row>
    <row r="38" spans="1:11" x14ac:dyDescent="0.35">
      <c r="A38" t="s">
        <v>241</v>
      </c>
      <c r="B38" t="s">
        <v>39</v>
      </c>
      <c r="C38" t="s">
        <v>39</v>
      </c>
      <c r="D38" t="s">
        <v>64</v>
      </c>
      <c r="E38" t="s">
        <v>102</v>
      </c>
      <c r="F38">
        <v>10.685</v>
      </c>
      <c r="G38">
        <v>10.685</v>
      </c>
      <c r="H38">
        <v>10.824999999999999</v>
      </c>
      <c r="I38" s="25" t="str">
        <f ca="1">_xll.SingleNameTicker.New(A38,B38,C38,D38,E38)</f>
        <v>OBJ_-665118634</v>
      </c>
      <c r="J38" s="25" t="str">
        <f ca="1">_xll.SingleNameSecurity.New(COB,F38,G38,H38,I38)</f>
        <v>OBJ_15080647</v>
      </c>
      <c r="K38" s="25" t="str">
        <f ca="1">_xll.DataQuoteSheet.AddQuote(K37,J38)</f>
        <v>OBJ_35340701</v>
      </c>
    </row>
    <row r="39" spans="1:11" x14ac:dyDescent="0.35">
      <c r="A39" t="s">
        <v>242</v>
      </c>
      <c r="B39" t="s">
        <v>39</v>
      </c>
      <c r="C39" t="s">
        <v>39</v>
      </c>
      <c r="D39" t="s">
        <v>70</v>
      </c>
      <c r="E39" t="s">
        <v>103</v>
      </c>
      <c r="F39">
        <v>285.3</v>
      </c>
      <c r="G39">
        <v>285.3</v>
      </c>
      <c r="H39">
        <v>296.7</v>
      </c>
      <c r="I39" s="25" t="str">
        <f ca="1">_xll.SingleNameTicker.New(A39,B39,C39,D39,E39)</f>
        <v>OBJ_900816337</v>
      </c>
      <c r="J39" s="25" t="str">
        <f ca="1">_xll.SingleNameSecurity.New(COB,F39,G39,H39,I39)</f>
        <v>OBJ_1508097</v>
      </c>
      <c r="K39" s="25" t="str">
        <f ca="1">_xll.DataQuoteSheet.AddQuote(K38,J39)</f>
        <v>OBJ_35340701</v>
      </c>
    </row>
    <row r="40" spans="1:11" x14ac:dyDescent="0.35">
      <c r="A40" t="s">
        <v>243</v>
      </c>
      <c r="B40" t="s">
        <v>39</v>
      </c>
      <c r="C40" t="s">
        <v>39</v>
      </c>
      <c r="D40" t="s">
        <v>67</v>
      </c>
      <c r="E40" t="s">
        <v>104</v>
      </c>
      <c r="F40">
        <v>41.545000000000002</v>
      </c>
      <c r="G40">
        <v>41.545000000000002</v>
      </c>
      <c r="H40">
        <v>42.645000000000003</v>
      </c>
      <c r="I40" s="25" t="str">
        <f ca="1">_xll.SingleNameTicker.New(A40,B40,C40,D40,E40)</f>
        <v>OBJ_-1643346618</v>
      </c>
      <c r="J40" s="25" t="str">
        <f ca="1">_xll.SingleNameSecurity.New(COB,F40,G40,H40,I40)</f>
        <v>OBJ_13572879</v>
      </c>
      <c r="K40" s="25" t="str">
        <f ca="1">_xll.DataQuoteSheet.AddQuote(K39,J40)</f>
        <v>OBJ_35340701</v>
      </c>
    </row>
    <row r="41" spans="1:11" x14ac:dyDescent="0.35">
      <c r="A41" t="s">
        <v>244</v>
      </c>
      <c r="B41" t="s">
        <v>39</v>
      </c>
      <c r="C41" t="s">
        <v>39</v>
      </c>
      <c r="D41" t="s">
        <v>52</v>
      </c>
      <c r="E41" t="s">
        <v>105</v>
      </c>
      <c r="F41">
        <v>481.25</v>
      </c>
      <c r="G41">
        <v>481.25</v>
      </c>
      <c r="H41">
        <v>492.4</v>
      </c>
      <c r="I41" s="25" t="str">
        <f ca="1">_xll.SingleNameTicker.New(A41,B41,C41,D41,E41)</f>
        <v>OBJ_1308115917</v>
      </c>
      <c r="J41" s="25" t="str">
        <f ca="1">_xll.SingleNameSecurity.New(COB,F41,G41,H41,I41)</f>
        <v>OBJ_55047048</v>
      </c>
      <c r="K41" s="25" t="str">
        <f ca="1">_xll.DataQuoteSheet.AddQuote(K40,J41)</f>
        <v>OBJ_35340701</v>
      </c>
    </row>
    <row r="42" spans="1:11" x14ac:dyDescent="0.35">
      <c r="A42" t="s">
        <v>245</v>
      </c>
      <c r="B42" t="s">
        <v>39</v>
      </c>
      <c r="C42" t="s">
        <v>39</v>
      </c>
      <c r="D42" t="s">
        <v>53</v>
      </c>
      <c r="E42" t="s">
        <v>78</v>
      </c>
      <c r="F42">
        <v>89.18</v>
      </c>
      <c r="G42">
        <v>89.18</v>
      </c>
      <c r="H42">
        <v>91.56</v>
      </c>
      <c r="I42" s="25" t="str">
        <f ca="1">_xll.SingleNameTicker.New(A42,B42,C42,D42,E42)</f>
        <v>OBJ_59859185</v>
      </c>
      <c r="J42" s="25" t="str">
        <f ca="1">_xll.SingleNameSecurity.New(COB,F42,G42,H42,I42)</f>
        <v>OBJ_25661391</v>
      </c>
      <c r="K42" s="25" t="str">
        <f ca="1">_xll.DataQuoteSheet.AddQuote(K41,J42)</f>
        <v>OBJ_35340701</v>
      </c>
    </row>
    <row r="43" spans="1:11" x14ac:dyDescent="0.35">
      <c r="A43" t="s">
        <v>246</v>
      </c>
      <c r="B43" t="s">
        <v>39</v>
      </c>
      <c r="C43" t="s">
        <v>39</v>
      </c>
      <c r="D43" t="s">
        <v>59</v>
      </c>
      <c r="E43" t="s">
        <v>87</v>
      </c>
      <c r="F43">
        <v>2.2069999999999999</v>
      </c>
      <c r="G43">
        <v>2.2069999999999999</v>
      </c>
      <c r="H43">
        <v>2.2854999999999999</v>
      </c>
      <c r="I43" s="25" t="str">
        <f ca="1">_xll.SingleNameTicker.New(A43,B43,C43,D43,E43)</f>
        <v>OBJ_-296174554</v>
      </c>
      <c r="J43" s="25" t="str">
        <f ca="1">_xll.SingleNameSecurity.New(COB,F43,G43,H43,I43)</f>
        <v>OBJ_29625932</v>
      </c>
      <c r="K43" s="25" t="str">
        <f ca="1">_xll.DataQuoteSheet.AddQuote(K42,J43)</f>
        <v>OBJ_35340701</v>
      </c>
    </row>
    <row r="44" spans="1:11" x14ac:dyDescent="0.35">
      <c r="A44" t="s">
        <v>247</v>
      </c>
      <c r="B44" t="s">
        <v>39</v>
      </c>
      <c r="C44" t="s">
        <v>39</v>
      </c>
      <c r="D44" t="s">
        <v>71</v>
      </c>
      <c r="E44" t="s">
        <v>106</v>
      </c>
      <c r="F44">
        <v>122.44</v>
      </c>
      <c r="G44">
        <v>122.44</v>
      </c>
      <c r="H44">
        <v>127.66</v>
      </c>
      <c r="I44" s="25" t="str">
        <f ca="1">_xll.SingleNameTicker.New(A44,B44,C44,D44,E44)</f>
        <v>OBJ_153377696</v>
      </c>
      <c r="J44" s="25" t="str">
        <f ca="1">_xll.SingleNameSecurity.New(COB,F44,G44,H44,I44)</f>
        <v>OBJ_65306800</v>
      </c>
      <c r="K44" s="25" t="str">
        <f ca="1">_xll.DataQuoteSheet.AddQuote(K43,J44)</f>
        <v>OBJ_35340701</v>
      </c>
    </row>
    <row r="45" spans="1:11" x14ac:dyDescent="0.35">
      <c r="A45" t="s">
        <v>248</v>
      </c>
      <c r="B45" t="s">
        <v>39</v>
      </c>
      <c r="C45" t="s">
        <v>39</v>
      </c>
      <c r="D45" t="s">
        <v>58</v>
      </c>
      <c r="E45" t="s">
        <v>84</v>
      </c>
      <c r="F45">
        <v>91.54</v>
      </c>
      <c r="G45">
        <v>91.54</v>
      </c>
      <c r="H45">
        <v>91.96</v>
      </c>
      <c r="I45" s="25" t="str">
        <f ca="1">_xll.SingleNameTicker.New(A45,B45,C45,D45,E45)</f>
        <v>OBJ_-296371175</v>
      </c>
      <c r="J45" s="25" t="str">
        <f ca="1">_xll.SingleNameSecurity.New(COB,F45,G45,H45,I45)</f>
        <v>OBJ_50890292</v>
      </c>
      <c r="K45" s="25" t="str">
        <f ca="1">_xll.DataQuoteSheet.AddQuote(K44,J45)</f>
        <v>OBJ_35340701</v>
      </c>
    </row>
    <row r="46" spans="1:11" x14ac:dyDescent="0.35">
      <c r="A46" t="s">
        <v>249</v>
      </c>
      <c r="B46" t="s">
        <v>39</v>
      </c>
      <c r="C46" t="s">
        <v>39</v>
      </c>
      <c r="D46" t="s">
        <v>72</v>
      </c>
      <c r="E46" t="s">
        <v>107</v>
      </c>
      <c r="F46">
        <v>98.6</v>
      </c>
      <c r="G46">
        <v>98.6</v>
      </c>
      <c r="H46">
        <v>98.28</v>
      </c>
      <c r="I46" s="25" t="str">
        <f ca="1">_xll.SingleNameTicker.New(A46,B46,C46,D46,E46)</f>
        <v>OBJ_894328701</v>
      </c>
      <c r="J46" s="25" t="str">
        <f ca="1">_xll.SingleNameSecurity.New(COB,F46,G46,H46,I46)</f>
        <v>OBJ_55359449</v>
      </c>
      <c r="K46" s="25" t="str">
        <f ca="1">_xll.DataQuoteSheet.AddQuote(K45,J46)</f>
        <v>OBJ_35340701</v>
      </c>
    </row>
    <row r="47" spans="1:11" x14ac:dyDescent="0.35">
      <c r="A47" t="s">
        <v>250</v>
      </c>
      <c r="B47" t="s">
        <v>39</v>
      </c>
      <c r="C47" t="s">
        <v>39</v>
      </c>
      <c r="D47" t="s">
        <v>73</v>
      </c>
      <c r="E47" t="s">
        <v>108</v>
      </c>
      <c r="F47">
        <v>82.74</v>
      </c>
      <c r="G47">
        <v>82.74</v>
      </c>
      <c r="H47">
        <v>84.2</v>
      </c>
      <c r="I47" s="25" t="str">
        <f ca="1">_xll.SingleNameTicker.New(A47,B47,C47,D47,E47)</f>
        <v>OBJ_855399852</v>
      </c>
      <c r="J47" s="25" t="str">
        <f ca="1">_xll.SingleNameSecurity.New(COB,F47,G47,H47,I47)</f>
        <v>OBJ_28473001</v>
      </c>
      <c r="K47" s="25" t="str">
        <f ca="1">_xll.DataQuoteSheet.AddQuote(K46,J47)</f>
        <v>OBJ_35340701</v>
      </c>
    </row>
    <row r="48" spans="1:11" x14ac:dyDescent="0.35">
      <c r="A48" t="s">
        <v>251</v>
      </c>
      <c r="B48" t="s">
        <v>39</v>
      </c>
      <c r="C48" t="s">
        <v>39</v>
      </c>
      <c r="D48" t="s">
        <v>74</v>
      </c>
      <c r="E48" t="s">
        <v>109</v>
      </c>
      <c r="F48">
        <v>103.7</v>
      </c>
      <c r="G48">
        <v>103.7</v>
      </c>
      <c r="H48">
        <v>106.56</v>
      </c>
      <c r="I48" s="25" t="str">
        <f ca="1">_xll.SingleNameTicker.New(A48,B48,C48,D48,E48)</f>
        <v>OBJ_1637411927</v>
      </c>
      <c r="J48" s="25" t="str">
        <f ca="1">_xll.SingleNameSecurity.New(COB,F48,G48,H48,I48)</f>
        <v>OBJ_54930419</v>
      </c>
      <c r="K48" s="25" t="str">
        <f ca="1">_xll.DataQuoteSheet.AddQuote(K47,J48)</f>
        <v>OBJ_35340701</v>
      </c>
    </row>
    <row r="49" spans="1:11" x14ac:dyDescent="0.35">
      <c r="A49" t="s">
        <v>252</v>
      </c>
      <c r="B49" t="s">
        <v>39</v>
      </c>
      <c r="C49" t="s">
        <v>39</v>
      </c>
      <c r="D49" t="s">
        <v>59</v>
      </c>
      <c r="E49" t="s">
        <v>87</v>
      </c>
      <c r="F49">
        <v>14.914</v>
      </c>
      <c r="G49">
        <v>14.914</v>
      </c>
      <c r="H49">
        <v>15.5</v>
      </c>
      <c r="I49" s="25" t="str">
        <f ca="1">_xll.SingleNameTicker.New(A49,B49,C49,D49,E49)</f>
        <v>OBJ_1630464442</v>
      </c>
      <c r="J49" s="25" t="str">
        <f ca="1">_xll.SingleNameSecurity.New(COB,F49,G49,H49,I49)</f>
        <v>OBJ_24611730</v>
      </c>
      <c r="K49" s="25" t="str">
        <f ca="1">_xll.DataQuoteSheet.AddQuote(K48,J49)</f>
        <v>OBJ_35340701</v>
      </c>
    </row>
    <row r="50" spans="1:11" x14ac:dyDescent="0.35">
      <c r="A50" t="s">
        <v>253</v>
      </c>
      <c r="B50" t="s">
        <v>39</v>
      </c>
      <c r="C50" t="s">
        <v>39</v>
      </c>
      <c r="D50" t="s">
        <v>64</v>
      </c>
      <c r="E50" t="s">
        <v>92</v>
      </c>
      <c r="F50">
        <v>4.3179999999999996</v>
      </c>
      <c r="G50">
        <v>4.3179999999999996</v>
      </c>
      <c r="H50">
        <v>4.2699999999999996</v>
      </c>
      <c r="I50" s="25" t="str">
        <f ca="1">_xll.SingleNameTicker.New(A50,B50,C50,D50,E50)</f>
        <v>OBJ_51929311</v>
      </c>
      <c r="J50" s="25" t="str">
        <f ca="1">_xll.SingleNameSecurity.New(COB,F50,G50,H50,I50)</f>
        <v>OBJ_20178982</v>
      </c>
      <c r="K50" s="25" t="str">
        <f ca="1">_xll.DataQuoteSheet.AddQuote(K49,J50)</f>
        <v>OBJ_35340701</v>
      </c>
    </row>
    <row r="51" spans="1:11" x14ac:dyDescent="0.35">
      <c r="A51" t="s">
        <v>254</v>
      </c>
      <c r="B51" t="s">
        <v>39</v>
      </c>
      <c r="C51" t="s">
        <v>31</v>
      </c>
      <c r="D51" t="s">
        <v>66</v>
      </c>
      <c r="E51" t="s">
        <v>95</v>
      </c>
      <c r="F51">
        <v>34.549999999999997</v>
      </c>
      <c r="G51">
        <v>34.549999999999997</v>
      </c>
      <c r="H51">
        <v>34.844999999999999</v>
      </c>
      <c r="I51" s="25" t="str">
        <f ca="1">_xll.SingleNameTicker.New(A51,B51,C51,D51,E51)</f>
        <v>OBJ_905141482</v>
      </c>
      <c r="J51" s="25" t="str">
        <f ca="1">_xll.SingleNameSecurity.New(COB,F51,G51,H51,I51)</f>
        <v>OBJ_47393112</v>
      </c>
      <c r="K51" s="25" t="str">
        <f ca="1">_xll.DataQuoteSheet.AddQuote(K50,J51)</f>
        <v>OBJ_35340701</v>
      </c>
    </row>
    <row r="52" spans="1:11" x14ac:dyDescent="0.35">
      <c r="A52" t="s">
        <v>255</v>
      </c>
      <c r="B52" t="s">
        <v>39</v>
      </c>
      <c r="C52" t="s">
        <v>39</v>
      </c>
      <c r="D52" t="s">
        <v>70</v>
      </c>
      <c r="E52" t="s">
        <v>103</v>
      </c>
      <c r="F52">
        <v>47.83</v>
      </c>
      <c r="G52">
        <v>47.83</v>
      </c>
      <c r="H52">
        <v>48.46</v>
      </c>
      <c r="I52" s="25" t="str">
        <f ca="1">_xll.SingleNameTicker.New(A52,B52,C52,D52,E52)</f>
        <v>OBJ_-692053468</v>
      </c>
      <c r="J52" s="25" t="str">
        <f ca="1">_xll.SingleNameSecurity.New(COB,F52,G52,H52,I52)</f>
        <v>OBJ_23884825</v>
      </c>
      <c r="K52" s="25" t="str">
        <f ca="1">_xll.DataQuoteSheet.AddQuote(K51,J52)</f>
        <v>OBJ_35340701</v>
      </c>
    </row>
    <row r="53" spans="1:11" x14ac:dyDescent="0.35">
      <c r="A53" t="s">
        <v>256</v>
      </c>
      <c r="B53" t="s">
        <v>39</v>
      </c>
      <c r="C53" t="s">
        <v>39</v>
      </c>
      <c r="D53" t="s">
        <v>257</v>
      </c>
      <c r="E53" t="s">
        <v>110</v>
      </c>
      <c r="F53">
        <v>23.2</v>
      </c>
      <c r="G53">
        <v>23.2</v>
      </c>
      <c r="H53">
        <v>23.58</v>
      </c>
      <c r="I53" s="25" t="str">
        <f ca="1">_xll.SingleNameTicker.New(A53,B53,C53,D53,E53)</f>
        <v>OBJ_-641591466</v>
      </c>
      <c r="J53" s="25" t="str">
        <f ca="1">_xll.SingleNameSecurity.New(COB,F53,G53,H53,I53)</f>
        <v>OBJ_13636834</v>
      </c>
      <c r="K53" s="25" t="str">
        <f ca="1">_xll.DataQuoteSheet.AddQuote(K52,J53)</f>
        <v>OBJ_35340701</v>
      </c>
    </row>
    <row r="54" spans="1:11" x14ac:dyDescent="0.35">
      <c r="A54" t="s">
        <v>258</v>
      </c>
      <c r="B54" t="s">
        <v>39</v>
      </c>
      <c r="C54" t="s">
        <v>39</v>
      </c>
      <c r="D54" t="s">
        <v>60</v>
      </c>
      <c r="E54" t="s">
        <v>86</v>
      </c>
      <c r="F54">
        <v>134.58000000000001</v>
      </c>
      <c r="G54">
        <v>134.58000000000001</v>
      </c>
      <c r="H54">
        <v>137.19999999999999</v>
      </c>
      <c r="I54" s="25" t="str">
        <f ca="1">_xll.SingleNameTicker.New(A54,B54,C54,D54,E54)</f>
        <v>OBJ_1348326274</v>
      </c>
      <c r="J54" s="25" t="str">
        <f ca="1">_xll.SingleNameSecurity.New(COB,F54,G54,H54,I54)</f>
        <v>OBJ_55622644</v>
      </c>
      <c r="K54" s="25" t="str">
        <f ca="1">_xll.DataQuoteSheet.AddQuote(K53,J54)</f>
        <v>OBJ_35340701</v>
      </c>
    </row>
    <row r="55" spans="1:11" x14ac:dyDescent="0.35">
      <c r="I55" s="25"/>
      <c r="J55" s="25"/>
      <c r="K55" s="25"/>
    </row>
    <row r="56" spans="1:11" x14ac:dyDescent="0.35">
      <c r="I56" s="25"/>
      <c r="J56" s="25"/>
      <c r="K56" s="25"/>
    </row>
    <row r="57" spans="1:11" x14ac:dyDescent="0.35">
      <c r="I57" s="25"/>
      <c r="J57" s="25"/>
      <c r="K57" s="25"/>
    </row>
    <row r="58" spans="1:11" x14ac:dyDescent="0.35">
      <c r="I58" s="25"/>
      <c r="J58" s="25"/>
      <c r="K58" s="25"/>
    </row>
    <row r="59" spans="1:11" x14ac:dyDescent="0.35">
      <c r="I59" s="25"/>
      <c r="J59" s="25"/>
      <c r="K59" s="25"/>
    </row>
    <row r="60" spans="1:11" x14ac:dyDescent="0.35">
      <c r="I60" s="25"/>
      <c r="J60" s="25"/>
      <c r="K60" s="25"/>
    </row>
    <row r="61" spans="1:11" x14ac:dyDescent="0.35">
      <c r="I61" s="25"/>
      <c r="J61" s="25"/>
      <c r="K61" s="25"/>
    </row>
    <row r="62" spans="1:11" x14ac:dyDescent="0.35">
      <c r="I62" s="25"/>
      <c r="J62" s="25"/>
      <c r="K62" s="25"/>
    </row>
    <row r="63" spans="1:11" x14ac:dyDescent="0.35">
      <c r="I63" s="25"/>
      <c r="J63" s="25"/>
      <c r="K63" s="25"/>
    </row>
    <row r="64" spans="1:11" x14ac:dyDescent="0.35">
      <c r="I64" s="25"/>
      <c r="J64" s="25"/>
      <c r="K64" s="25"/>
    </row>
    <row r="65" spans="9:11" x14ac:dyDescent="0.35">
      <c r="I65" s="25"/>
      <c r="J65" s="25"/>
      <c r="K65" s="25"/>
    </row>
    <row r="66" spans="9:11" x14ac:dyDescent="0.35">
      <c r="I66" s="25"/>
      <c r="J66" s="25"/>
      <c r="K66" s="25"/>
    </row>
    <row r="67" spans="9:11" x14ac:dyDescent="0.35">
      <c r="I67" s="25"/>
      <c r="J67" s="25"/>
      <c r="K67" s="25"/>
    </row>
    <row r="68" spans="9:11" x14ac:dyDescent="0.35">
      <c r="I68" s="25"/>
      <c r="J68" s="25"/>
      <c r="K68" s="25"/>
    </row>
    <row r="69" spans="9:11" x14ac:dyDescent="0.35">
      <c r="I69" s="25"/>
      <c r="J69" s="25"/>
      <c r="K69" s="25"/>
    </row>
    <row r="70" spans="9:11" x14ac:dyDescent="0.35">
      <c r="I70" s="25"/>
      <c r="J70" s="25"/>
      <c r="K70" s="25"/>
    </row>
    <row r="71" spans="9:11" x14ac:dyDescent="0.35">
      <c r="I71" s="25"/>
      <c r="J71" s="25"/>
      <c r="K71" s="25"/>
    </row>
    <row r="72" spans="9:11" x14ac:dyDescent="0.35">
      <c r="I72" s="25"/>
      <c r="J72" s="25"/>
      <c r="K72" s="25"/>
    </row>
    <row r="73" spans="9:11" x14ac:dyDescent="0.35">
      <c r="I73" s="25"/>
      <c r="J73" s="25"/>
      <c r="K73" s="25"/>
    </row>
    <row r="74" spans="9:11" x14ac:dyDescent="0.35">
      <c r="I74" s="25"/>
      <c r="J74" s="25"/>
      <c r="K74" s="25"/>
    </row>
    <row r="75" spans="9:11" x14ac:dyDescent="0.35">
      <c r="I75" s="25"/>
      <c r="J75" s="25"/>
      <c r="K75" s="25"/>
    </row>
    <row r="76" spans="9:11" x14ac:dyDescent="0.35">
      <c r="I76" s="25"/>
      <c r="J76" s="25"/>
      <c r="K76" s="25"/>
    </row>
    <row r="77" spans="9:11" x14ac:dyDescent="0.35">
      <c r="I77" s="25"/>
      <c r="J77" s="25"/>
      <c r="K77" s="25"/>
    </row>
    <row r="78" spans="9:11" x14ac:dyDescent="0.35">
      <c r="I78" s="25"/>
      <c r="J78" s="25"/>
      <c r="K78" s="25"/>
    </row>
    <row r="79" spans="9:11" x14ac:dyDescent="0.35">
      <c r="I79" s="25"/>
      <c r="J79" s="25"/>
      <c r="K79" s="25"/>
    </row>
    <row r="80" spans="9:11" x14ac:dyDescent="0.35">
      <c r="I80" s="25"/>
      <c r="J80" s="25"/>
      <c r="K80" s="25"/>
    </row>
    <row r="81" spans="9:11" x14ac:dyDescent="0.35">
      <c r="I81" s="25"/>
      <c r="J81" s="25"/>
      <c r="K81" s="25"/>
    </row>
    <row r="82" spans="9:11" x14ac:dyDescent="0.35">
      <c r="I82" s="25"/>
      <c r="J82" s="25"/>
      <c r="K82" s="25"/>
    </row>
    <row r="83" spans="9:11" x14ac:dyDescent="0.35">
      <c r="I83" s="25"/>
      <c r="J83" s="25"/>
      <c r="K83" s="25"/>
    </row>
    <row r="84" spans="9:11" x14ac:dyDescent="0.35">
      <c r="I84" s="25"/>
      <c r="J84" s="25"/>
      <c r="K84" s="25"/>
    </row>
    <row r="85" spans="9:11" x14ac:dyDescent="0.35">
      <c r="I85" s="25"/>
      <c r="J85" s="25"/>
      <c r="K85" s="25"/>
    </row>
    <row r="86" spans="9:11" x14ac:dyDescent="0.35">
      <c r="I86" s="25"/>
      <c r="J86" s="25"/>
      <c r="K86" s="25"/>
    </row>
    <row r="87" spans="9:11" x14ac:dyDescent="0.35">
      <c r="I87" s="25"/>
      <c r="J87" s="25"/>
      <c r="K87" s="25"/>
    </row>
    <row r="88" spans="9:11" x14ac:dyDescent="0.35">
      <c r="I88" s="25"/>
      <c r="J88" s="25"/>
      <c r="K88" s="25"/>
    </row>
    <row r="89" spans="9:11" x14ac:dyDescent="0.35">
      <c r="I89" s="25"/>
      <c r="J89" s="25"/>
      <c r="K89" s="25"/>
    </row>
    <row r="90" spans="9:11" x14ac:dyDescent="0.35">
      <c r="I90" s="25"/>
      <c r="J90" s="25"/>
      <c r="K90" s="25"/>
    </row>
    <row r="91" spans="9:11" x14ac:dyDescent="0.35">
      <c r="I91" s="25"/>
      <c r="J91" s="25"/>
      <c r="K91" s="25"/>
    </row>
    <row r="92" spans="9:11" x14ac:dyDescent="0.35">
      <c r="I92" s="25"/>
      <c r="J92" s="25"/>
      <c r="K92" s="25"/>
    </row>
    <row r="93" spans="9:11" x14ac:dyDescent="0.35">
      <c r="I93" s="25"/>
      <c r="J93" s="25"/>
      <c r="K93" s="25"/>
    </row>
    <row r="94" spans="9:11" x14ac:dyDescent="0.35">
      <c r="I94" s="25"/>
      <c r="J94" s="25"/>
      <c r="K94" s="25"/>
    </row>
    <row r="95" spans="9:11" x14ac:dyDescent="0.35">
      <c r="I95" s="25"/>
      <c r="J95" s="25"/>
      <c r="K95" s="25"/>
    </row>
    <row r="96" spans="9:11" x14ac:dyDescent="0.35">
      <c r="I96" s="25"/>
      <c r="J96" s="25"/>
      <c r="K96" s="25"/>
    </row>
    <row r="97" spans="9:11" x14ac:dyDescent="0.35">
      <c r="I97" s="25"/>
      <c r="J97" s="25"/>
      <c r="K97" s="25"/>
    </row>
    <row r="98" spans="9:11" x14ac:dyDescent="0.35">
      <c r="I98" s="25"/>
      <c r="J98" s="25"/>
      <c r="K98" s="25"/>
    </row>
    <row r="99" spans="9:11" x14ac:dyDescent="0.35">
      <c r="I99" s="25"/>
      <c r="J99" s="25"/>
      <c r="K99" s="25"/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B56"/>
  <sheetViews>
    <sheetView zoomScaleNormal="100" workbookViewId="0">
      <selection sqref="A1:XFD1048576"/>
    </sheetView>
  </sheetViews>
  <sheetFormatPr defaultRowHeight="14.5" x14ac:dyDescent="0.35"/>
  <cols>
    <col min="1" max="1" width="13.7265625" bestFit="1" customWidth="1"/>
    <col min="2" max="2" width="15.54296875" bestFit="1" customWidth="1"/>
  </cols>
  <sheetData>
    <row r="1" spans="1:2" ht="15" thickBot="1" x14ac:dyDescent="0.4">
      <c r="A1" s="1" t="s">
        <v>119</v>
      </c>
      <c r="B1" s="25" t="str">
        <f ca="1">B2</f>
        <v>OBJ_30841752</v>
      </c>
    </row>
    <row r="2" spans="1:2" ht="15" thickBot="1" x14ac:dyDescent="0.4">
      <c r="A2" s="25" t="str">
        <f ca="1">_xll.BasketSet.New()</f>
        <v>OBJ_30841752</v>
      </c>
      <c r="B2" s="25" t="str">
        <f ca="1">_xll.BasketSet.AddBasket(A2,B3)</f>
        <v>OBJ_30841752</v>
      </c>
    </row>
    <row r="3" spans="1:2" ht="15" thickBot="1" x14ac:dyDescent="0.4">
      <c r="A3" s="1" t="s">
        <v>113</v>
      </c>
      <c r="B3" s="25" t="str">
        <f ca="1">_xll.Baskets.GetBasket(B4,B5,[1]!ccol(A7),[1]!ccol(B7),SingleNameSheet)</f>
        <v>OBJ_-843401282</v>
      </c>
    </row>
    <row r="4" spans="1:2" ht="15" thickBot="1" x14ac:dyDescent="0.4">
      <c r="A4" s="1" t="s">
        <v>43</v>
      </c>
      <c r="B4" t="s">
        <v>44</v>
      </c>
    </row>
    <row r="5" spans="1:2" ht="15" thickBot="1" x14ac:dyDescent="0.4">
      <c r="A5" s="1" t="s">
        <v>30</v>
      </c>
      <c r="B5" t="s">
        <v>39</v>
      </c>
    </row>
    <row r="6" spans="1:2" ht="15" thickBot="1" x14ac:dyDescent="0.4">
      <c r="A6" s="1" t="s">
        <v>41</v>
      </c>
      <c r="B6" s="1" t="s">
        <v>42</v>
      </c>
    </row>
    <row r="7" spans="1:2" x14ac:dyDescent="0.35">
      <c r="A7" t="s">
        <v>208</v>
      </c>
      <c r="B7">
        <v>1.1814865906746093</v>
      </c>
    </row>
    <row r="8" spans="1:2" x14ac:dyDescent="0.35">
      <c r="A8" t="s">
        <v>209</v>
      </c>
      <c r="B8">
        <v>1.5413371696164011</v>
      </c>
    </row>
    <row r="9" spans="1:2" x14ac:dyDescent="0.35">
      <c r="A9" t="s">
        <v>210</v>
      </c>
      <c r="B9">
        <v>0.25793744675085789</v>
      </c>
    </row>
    <row r="10" spans="1:2" x14ac:dyDescent="0.35">
      <c r="A10" t="s">
        <v>211</v>
      </c>
      <c r="B10">
        <v>0.81213155335756393</v>
      </c>
    </row>
    <row r="11" spans="1:2" x14ac:dyDescent="0.35">
      <c r="A11" t="s">
        <v>212</v>
      </c>
      <c r="B11">
        <v>0.66289310411108748</v>
      </c>
    </row>
    <row r="12" spans="1:2" x14ac:dyDescent="0.35">
      <c r="A12" t="s">
        <v>213</v>
      </c>
      <c r="B12">
        <v>0.58416412608287371</v>
      </c>
    </row>
    <row r="13" spans="1:2" x14ac:dyDescent="0.35">
      <c r="A13" t="s">
        <v>214</v>
      </c>
      <c r="B13">
        <v>0.63083076646137792</v>
      </c>
    </row>
    <row r="14" spans="1:2" x14ac:dyDescent="0.35">
      <c r="A14" t="s">
        <v>215</v>
      </c>
      <c r="B14">
        <v>0.59604819352798477</v>
      </c>
    </row>
    <row r="15" spans="1:2" x14ac:dyDescent="0.35">
      <c r="A15" t="s">
        <v>216</v>
      </c>
      <c r="B15">
        <v>2.8966177832389071</v>
      </c>
    </row>
    <row r="16" spans="1:2" x14ac:dyDescent="0.35">
      <c r="A16" t="s">
        <v>217</v>
      </c>
      <c r="B16">
        <v>1.28613904771367</v>
      </c>
    </row>
    <row r="17" spans="1:2" x14ac:dyDescent="0.35">
      <c r="A17" t="s">
        <v>218</v>
      </c>
      <c r="B17">
        <v>1.375681310332558</v>
      </c>
    </row>
    <row r="18" spans="1:2" x14ac:dyDescent="0.35">
      <c r="A18" t="s">
        <v>219</v>
      </c>
      <c r="B18">
        <v>9.3369931739145606</v>
      </c>
    </row>
    <row r="19" spans="1:2" x14ac:dyDescent="0.35">
      <c r="A19" t="s">
        <v>220</v>
      </c>
      <c r="B19">
        <v>0.44871266639727647</v>
      </c>
    </row>
    <row r="20" spans="1:2" x14ac:dyDescent="0.35">
      <c r="A20" t="s">
        <v>221</v>
      </c>
      <c r="B20">
        <v>1.6148023705447985</v>
      </c>
    </row>
    <row r="21" spans="1:2" x14ac:dyDescent="0.35">
      <c r="A21" t="s">
        <v>222</v>
      </c>
      <c r="B21">
        <v>1.1197305604878378</v>
      </c>
    </row>
    <row r="22" spans="1:2" x14ac:dyDescent="0.35">
      <c r="A22" t="s">
        <v>223</v>
      </c>
      <c r="B22">
        <v>1.1755477787821393</v>
      </c>
    </row>
    <row r="23" spans="1:2" x14ac:dyDescent="0.35">
      <c r="A23" t="s">
        <v>224</v>
      </c>
      <c r="B23">
        <v>0.90860017377268831</v>
      </c>
    </row>
    <row r="24" spans="1:2" x14ac:dyDescent="0.35">
      <c r="A24" t="s">
        <v>225</v>
      </c>
      <c r="B24">
        <v>0.2660556207366932</v>
      </c>
    </row>
    <row r="25" spans="1:2" x14ac:dyDescent="0.35">
      <c r="A25" t="s">
        <v>226</v>
      </c>
      <c r="B25">
        <v>1.3760003521586412</v>
      </c>
    </row>
    <row r="26" spans="1:2" x14ac:dyDescent="0.35">
      <c r="A26" t="s">
        <v>227</v>
      </c>
      <c r="B26">
        <v>4.5405238528133927</v>
      </c>
    </row>
    <row r="27" spans="1:2" x14ac:dyDescent="0.35">
      <c r="A27" t="s">
        <v>228</v>
      </c>
      <c r="B27">
        <v>10.87797832077225</v>
      </c>
    </row>
    <row r="28" spans="1:2" x14ac:dyDescent="0.35">
      <c r="A28" t="s">
        <v>229</v>
      </c>
      <c r="B28">
        <v>2.6039614640104292</v>
      </c>
    </row>
    <row r="29" spans="1:2" x14ac:dyDescent="0.35">
      <c r="A29" t="s">
        <v>230</v>
      </c>
      <c r="B29">
        <v>3.5571574118836247</v>
      </c>
    </row>
    <row r="30" spans="1:2" x14ac:dyDescent="0.35">
      <c r="A30" t="s">
        <v>231</v>
      </c>
      <c r="B30">
        <v>0.41539365425529889</v>
      </c>
    </row>
    <row r="31" spans="1:2" x14ac:dyDescent="0.35">
      <c r="A31" t="s">
        <v>232</v>
      </c>
      <c r="B31">
        <v>0.57572742744821459</v>
      </c>
    </row>
    <row r="32" spans="1:2" x14ac:dyDescent="0.35">
      <c r="A32" t="s">
        <v>233</v>
      </c>
      <c r="B32">
        <v>8.2624541540655958</v>
      </c>
    </row>
    <row r="33" spans="1:2" x14ac:dyDescent="0.35">
      <c r="A33" t="s">
        <v>234</v>
      </c>
      <c r="B33">
        <v>5.4618543621950266</v>
      </c>
    </row>
    <row r="34" spans="1:2" x14ac:dyDescent="0.35">
      <c r="A34" t="s">
        <v>235</v>
      </c>
      <c r="B34">
        <v>22.853922778883099</v>
      </c>
    </row>
    <row r="35" spans="1:2" x14ac:dyDescent="0.35">
      <c r="A35" t="s">
        <v>236</v>
      </c>
      <c r="B35">
        <v>1.5562826959603129</v>
      </c>
    </row>
    <row r="36" spans="1:2" x14ac:dyDescent="0.35">
      <c r="A36" t="s">
        <v>237</v>
      </c>
      <c r="B36">
        <v>0.77297960344236094</v>
      </c>
    </row>
    <row r="37" spans="1:2" x14ac:dyDescent="0.35">
      <c r="A37" t="s">
        <v>238</v>
      </c>
      <c r="B37">
        <v>0.37205061597827443</v>
      </c>
    </row>
    <row r="38" spans="1:2" x14ac:dyDescent="0.35">
      <c r="A38" t="s">
        <v>239</v>
      </c>
      <c r="B38">
        <v>0.19617951606185344</v>
      </c>
    </row>
    <row r="39" spans="1:2" x14ac:dyDescent="0.35">
      <c r="A39" t="s">
        <v>240</v>
      </c>
      <c r="B39">
        <v>7.9170957453018067</v>
      </c>
    </row>
    <row r="40" spans="1:2" x14ac:dyDescent="0.35">
      <c r="A40" t="s">
        <v>241</v>
      </c>
      <c r="B40">
        <v>2.7724117688226522</v>
      </c>
    </row>
    <row r="41" spans="1:2" x14ac:dyDescent="0.35">
      <c r="A41" t="s">
        <v>242</v>
      </c>
      <c r="B41">
        <v>0.34122010152029952</v>
      </c>
    </row>
    <row r="42" spans="1:2" x14ac:dyDescent="0.35">
      <c r="A42" t="s">
        <v>243</v>
      </c>
      <c r="B42">
        <v>1.2819871195248491</v>
      </c>
    </row>
    <row r="43" spans="1:2" x14ac:dyDescent="0.35">
      <c r="A43" t="s">
        <v>244</v>
      </c>
      <c r="B43">
        <v>0.10438157896611761</v>
      </c>
    </row>
    <row r="44" spans="1:2" x14ac:dyDescent="0.35">
      <c r="A44" t="s">
        <v>245</v>
      </c>
      <c r="B44">
        <v>0.49790463645286204</v>
      </c>
    </row>
    <row r="45" spans="1:2" x14ac:dyDescent="0.35">
      <c r="A45" t="s">
        <v>246</v>
      </c>
      <c r="B45">
        <v>23.270225213618438</v>
      </c>
    </row>
    <row r="46" spans="1:2" x14ac:dyDescent="0.35">
      <c r="A46" t="s">
        <v>247</v>
      </c>
      <c r="B46">
        <v>1.5322405325219193</v>
      </c>
    </row>
    <row r="47" spans="1:2" x14ac:dyDescent="0.35">
      <c r="A47" t="s">
        <v>248</v>
      </c>
      <c r="B47">
        <v>1.5933947801041055</v>
      </c>
    </row>
    <row r="48" spans="1:2" x14ac:dyDescent="0.35">
      <c r="A48" t="s">
        <v>249</v>
      </c>
      <c r="B48">
        <v>0.77150978802021219</v>
      </c>
    </row>
    <row r="49" spans="1:2" x14ac:dyDescent="0.35">
      <c r="A49" t="s">
        <v>250</v>
      </c>
      <c r="B49">
        <v>0.77841861593810846</v>
      </c>
    </row>
    <row r="50" spans="1:2" x14ac:dyDescent="0.35">
      <c r="A50" t="s">
        <v>251</v>
      </c>
      <c r="B50">
        <v>1.0478950695899842</v>
      </c>
    </row>
    <row r="51" spans="1:2" x14ac:dyDescent="0.35">
      <c r="A51" t="s">
        <v>252</v>
      </c>
      <c r="B51">
        <v>1.1949699081851015</v>
      </c>
    </row>
    <row r="52" spans="1:2" x14ac:dyDescent="0.35">
      <c r="A52" t="s">
        <v>253</v>
      </c>
      <c r="B52">
        <v>6.5296399197020047</v>
      </c>
    </row>
    <row r="53" spans="1:2" x14ac:dyDescent="0.35">
      <c r="A53" t="s">
        <v>254</v>
      </c>
      <c r="B53">
        <v>3.6434216176644396</v>
      </c>
    </row>
    <row r="54" spans="1:2" x14ac:dyDescent="0.35">
      <c r="A54" t="s">
        <v>255</v>
      </c>
      <c r="B54">
        <v>1.9208617506217873</v>
      </c>
    </row>
    <row r="55" spans="1:2" x14ac:dyDescent="0.35">
      <c r="A55" t="s">
        <v>256</v>
      </c>
      <c r="B55">
        <v>1.2113472459612293</v>
      </c>
    </row>
    <row r="56" spans="1:2" x14ac:dyDescent="0.35">
      <c r="A56" t="s">
        <v>258</v>
      </c>
      <c r="B56">
        <v>0.25635046350697932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W194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3.7265625" bestFit="1" customWidth="1"/>
    <col min="3" max="3" width="12.453125" bestFit="1" customWidth="1"/>
    <col min="4" max="4" width="11.1796875" customWidth="1"/>
    <col min="11" max="11" width="2.26953125" customWidth="1"/>
    <col min="13" max="13" width="13.7265625" bestFit="1" customWidth="1"/>
  </cols>
  <sheetData>
    <row r="1" spans="1:23" ht="15" thickBot="1" x14ac:dyDescent="0.4">
      <c r="A1" s="1" t="s">
        <v>117</v>
      </c>
      <c r="B1" s="25" t="str">
        <f ca="1">_xll.DataSheets.DividendEstimateSheet(COB,[1]!ccol(A3),[1]!ccol(B3),[1]!ccol(C3),[1]!ccol(D3),[1]!ccol(E3),[1]!ccol(F3),[1]!ccol(G3),[1]!ccol(H3), [1]!ccol(I3),[1]!ccol(J3),SingleNameSheet)</f>
        <v>OBJ_56891828</v>
      </c>
      <c r="L1" s="14" t="s">
        <v>118</v>
      </c>
      <c r="M1" s="25" t="str">
        <f ca="1">_xll.DataSheets.DividendRoughSheet(COB,[1]!ccol(L3),[1]!ccol(M3),[1]!ccol(N3),[1]!ccol(O3),[1]!ccol(P3),[1]!ccol(Q3),[1]!ccol(R3),[1]!ccol(S3),[1]!ccol(T3),BasketSet)</f>
        <v>OBJ_13295215</v>
      </c>
    </row>
    <row r="2" spans="1:23" ht="15" thickBot="1" x14ac:dyDescent="0.4">
      <c r="A2" s="1" t="s">
        <v>43</v>
      </c>
      <c r="B2" s="1" t="s">
        <v>115</v>
      </c>
      <c r="C2" s="1" t="s">
        <v>116</v>
      </c>
      <c r="D2" s="1" t="s">
        <v>30</v>
      </c>
      <c r="E2" s="1" t="s">
        <v>47</v>
      </c>
      <c r="F2" s="1" t="s">
        <v>48</v>
      </c>
      <c r="G2" s="1" t="s">
        <v>49</v>
      </c>
      <c r="H2" s="1" t="s">
        <v>120</v>
      </c>
      <c r="I2" s="1" t="s">
        <v>121</v>
      </c>
      <c r="J2" s="1" t="s">
        <v>122</v>
      </c>
      <c r="L2" s="14" t="s">
        <v>43</v>
      </c>
      <c r="M2" s="14" t="s">
        <v>115</v>
      </c>
      <c r="N2" s="14" t="s">
        <v>30</v>
      </c>
      <c r="O2" s="1" t="s">
        <v>47</v>
      </c>
      <c r="P2" s="1" t="s">
        <v>48</v>
      </c>
      <c r="Q2" s="1" t="s">
        <v>49</v>
      </c>
      <c r="R2" s="1" t="s">
        <v>120</v>
      </c>
      <c r="S2" s="1" t="s">
        <v>121</v>
      </c>
      <c r="T2" s="1" t="s">
        <v>122</v>
      </c>
    </row>
    <row r="3" spans="1:23" x14ac:dyDescent="0.35">
      <c r="A3" t="s">
        <v>238</v>
      </c>
      <c r="B3" s="13">
        <v>44019</v>
      </c>
      <c r="C3" s="13">
        <v>44021</v>
      </c>
      <c r="D3" s="13" t="s">
        <v>39</v>
      </c>
      <c r="E3">
        <v>2.6</v>
      </c>
      <c r="F3">
        <v>2.6</v>
      </c>
      <c r="G3">
        <v>2.6</v>
      </c>
      <c r="H3">
        <v>0.84499999999999997</v>
      </c>
      <c r="I3">
        <v>0.84499999999999997</v>
      </c>
      <c r="J3">
        <v>0.84499999999999997</v>
      </c>
      <c r="L3" t="s">
        <v>44</v>
      </c>
      <c r="M3" s="12">
        <v>44540</v>
      </c>
      <c r="N3" t="s">
        <v>39</v>
      </c>
      <c r="O3">
        <v>81.900000000000006</v>
      </c>
      <c r="P3">
        <v>82</v>
      </c>
      <c r="Q3">
        <v>81.95</v>
      </c>
      <c r="R3">
        <v>0.88</v>
      </c>
      <c r="S3">
        <v>0.89</v>
      </c>
      <c r="T3">
        <v>0.88500000000000001</v>
      </c>
      <c r="V3">
        <v>81.95</v>
      </c>
      <c r="W3">
        <f ca="1">Q3-V3</f>
        <v>0</v>
      </c>
    </row>
    <row r="4" spans="1:23" x14ac:dyDescent="0.35">
      <c r="A4" t="s">
        <v>216</v>
      </c>
      <c r="B4" s="12">
        <v>44019</v>
      </c>
      <c r="C4" s="12">
        <v>44021</v>
      </c>
      <c r="D4" s="13" t="s">
        <v>39</v>
      </c>
      <c r="E4">
        <v>0.73</v>
      </c>
      <c r="F4">
        <v>0.73</v>
      </c>
      <c r="G4">
        <v>0.73</v>
      </c>
      <c r="H4">
        <v>0.90500000000000003</v>
      </c>
      <c r="I4">
        <v>0.90500000000000003</v>
      </c>
      <c r="J4">
        <v>0.90500000000000003</v>
      </c>
      <c r="L4" t="s">
        <v>44</v>
      </c>
      <c r="M4" s="12">
        <v>44905</v>
      </c>
      <c r="N4" t="s">
        <v>39</v>
      </c>
      <c r="O4">
        <v>90.8</v>
      </c>
      <c r="P4">
        <v>91.2</v>
      </c>
      <c r="Q4">
        <v>91</v>
      </c>
      <c r="R4">
        <v>0.88</v>
      </c>
      <c r="S4">
        <v>0.89</v>
      </c>
      <c r="T4">
        <v>0.88500000000000001</v>
      </c>
      <c r="V4">
        <v>91</v>
      </c>
      <c r="W4">
        <f t="shared" ref="W4:W10" ca="1" si="0">Q4-V4</f>
        <v>0</v>
      </c>
    </row>
    <row r="5" spans="1:23" x14ac:dyDescent="0.35">
      <c r="A5" t="s">
        <v>233</v>
      </c>
      <c r="B5" s="13">
        <v>44020</v>
      </c>
      <c r="C5" s="13">
        <v>44047</v>
      </c>
      <c r="D5" s="13" t="s">
        <v>39</v>
      </c>
      <c r="E5">
        <v>0.23200000000000001</v>
      </c>
      <c r="F5">
        <v>0.23200000000000001</v>
      </c>
      <c r="G5">
        <v>0.23200000000000001</v>
      </c>
      <c r="H5">
        <v>1</v>
      </c>
      <c r="I5">
        <v>1</v>
      </c>
      <c r="J5">
        <v>1</v>
      </c>
      <c r="L5" t="s">
        <v>44</v>
      </c>
      <c r="M5" s="12">
        <v>45270</v>
      </c>
      <c r="N5" t="s">
        <v>39</v>
      </c>
      <c r="O5">
        <v>92.1</v>
      </c>
      <c r="P5">
        <v>92.2</v>
      </c>
      <c r="Q5">
        <v>92.15</v>
      </c>
      <c r="R5">
        <v>0.88</v>
      </c>
      <c r="S5">
        <v>0.89</v>
      </c>
      <c r="T5">
        <v>0.88500000000000001</v>
      </c>
      <c r="V5">
        <v>92.15</v>
      </c>
      <c r="W5">
        <f t="shared" ca="1" si="0"/>
        <v>0</v>
      </c>
    </row>
    <row r="6" spans="1:23" x14ac:dyDescent="0.35">
      <c r="A6" t="s">
        <v>223</v>
      </c>
      <c r="B6" s="12">
        <v>44021</v>
      </c>
      <c r="C6" s="12">
        <v>44025</v>
      </c>
      <c r="D6" s="13" t="s">
        <v>39</v>
      </c>
      <c r="E6">
        <v>0.9</v>
      </c>
      <c r="F6">
        <v>0.9</v>
      </c>
      <c r="G6">
        <v>0.9</v>
      </c>
      <c r="H6">
        <v>0.875</v>
      </c>
      <c r="I6">
        <v>0.875</v>
      </c>
      <c r="J6">
        <v>0.875</v>
      </c>
      <c r="L6" t="s">
        <v>44</v>
      </c>
      <c r="M6" s="12">
        <v>45636</v>
      </c>
      <c r="N6" t="s">
        <v>39</v>
      </c>
      <c r="O6">
        <v>90</v>
      </c>
      <c r="P6">
        <v>90.2</v>
      </c>
      <c r="Q6">
        <v>90.1</v>
      </c>
      <c r="R6">
        <v>0.88</v>
      </c>
      <c r="S6">
        <v>0.89</v>
      </c>
      <c r="T6">
        <v>0.88500000000000001</v>
      </c>
      <c r="V6">
        <v>90.1</v>
      </c>
      <c r="W6">
        <f t="shared" ca="1" si="0"/>
        <v>0</v>
      </c>
    </row>
    <row r="7" spans="1:23" x14ac:dyDescent="0.35">
      <c r="A7" t="s">
        <v>224</v>
      </c>
      <c r="B7" s="13">
        <v>44026</v>
      </c>
      <c r="C7" s="13">
        <v>44028</v>
      </c>
      <c r="D7" s="13" t="s">
        <v>39</v>
      </c>
      <c r="E7">
        <v>2.1</v>
      </c>
      <c r="F7">
        <v>2.1</v>
      </c>
      <c r="G7">
        <v>2.1</v>
      </c>
      <c r="H7">
        <v>0.89</v>
      </c>
      <c r="I7">
        <v>0.89</v>
      </c>
      <c r="J7">
        <v>0.89</v>
      </c>
      <c r="L7" t="s">
        <v>44</v>
      </c>
      <c r="M7" s="12">
        <v>46001</v>
      </c>
      <c r="N7" t="s">
        <v>39</v>
      </c>
      <c r="O7">
        <v>88.5</v>
      </c>
      <c r="P7">
        <v>88.9</v>
      </c>
      <c r="Q7">
        <v>88.7</v>
      </c>
      <c r="R7">
        <v>0.88</v>
      </c>
      <c r="S7">
        <v>0.89</v>
      </c>
      <c r="T7">
        <v>0.88500000000000001</v>
      </c>
      <c r="V7">
        <v>88.7</v>
      </c>
      <c r="W7">
        <f t="shared" ca="1" si="0"/>
        <v>0</v>
      </c>
    </row>
    <row r="8" spans="1:23" x14ac:dyDescent="0.35">
      <c r="A8" t="s">
        <v>228</v>
      </c>
      <c r="B8" s="12">
        <v>44032</v>
      </c>
      <c r="C8" s="12">
        <v>44034</v>
      </c>
      <c r="D8" s="13" t="s">
        <v>39</v>
      </c>
      <c r="E8">
        <v>0.16800000000000001</v>
      </c>
      <c r="F8">
        <v>0.16800000000000001</v>
      </c>
      <c r="G8">
        <v>0.16800000000000001</v>
      </c>
      <c r="H8">
        <v>0.83750000000000002</v>
      </c>
      <c r="I8">
        <v>0.83750000000000002</v>
      </c>
      <c r="J8">
        <v>0.83750000000000002</v>
      </c>
      <c r="L8" t="s">
        <v>44</v>
      </c>
      <c r="M8" s="12">
        <v>46366</v>
      </c>
      <c r="N8" t="s">
        <v>39</v>
      </c>
      <c r="O8">
        <v>87</v>
      </c>
      <c r="P8">
        <v>87.6</v>
      </c>
      <c r="Q8">
        <v>87.3</v>
      </c>
      <c r="R8">
        <v>0.88</v>
      </c>
      <c r="S8">
        <v>0.89</v>
      </c>
      <c r="T8">
        <v>0.88500000000000001</v>
      </c>
      <c r="V8">
        <v>87.3</v>
      </c>
      <c r="W8">
        <f t="shared" ca="1" si="0"/>
        <v>0</v>
      </c>
    </row>
    <row r="9" spans="1:23" x14ac:dyDescent="0.35">
      <c r="A9" t="s">
        <v>258</v>
      </c>
      <c r="B9" s="13">
        <v>44043</v>
      </c>
      <c r="C9" s="13">
        <v>44045</v>
      </c>
      <c r="D9" s="13" t="s">
        <v>39</v>
      </c>
      <c r="E9">
        <v>4.8600000000000003</v>
      </c>
      <c r="F9">
        <v>4.8600000000000003</v>
      </c>
      <c r="G9">
        <v>4.8600000000000003</v>
      </c>
      <c r="H9">
        <v>0.86</v>
      </c>
      <c r="I9">
        <v>0.86</v>
      </c>
      <c r="J9">
        <v>0.86</v>
      </c>
      <c r="L9" t="s">
        <v>44</v>
      </c>
      <c r="M9" s="12">
        <v>46731</v>
      </c>
      <c r="N9" t="s">
        <v>39</v>
      </c>
      <c r="O9">
        <v>85.1</v>
      </c>
      <c r="P9">
        <v>85.7</v>
      </c>
      <c r="Q9">
        <v>85.4</v>
      </c>
      <c r="R9">
        <v>0.88</v>
      </c>
      <c r="S9">
        <v>0.89</v>
      </c>
      <c r="T9">
        <v>0.88500000000000001</v>
      </c>
      <c r="V9">
        <v>85.4</v>
      </c>
      <c r="W9">
        <f t="shared" ca="1" si="0"/>
        <v>0</v>
      </c>
    </row>
    <row r="10" spans="1:23" x14ac:dyDescent="0.35">
      <c r="A10" t="s">
        <v>232</v>
      </c>
      <c r="B10" s="12">
        <v>44046</v>
      </c>
      <c r="C10" s="12">
        <v>44048</v>
      </c>
      <c r="D10" s="13" t="s">
        <v>39</v>
      </c>
      <c r="E10">
        <v>0.84</v>
      </c>
      <c r="F10">
        <v>0.84</v>
      </c>
      <c r="G10">
        <v>0.84</v>
      </c>
      <c r="H10">
        <v>0.86</v>
      </c>
      <c r="I10">
        <v>0.86</v>
      </c>
      <c r="J10">
        <v>0.86</v>
      </c>
      <c r="L10" t="s">
        <v>44</v>
      </c>
      <c r="M10" s="12">
        <v>47097</v>
      </c>
      <c r="N10" t="s">
        <v>39</v>
      </c>
      <c r="O10">
        <v>83.3</v>
      </c>
      <c r="P10">
        <v>84.1</v>
      </c>
      <c r="Q10">
        <v>83.699999999999989</v>
      </c>
      <c r="R10">
        <v>0.88</v>
      </c>
      <c r="S10">
        <v>0.89</v>
      </c>
      <c r="T10">
        <v>0.88500000000000001</v>
      </c>
      <c r="V10">
        <v>83.699999999999989</v>
      </c>
      <c r="W10">
        <f t="shared" ca="1" si="0"/>
        <v>0</v>
      </c>
    </row>
    <row r="11" spans="1:23" x14ac:dyDescent="0.35">
      <c r="A11" t="s">
        <v>226</v>
      </c>
      <c r="B11" s="13">
        <v>44049</v>
      </c>
      <c r="C11" s="13">
        <v>44053</v>
      </c>
      <c r="D11" s="13" t="s">
        <v>39</v>
      </c>
      <c r="E11">
        <v>1.25</v>
      </c>
      <c r="F11">
        <v>1.25</v>
      </c>
      <c r="G11">
        <v>1.25</v>
      </c>
      <c r="H11">
        <v>1</v>
      </c>
      <c r="I11">
        <v>1</v>
      </c>
      <c r="J11">
        <v>1</v>
      </c>
      <c r="M11" s="12"/>
    </row>
    <row r="12" spans="1:23" x14ac:dyDescent="0.35">
      <c r="A12" t="s">
        <v>255</v>
      </c>
      <c r="B12" s="12">
        <v>44049</v>
      </c>
      <c r="C12" s="12">
        <v>44083</v>
      </c>
      <c r="D12" s="13" t="s">
        <v>39</v>
      </c>
      <c r="E12">
        <v>0.41039999999999999</v>
      </c>
      <c r="F12">
        <v>0.41039999999999999</v>
      </c>
      <c r="G12">
        <v>0.41039999999999999</v>
      </c>
      <c r="H12">
        <v>0.88</v>
      </c>
      <c r="I12">
        <v>0.88</v>
      </c>
      <c r="J12">
        <v>0.88</v>
      </c>
      <c r="M12" s="12"/>
    </row>
    <row r="13" spans="1:23" x14ac:dyDescent="0.35">
      <c r="A13" t="s">
        <v>209</v>
      </c>
      <c r="B13" s="13">
        <v>44050</v>
      </c>
      <c r="C13" s="13">
        <v>44070</v>
      </c>
      <c r="D13" s="13" t="s">
        <v>39</v>
      </c>
      <c r="E13">
        <v>0.3</v>
      </c>
      <c r="F13">
        <v>0.3</v>
      </c>
      <c r="G13">
        <v>0.3</v>
      </c>
      <c r="H13">
        <v>0.88</v>
      </c>
      <c r="I13">
        <v>0.88</v>
      </c>
      <c r="J13">
        <v>0.88</v>
      </c>
    </row>
    <row r="14" spans="1:23" x14ac:dyDescent="0.35">
      <c r="A14" t="s">
        <v>237</v>
      </c>
      <c r="B14" s="12">
        <v>44074</v>
      </c>
      <c r="C14" s="12">
        <v>44092</v>
      </c>
      <c r="D14" s="13" t="s">
        <v>31</v>
      </c>
      <c r="E14">
        <v>0.96299999999999997</v>
      </c>
      <c r="F14">
        <v>0.96299999999999997</v>
      </c>
      <c r="G14">
        <v>0.96299999999999997</v>
      </c>
      <c r="H14">
        <v>0.86</v>
      </c>
      <c r="I14">
        <v>0.86</v>
      </c>
      <c r="J14">
        <v>0.86</v>
      </c>
    </row>
    <row r="15" spans="1:23" x14ac:dyDescent="0.35">
      <c r="A15" t="s">
        <v>230</v>
      </c>
      <c r="B15" s="13">
        <v>44095</v>
      </c>
      <c r="C15" s="13">
        <v>44097</v>
      </c>
      <c r="D15" s="13" t="s">
        <v>39</v>
      </c>
      <c r="E15">
        <v>0.43</v>
      </c>
      <c r="F15">
        <v>0.43</v>
      </c>
      <c r="G15">
        <v>0.43</v>
      </c>
      <c r="H15">
        <v>0.86250000000000004</v>
      </c>
      <c r="I15">
        <v>0.86250000000000004</v>
      </c>
      <c r="J15">
        <v>0.86250000000000004</v>
      </c>
    </row>
    <row r="16" spans="1:23" x14ac:dyDescent="0.35">
      <c r="A16" t="s">
        <v>254</v>
      </c>
      <c r="B16" s="12">
        <v>44099</v>
      </c>
      <c r="C16" s="12">
        <v>44103</v>
      </c>
      <c r="D16" s="13" t="s">
        <v>31</v>
      </c>
      <c r="E16">
        <v>0.74878197908401489</v>
      </c>
      <c r="F16">
        <v>0.74878197908401489</v>
      </c>
      <c r="G16">
        <v>0.74878197908401489</v>
      </c>
      <c r="H16">
        <v>0.875</v>
      </c>
      <c r="I16">
        <v>0.875</v>
      </c>
      <c r="J16">
        <v>0.875</v>
      </c>
    </row>
    <row r="17" spans="1:10" x14ac:dyDescent="0.35">
      <c r="A17" t="s">
        <v>250</v>
      </c>
      <c r="B17" s="13">
        <v>44138</v>
      </c>
      <c r="C17" s="13">
        <v>44140</v>
      </c>
      <c r="D17" s="13" t="s">
        <v>39</v>
      </c>
      <c r="E17">
        <v>0.57999999999999996</v>
      </c>
      <c r="F17">
        <v>0.57999999999999996</v>
      </c>
      <c r="G17">
        <v>0.57999999999999996</v>
      </c>
      <c r="H17">
        <v>0.88</v>
      </c>
      <c r="I17">
        <v>0.88</v>
      </c>
      <c r="J17">
        <v>0.88</v>
      </c>
    </row>
    <row r="18" spans="1:10" x14ac:dyDescent="0.35">
      <c r="A18" t="s">
        <v>215</v>
      </c>
      <c r="B18" s="12">
        <v>44139</v>
      </c>
      <c r="C18" s="12">
        <v>44152</v>
      </c>
      <c r="D18" s="13" t="s">
        <v>39</v>
      </c>
      <c r="E18">
        <v>1.23</v>
      </c>
      <c r="F18">
        <v>1.23</v>
      </c>
      <c r="G18">
        <v>1.23</v>
      </c>
      <c r="H18">
        <v>0.875</v>
      </c>
      <c r="I18">
        <v>0.875</v>
      </c>
      <c r="J18">
        <v>0.875</v>
      </c>
    </row>
    <row r="19" spans="1:10" x14ac:dyDescent="0.35">
      <c r="A19" t="s">
        <v>255</v>
      </c>
      <c r="B19" s="13">
        <v>44140</v>
      </c>
      <c r="C19" s="13">
        <v>44167</v>
      </c>
      <c r="D19" s="13" t="s">
        <v>39</v>
      </c>
      <c r="E19">
        <v>0.41039999999999999</v>
      </c>
      <c r="F19">
        <v>0.41039999999999999</v>
      </c>
      <c r="G19">
        <v>0.41039999999999999</v>
      </c>
      <c r="H19">
        <v>0.88</v>
      </c>
      <c r="I19">
        <v>0.88</v>
      </c>
      <c r="J19">
        <v>0.88</v>
      </c>
    </row>
    <row r="20" spans="1:10" x14ac:dyDescent="0.35">
      <c r="A20" t="s">
        <v>208</v>
      </c>
      <c r="B20" s="12">
        <v>44152</v>
      </c>
      <c r="C20" s="12">
        <v>44154</v>
      </c>
      <c r="D20" s="13" t="s">
        <v>39</v>
      </c>
      <c r="E20">
        <v>0.4</v>
      </c>
      <c r="F20">
        <v>0.4</v>
      </c>
      <c r="G20">
        <v>0.4</v>
      </c>
      <c r="H20">
        <v>0.86250000000000004</v>
      </c>
      <c r="I20">
        <v>0.86250000000000004</v>
      </c>
      <c r="J20">
        <v>0.86250000000000004</v>
      </c>
    </row>
    <row r="21" spans="1:10" x14ac:dyDescent="0.35">
      <c r="A21" t="s">
        <v>238</v>
      </c>
      <c r="B21" s="13">
        <v>44166</v>
      </c>
      <c r="C21" s="13">
        <v>44168</v>
      </c>
      <c r="D21" s="13" t="s">
        <v>39</v>
      </c>
      <c r="E21">
        <v>1.1000000000000001</v>
      </c>
      <c r="F21">
        <v>1.1000000000000001</v>
      </c>
      <c r="G21">
        <v>1.1000000000000001</v>
      </c>
      <c r="H21">
        <v>0.84499999999999997</v>
      </c>
      <c r="I21">
        <v>0.84499999999999997</v>
      </c>
      <c r="J21">
        <v>0.84499999999999997</v>
      </c>
    </row>
    <row r="22" spans="1:10" x14ac:dyDescent="0.35">
      <c r="A22" t="s">
        <v>241</v>
      </c>
      <c r="B22" s="12">
        <v>44167</v>
      </c>
      <c r="C22" s="12">
        <v>44169</v>
      </c>
      <c r="D22" s="13" t="s">
        <v>39</v>
      </c>
      <c r="E22">
        <v>0.3</v>
      </c>
      <c r="F22">
        <v>0.3</v>
      </c>
      <c r="G22">
        <v>0.3</v>
      </c>
      <c r="H22">
        <v>0.87749999999999995</v>
      </c>
      <c r="I22">
        <v>0.87749999999999995</v>
      </c>
      <c r="J22">
        <v>0.87749999999999995</v>
      </c>
    </row>
    <row r="23" spans="1:10" x14ac:dyDescent="0.35">
      <c r="A23" t="s">
        <v>237</v>
      </c>
      <c r="B23" s="13">
        <v>44172</v>
      </c>
      <c r="C23" s="13">
        <v>44187</v>
      </c>
      <c r="D23" s="13" t="s">
        <v>31</v>
      </c>
      <c r="E23">
        <v>0.96299999999999997</v>
      </c>
      <c r="F23">
        <v>0.96299999999999997</v>
      </c>
      <c r="G23">
        <v>0.96299999999999997</v>
      </c>
      <c r="H23">
        <v>0.86</v>
      </c>
      <c r="I23">
        <v>0.86</v>
      </c>
      <c r="J23">
        <v>0.86</v>
      </c>
    </row>
    <row r="24" spans="1:10" x14ac:dyDescent="0.35">
      <c r="A24" t="s">
        <v>253</v>
      </c>
      <c r="B24" s="12">
        <v>44180</v>
      </c>
      <c r="C24" s="12">
        <v>44182</v>
      </c>
      <c r="D24" s="13" t="s">
        <v>39</v>
      </c>
      <c r="E24">
        <v>0.2</v>
      </c>
      <c r="F24">
        <v>0.2</v>
      </c>
      <c r="G24">
        <v>0.2</v>
      </c>
      <c r="H24">
        <v>0.86750000000000005</v>
      </c>
      <c r="I24">
        <v>0.86750000000000005</v>
      </c>
      <c r="J24">
        <v>0.86750000000000005</v>
      </c>
    </row>
    <row r="25" spans="1:10" x14ac:dyDescent="0.35">
      <c r="B25" s="13"/>
      <c r="C25" s="13"/>
      <c r="D25" s="13"/>
    </row>
    <row r="26" spans="1:10" x14ac:dyDescent="0.35">
      <c r="B26" s="12"/>
      <c r="C26" s="12"/>
      <c r="D26" s="13"/>
    </row>
    <row r="27" spans="1:10" x14ac:dyDescent="0.35">
      <c r="B27" s="13"/>
      <c r="C27" s="13"/>
      <c r="D27" s="13"/>
    </row>
    <row r="28" spans="1:10" x14ac:dyDescent="0.35">
      <c r="B28" s="12"/>
      <c r="C28" s="12"/>
      <c r="D28" s="13"/>
    </row>
    <row r="29" spans="1:10" x14ac:dyDescent="0.35">
      <c r="B29" s="13"/>
      <c r="C29" s="13"/>
      <c r="D29" s="13"/>
    </row>
    <row r="30" spans="1:10" x14ac:dyDescent="0.35">
      <c r="B30" s="12"/>
      <c r="C30" s="12"/>
      <c r="D30" s="13"/>
    </row>
    <row r="31" spans="1:10" x14ac:dyDescent="0.35">
      <c r="B31" s="13"/>
      <c r="C31" s="13"/>
      <c r="D31" s="13"/>
    </row>
    <row r="32" spans="1:10" x14ac:dyDescent="0.35">
      <c r="B32" s="12"/>
      <c r="C32" s="12"/>
      <c r="D32" s="13"/>
    </row>
    <row r="33" spans="2:4" x14ac:dyDescent="0.35">
      <c r="B33" s="13"/>
      <c r="C33" s="13"/>
      <c r="D33" s="13"/>
    </row>
    <row r="34" spans="2:4" x14ac:dyDescent="0.35">
      <c r="B34" s="12"/>
      <c r="C34" s="12"/>
      <c r="D34" s="13"/>
    </row>
    <row r="35" spans="2:4" x14ac:dyDescent="0.35">
      <c r="B35" s="13"/>
      <c r="C35" s="13"/>
      <c r="D35" s="13"/>
    </row>
    <row r="36" spans="2:4" x14ac:dyDescent="0.35">
      <c r="B36" s="12"/>
      <c r="C36" s="12"/>
      <c r="D36" s="13"/>
    </row>
    <row r="37" spans="2:4" x14ac:dyDescent="0.35">
      <c r="B37" s="13"/>
      <c r="C37" s="13"/>
      <c r="D37" s="13"/>
    </row>
    <row r="38" spans="2:4" x14ac:dyDescent="0.35">
      <c r="B38" s="12"/>
      <c r="C38" s="12"/>
      <c r="D38" s="13"/>
    </row>
    <row r="39" spans="2:4" x14ac:dyDescent="0.35">
      <c r="B39" s="13"/>
      <c r="C39" s="13"/>
      <c r="D39" s="13"/>
    </row>
    <row r="40" spans="2:4" x14ac:dyDescent="0.35">
      <c r="B40" s="12"/>
      <c r="C40" s="12"/>
      <c r="D40" s="13"/>
    </row>
    <row r="41" spans="2:4" x14ac:dyDescent="0.35">
      <c r="B41" s="13"/>
      <c r="C41" s="13"/>
      <c r="D41" s="13"/>
    </row>
    <row r="42" spans="2:4" x14ac:dyDescent="0.35">
      <c r="B42" s="12"/>
      <c r="C42" s="12"/>
      <c r="D42" s="13"/>
    </row>
    <row r="43" spans="2:4" x14ac:dyDescent="0.35">
      <c r="B43" s="13"/>
      <c r="C43" s="13"/>
      <c r="D43" s="13"/>
    </row>
    <row r="44" spans="2:4" x14ac:dyDescent="0.35">
      <c r="B44" s="12"/>
      <c r="C44" s="12"/>
      <c r="D44" s="13"/>
    </row>
    <row r="45" spans="2:4" x14ac:dyDescent="0.35">
      <c r="B45" s="13"/>
      <c r="C45" s="13"/>
      <c r="D45" s="13"/>
    </row>
    <row r="46" spans="2:4" x14ac:dyDescent="0.35">
      <c r="B46" s="12"/>
      <c r="C46" s="12"/>
      <c r="D46" s="13"/>
    </row>
    <row r="47" spans="2:4" x14ac:dyDescent="0.35">
      <c r="B47" s="13"/>
      <c r="C47" s="13"/>
      <c r="D47" s="13"/>
    </row>
    <row r="48" spans="2:4" x14ac:dyDescent="0.35">
      <c r="B48" s="12"/>
      <c r="C48" s="12"/>
      <c r="D48" s="13"/>
    </row>
    <row r="49" spans="2:4" x14ac:dyDescent="0.35">
      <c r="B49" s="13"/>
      <c r="C49" s="13"/>
      <c r="D49" s="13"/>
    </row>
    <row r="50" spans="2:4" x14ac:dyDescent="0.35">
      <c r="B50" s="12"/>
      <c r="C50" s="12"/>
      <c r="D50" s="13"/>
    </row>
    <row r="51" spans="2:4" x14ac:dyDescent="0.35">
      <c r="B51" s="13"/>
      <c r="C51" s="13"/>
      <c r="D51" s="13"/>
    </row>
    <row r="52" spans="2:4" x14ac:dyDescent="0.35">
      <c r="B52" s="12"/>
      <c r="C52" s="12"/>
      <c r="D52" s="13"/>
    </row>
    <row r="53" spans="2:4" x14ac:dyDescent="0.35">
      <c r="B53" s="13"/>
      <c r="C53" s="13"/>
      <c r="D53" s="13"/>
    </row>
    <row r="54" spans="2:4" x14ac:dyDescent="0.35">
      <c r="B54" s="12"/>
      <c r="C54" s="12"/>
      <c r="D54" s="13"/>
    </row>
    <row r="55" spans="2:4" x14ac:dyDescent="0.35">
      <c r="B55" s="13"/>
      <c r="C55" s="13"/>
      <c r="D55" s="13"/>
    </row>
    <row r="56" spans="2:4" x14ac:dyDescent="0.35">
      <c r="B56" s="12"/>
      <c r="C56" s="12"/>
      <c r="D56" s="13"/>
    </row>
    <row r="57" spans="2:4" x14ac:dyDescent="0.35">
      <c r="B57" s="13"/>
      <c r="C57" s="13"/>
      <c r="D57" s="13"/>
    </row>
    <row r="58" spans="2:4" x14ac:dyDescent="0.35">
      <c r="B58" s="12"/>
      <c r="C58" s="12"/>
      <c r="D58" s="13"/>
    </row>
    <row r="59" spans="2:4" x14ac:dyDescent="0.35">
      <c r="B59" s="13"/>
      <c r="C59" s="13"/>
      <c r="D59" s="13"/>
    </row>
    <row r="60" spans="2:4" x14ac:dyDescent="0.35">
      <c r="B60" s="12"/>
      <c r="C60" s="12"/>
      <c r="D60" s="13"/>
    </row>
    <row r="61" spans="2:4" x14ac:dyDescent="0.35">
      <c r="B61" s="13"/>
      <c r="C61" s="13"/>
      <c r="D61" s="13"/>
    </row>
    <row r="62" spans="2:4" x14ac:dyDescent="0.35">
      <c r="B62" s="12"/>
      <c r="C62" s="12"/>
      <c r="D62" s="13"/>
    </row>
    <row r="63" spans="2:4" x14ac:dyDescent="0.35">
      <c r="B63" s="13"/>
      <c r="C63" s="13"/>
      <c r="D63" s="13"/>
    </row>
    <row r="64" spans="2:4" x14ac:dyDescent="0.35">
      <c r="B64" s="12"/>
      <c r="C64" s="12"/>
      <c r="D64" s="13"/>
    </row>
    <row r="65" spans="2:4" x14ac:dyDescent="0.35">
      <c r="B65" s="13"/>
      <c r="C65" s="13"/>
      <c r="D65" s="13"/>
    </row>
    <row r="66" spans="2:4" x14ac:dyDescent="0.35">
      <c r="B66" s="12"/>
      <c r="C66" s="12"/>
      <c r="D66" s="13"/>
    </row>
    <row r="67" spans="2:4" x14ac:dyDescent="0.35">
      <c r="B67" s="13"/>
      <c r="C67" s="13"/>
      <c r="D67" s="13"/>
    </row>
    <row r="68" spans="2:4" x14ac:dyDescent="0.35">
      <c r="B68" s="12"/>
      <c r="C68" s="12"/>
      <c r="D68" s="13"/>
    </row>
    <row r="69" spans="2:4" x14ac:dyDescent="0.35">
      <c r="B69" s="13"/>
      <c r="C69" s="13"/>
      <c r="D69" s="13"/>
    </row>
    <row r="70" spans="2:4" x14ac:dyDescent="0.35">
      <c r="B70" s="12"/>
      <c r="C70" s="12"/>
      <c r="D70" s="13"/>
    </row>
    <row r="71" spans="2:4" x14ac:dyDescent="0.35">
      <c r="B71" s="13"/>
      <c r="C71" s="13"/>
      <c r="D71" s="13"/>
    </row>
    <row r="72" spans="2:4" x14ac:dyDescent="0.35">
      <c r="B72" s="12"/>
      <c r="C72" s="12"/>
      <c r="D72" s="13"/>
    </row>
    <row r="73" spans="2:4" x14ac:dyDescent="0.35">
      <c r="B73" s="13"/>
      <c r="C73" s="13"/>
      <c r="D73" s="13"/>
    </row>
    <row r="74" spans="2:4" x14ac:dyDescent="0.35">
      <c r="B74" s="12"/>
      <c r="C74" s="12"/>
      <c r="D74" s="13"/>
    </row>
    <row r="75" spans="2:4" x14ac:dyDescent="0.35">
      <c r="B75" s="13"/>
      <c r="C75" s="13"/>
      <c r="D75" s="13"/>
    </row>
    <row r="76" spans="2:4" x14ac:dyDescent="0.35">
      <c r="B76" s="12"/>
      <c r="C76" s="12"/>
      <c r="D76" s="13"/>
    </row>
    <row r="77" spans="2:4" x14ac:dyDescent="0.35">
      <c r="B77" s="13"/>
      <c r="C77" s="13"/>
      <c r="D77" s="13"/>
    </row>
    <row r="78" spans="2:4" x14ac:dyDescent="0.35">
      <c r="B78" s="12"/>
      <c r="C78" s="12"/>
      <c r="D78" s="13"/>
    </row>
    <row r="79" spans="2:4" x14ac:dyDescent="0.35">
      <c r="B79" s="13"/>
      <c r="C79" s="13"/>
      <c r="D79" s="13"/>
    </row>
    <row r="80" spans="2:4" x14ac:dyDescent="0.35">
      <c r="B80" s="12"/>
      <c r="C80" s="12"/>
      <c r="D80" s="13"/>
    </row>
    <row r="81" spans="2:4" x14ac:dyDescent="0.35">
      <c r="B81" s="13"/>
      <c r="C81" s="13"/>
      <c r="D81" s="13"/>
    </row>
    <row r="82" spans="2:4" x14ac:dyDescent="0.35">
      <c r="B82" s="12"/>
      <c r="C82" s="12"/>
      <c r="D82" s="13"/>
    </row>
    <row r="83" spans="2:4" x14ac:dyDescent="0.35">
      <c r="B83" s="13"/>
      <c r="C83" s="13"/>
      <c r="D83" s="13"/>
    </row>
    <row r="84" spans="2:4" x14ac:dyDescent="0.35">
      <c r="B84" s="12"/>
      <c r="C84" s="12"/>
      <c r="D84" s="13"/>
    </row>
    <row r="85" spans="2:4" x14ac:dyDescent="0.35">
      <c r="B85" s="13"/>
      <c r="C85" s="13"/>
      <c r="D85" s="13"/>
    </row>
    <row r="86" spans="2:4" x14ac:dyDescent="0.35">
      <c r="B86" s="12"/>
      <c r="C86" s="12"/>
      <c r="D86" s="13"/>
    </row>
    <row r="87" spans="2:4" x14ac:dyDescent="0.35">
      <c r="B87" s="13"/>
      <c r="C87" s="13"/>
      <c r="D87" s="13"/>
    </row>
    <row r="88" spans="2:4" x14ac:dyDescent="0.35">
      <c r="B88" s="12"/>
      <c r="C88" s="12"/>
      <c r="D88" s="13"/>
    </row>
    <row r="89" spans="2:4" x14ac:dyDescent="0.35">
      <c r="B89" s="13"/>
      <c r="C89" s="13"/>
      <c r="D89" s="13"/>
    </row>
    <row r="90" spans="2:4" x14ac:dyDescent="0.35">
      <c r="B90" s="12"/>
      <c r="C90" s="12"/>
      <c r="D90" s="13"/>
    </row>
    <row r="91" spans="2:4" x14ac:dyDescent="0.35">
      <c r="B91" s="13"/>
      <c r="C91" s="13"/>
      <c r="D91" s="13"/>
    </row>
    <row r="92" spans="2:4" x14ac:dyDescent="0.35">
      <c r="B92" s="12"/>
      <c r="C92" s="12"/>
      <c r="D92" s="13"/>
    </row>
    <row r="93" spans="2:4" x14ac:dyDescent="0.35">
      <c r="B93" s="13"/>
      <c r="C93" s="13"/>
      <c r="D93" s="13"/>
    </row>
    <row r="94" spans="2:4" x14ac:dyDescent="0.35">
      <c r="B94" s="12"/>
      <c r="C94" s="12"/>
      <c r="D94" s="13"/>
    </row>
    <row r="95" spans="2:4" x14ac:dyDescent="0.35">
      <c r="B95" s="13"/>
      <c r="C95" s="13"/>
      <c r="D95" s="13"/>
    </row>
    <row r="96" spans="2:4" x14ac:dyDescent="0.35">
      <c r="B96" s="12"/>
      <c r="C96" s="12"/>
      <c r="D96" s="13"/>
    </row>
    <row r="97" spans="2:4" x14ac:dyDescent="0.35">
      <c r="B97" s="13"/>
      <c r="C97" s="13"/>
      <c r="D97" s="13"/>
    </row>
    <row r="98" spans="2:4" x14ac:dyDescent="0.35">
      <c r="B98" s="12"/>
      <c r="C98" s="12"/>
      <c r="D98" s="13"/>
    </row>
    <row r="99" spans="2:4" x14ac:dyDescent="0.35">
      <c r="B99" s="13"/>
      <c r="C99" s="13"/>
      <c r="D99" s="13"/>
    </row>
    <row r="100" spans="2:4" x14ac:dyDescent="0.35">
      <c r="B100" s="12"/>
      <c r="C100" s="12"/>
      <c r="D100" s="13"/>
    </row>
    <row r="101" spans="2:4" x14ac:dyDescent="0.35">
      <c r="B101" s="13"/>
      <c r="C101" s="13"/>
      <c r="D101" s="13"/>
    </row>
    <row r="102" spans="2:4" x14ac:dyDescent="0.35">
      <c r="B102" s="12"/>
      <c r="C102" s="12"/>
      <c r="D102" s="13"/>
    </row>
    <row r="103" spans="2:4" x14ac:dyDescent="0.35">
      <c r="B103" s="13"/>
      <c r="C103" s="13"/>
      <c r="D103" s="13"/>
    </row>
    <row r="104" spans="2:4" x14ac:dyDescent="0.35">
      <c r="B104" s="12"/>
      <c r="C104" s="12"/>
      <c r="D104" s="13"/>
    </row>
    <row r="105" spans="2:4" x14ac:dyDescent="0.35">
      <c r="B105" s="13"/>
      <c r="C105" s="13"/>
      <c r="D105" s="13"/>
    </row>
    <row r="106" spans="2:4" x14ac:dyDescent="0.35">
      <c r="B106" s="12"/>
      <c r="C106" s="12"/>
      <c r="D106" s="13"/>
    </row>
    <row r="107" spans="2:4" x14ac:dyDescent="0.35">
      <c r="B107" s="13"/>
      <c r="C107" s="13"/>
      <c r="D107" s="13"/>
    </row>
    <row r="108" spans="2:4" x14ac:dyDescent="0.35">
      <c r="B108" s="12"/>
      <c r="C108" s="12"/>
      <c r="D108" s="13"/>
    </row>
    <row r="109" spans="2:4" x14ac:dyDescent="0.35">
      <c r="B109" s="13"/>
      <c r="C109" s="13"/>
      <c r="D109" s="13"/>
    </row>
    <row r="110" spans="2:4" x14ac:dyDescent="0.35">
      <c r="B110" s="12"/>
      <c r="C110" s="12"/>
      <c r="D110" s="13"/>
    </row>
    <row r="111" spans="2:4" x14ac:dyDescent="0.35">
      <c r="B111" s="13"/>
      <c r="C111" s="13"/>
      <c r="D111" s="13"/>
    </row>
    <row r="112" spans="2:4" x14ac:dyDescent="0.35">
      <c r="B112" s="12"/>
      <c r="C112" s="12"/>
      <c r="D112" s="13"/>
    </row>
    <row r="113" spans="2:4" x14ac:dyDescent="0.35">
      <c r="B113" s="13"/>
      <c r="C113" s="13"/>
      <c r="D113" s="13"/>
    </row>
    <row r="114" spans="2:4" x14ac:dyDescent="0.35">
      <c r="B114" s="12"/>
      <c r="C114" s="12"/>
      <c r="D114" s="13"/>
    </row>
    <row r="115" spans="2:4" x14ac:dyDescent="0.35">
      <c r="B115" s="13"/>
      <c r="C115" s="13"/>
      <c r="D115" s="13"/>
    </row>
    <row r="116" spans="2:4" x14ac:dyDescent="0.35">
      <c r="B116" s="12"/>
      <c r="C116" s="12"/>
      <c r="D116" s="13"/>
    </row>
    <row r="117" spans="2:4" x14ac:dyDescent="0.35">
      <c r="B117" s="13"/>
      <c r="C117" s="13"/>
      <c r="D117" s="13"/>
    </row>
    <row r="118" spans="2:4" x14ac:dyDescent="0.35">
      <c r="B118" s="12"/>
      <c r="C118" s="12"/>
      <c r="D118" s="13"/>
    </row>
    <row r="119" spans="2:4" x14ac:dyDescent="0.35">
      <c r="B119" s="13"/>
      <c r="C119" s="13"/>
      <c r="D119" s="13"/>
    </row>
    <row r="120" spans="2:4" x14ac:dyDescent="0.35">
      <c r="B120" s="12"/>
      <c r="C120" s="12"/>
      <c r="D120" s="13"/>
    </row>
    <row r="121" spans="2:4" x14ac:dyDescent="0.35">
      <c r="B121" s="13"/>
      <c r="C121" s="13"/>
      <c r="D121" s="13"/>
    </row>
    <row r="122" spans="2:4" x14ac:dyDescent="0.35">
      <c r="B122" s="12"/>
      <c r="C122" s="12"/>
      <c r="D122" s="13"/>
    </row>
    <row r="123" spans="2:4" x14ac:dyDescent="0.35">
      <c r="B123" s="13"/>
      <c r="C123" s="13"/>
      <c r="D123" s="13"/>
    </row>
    <row r="124" spans="2:4" x14ac:dyDescent="0.35">
      <c r="B124" s="12"/>
      <c r="C124" s="12"/>
      <c r="D124" s="13"/>
    </row>
    <row r="125" spans="2:4" x14ac:dyDescent="0.35">
      <c r="B125" s="13"/>
      <c r="C125" s="13"/>
      <c r="D125" s="13"/>
    </row>
    <row r="126" spans="2:4" x14ac:dyDescent="0.35">
      <c r="B126" s="12"/>
      <c r="C126" s="12"/>
      <c r="D126" s="13"/>
    </row>
    <row r="127" spans="2:4" x14ac:dyDescent="0.35">
      <c r="B127" s="13"/>
      <c r="C127" s="13"/>
      <c r="D127" s="13"/>
    </row>
    <row r="128" spans="2:4" x14ac:dyDescent="0.35">
      <c r="B128" s="12"/>
      <c r="C128" s="12"/>
      <c r="D128" s="13"/>
    </row>
    <row r="129" spans="2:4" x14ac:dyDescent="0.35">
      <c r="B129" s="13"/>
      <c r="C129" s="13"/>
      <c r="D129" s="13"/>
    </row>
    <row r="130" spans="2:4" x14ac:dyDescent="0.35">
      <c r="B130" s="12"/>
      <c r="C130" s="12"/>
      <c r="D130" s="13"/>
    </row>
    <row r="131" spans="2:4" x14ac:dyDescent="0.35">
      <c r="B131" s="13"/>
      <c r="C131" s="13"/>
      <c r="D131" s="13"/>
    </row>
    <row r="132" spans="2:4" x14ac:dyDescent="0.35">
      <c r="B132" s="12"/>
      <c r="C132" s="12"/>
      <c r="D132" s="13"/>
    </row>
    <row r="133" spans="2:4" x14ac:dyDescent="0.35">
      <c r="B133" s="13"/>
      <c r="C133" s="13"/>
      <c r="D133" s="13"/>
    </row>
    <row r="134" spans="2:4" x14ac:dyDescent="0.35">
      <c r="B134" s="12"/>
      <c r="C134" s="12"/>
      <c r="D134" s="13"/>
    </row>
    <row r="135" spans="2:4" x14ac:dyDescent="0.35">
      <c r="B135" s="13"/>
      <c r="C135" s="13"/>
      <c r="D135" s="13"/>
    </row>
    <row r="136" spans="2:4" x14ac:dyDescent="0.35">
      <c r="B136" s="12"/>
      <c r="C136" s="12"/>
      <c r="D136" s="13"/>
    </row>
    <row r="137" spans="2:4" x14ac:dyDescent="0.35">
      <c r="B137" s="13"/>
      <c r="C137" s="13"/>
      <c r="D137" s="13"/>
    </row>
    <row r="138" spans="2:4" x14ac:dyDescent="0.35">
      <c r="B138" s="12"/>
      <c r="C138" s="12"/>
      <c r="D138" s="13"/>
    </row>
    <row r="139" spans="2:4" x14ac:dyDescent="0.35">
      <c r="B139" s="13"/>
      <c r="C139" s="13"/>
      <c r="D139" s="13"/>
    </row>
    <row r="140" spans="2:4" x14ac:dyDescent="0.35">
      <c r="B140" s="12"/>
      <c r="C140" s="12"/>
      <c r="D140" s="13"/>
    </row>
    <row r="141" spans="2:4" x14ac:dyDescent="0.35">
      <c r="B141" s="13"/>
      <c r="C141" s="13"/>
      <c r="D141" s="13"/>
    </row>
    <row r="142" spans="2:4" x14ac:dyDescent="0.35">
      <c r="B142" s="12"/>
      <c r="C142" s="12"/>
      <c r="D142" s="13"/>
    </row>
    <row r="143" spans="2:4" x14ac:dyDescent="0.35">
      <c r="B143" s="13"/>
      <c r="C143" s="13"/>
      <c r="D143" s="13"/>
    </row>
    <row r="144" spans="2:4" x14ac:dyDescent="0.35">
      <c r="B144" s="12"/>
      <c r="C144" s="12"/>
      <c r="D144" s="13"/>
    </row>
    <row r="145" spans="2:4" x14ac:dyDescent="0.35">
      <c r="B145" s="13"/>
      <c r="C145" s="13"/>
      <c r="D145" s="13"/>
    </row>
    <row r="146" spans="2:4" x14ac:dyDescent="0.35">
      <c r="B146" s="12"/>
      <c r="C146" s="12"/>
      <c r="D146" s="13"/>
    </row>
    <row r="147" spans="2:4" x14ac:dyDescent="0.35">
      <c r="B147" s="13"/>
      <c r="C147" s="13"/>
      <c r="D147" s="13"/>
    </row>
    <row r="148" spans="2:4" x14ac:dyDescent="0.35">
      <c r="B148" s="12"/>
      <c r="C148" s="12"/>
      <c r="D148" s="13"/>
    </row>
    <row r="149" spans="2:4" x14ac:dyDescent="0.35">
      <c r="B149" s="13"/>
      <c r="C149" s="13"/>
      <c r="D149" s="13"/>
    </row>
    <row r="150" spans="2:4" x14ac:dyDescent="0.35">
      <c r="B150" s="12"/>
      <c r="C150" s="12"/>
      <c r="D150" s="13"/>
    </row>
    <row r="151" spans="2:4" x14ac:dyDescent="0.35">
      <c r="B151" s="13"/>
      <c r="C151" s="13"/>
      <c r="D151" s="13"/>
    </row>
    <row r="152" spans="2:4" x14ac:dyDescent="0.35">
      <c r="B152" s="12"/>
      <c r="C152" s="12"/>
      <c r="D152" s="13"/>
    </row>
    <row r="153" spans="2:4" x14ac:dyDescent="0.35">
      <c r="B153" s="13"/>
      <c r="C153" s="13"/>
      <c r="D153" s="13"/>
    </row>
    <row r="154" spans="2:4" x14ac:dyDescent="0.35">
      <c r="B154" s="12"/>
      <c r="C154" s="12"/>
      <c r="D154" s="13"/>
    </row>
    <row r="155" spans="2:4" x14ac:dyDescent="0.35">
      <c r="B155" s="13"/>
      <c r="C155" s="13"/>
      <c r="D155" s="13"/>
    </row>
    <row r="156" spans="2:4" x14ac:dyDescent="0.35">
      <c r="B156" s="12"/>
      <c r="C156" s="12"/>
      <c r="D156" s="13"/>
    </row>
    <row r="157" spans="2:4" x14ac:dyDescent="0.35">
      <c r="B157" s="13"/>
      <c r="C157" s="13"/>
      <c r="D157" s="13"/>
    </row>
    <row r="158" spans="2:4" x14ac:dyDescent="0.35">
      <c r="B158" s="12"/>
      <c r="C158" s="12"/>
      <c r="D158" s="13"/>
    </row>
    <row r="159" spans="2:4" x14ac:dyDescent="0.35">
      <c r="B159" s="13"/>
      <c r="C159" s="13"/>
      <c r="D159" s="13"/>
    </row>
    <row r="160" spans="2:4" x14ac:dyDescent="0.35">
      <c r="B160" s="12"/>
      <c r="C160" s="12"/>
      <c r="D160" s="13"/>
    </row>
    <row r="161" spans="2:4" x14ac:dyDescent="0.35">
      <c r="B161" s="13"/>
      <c r="C161" s="13"/>
      <c r="D161" s="13"/>
    </row>
    <row r="162" spans="2:4" x14ac:dyDescent="0.35">
      <c r="B162" s="12"/>
      <c r="C162" s="12"/>
      <c r="D162" s="13"/>
    </row>
    <row r="163" spans="2:4" x14ac:dyDescent="0.35">
      <c r="B163" s="13"/>
      <c r="C163" s="13"/>
      <c r="D163" s="13"/>
    </row>
    <row r="164" spans="2:4" x14ac:dyDescent="0.35">
      <c r="B164" s="12"/>
      <c r="C164" s="12"/>
      <c r="D164" s="13"/>
    </row>
    <row r="165" spans="2:4" x14ac:dyDescent="0.35">
      <c r="B165" s="13"/>
      <c r="C165" s="13"/>
      <c r="D165" s="13"/>
    </row>
    <row r="166" spans="2:4" x14ac:dyDescent="0.35">
      <c r="B166" s="12"/>
      <c r="C166" s="12"/>
      <c r="D166" s="13"/>
    </row>
    <row r="167" spans="2:4" x14ac:dyDescent="0.35">
      <c r="B167" s="13"/>
      <c r="C167" s="13"/>
      <c r="D167" s="13"/>
    </row>
    <row r="168" spans="2:4" x14ac:dyDescent="0.35">
      <c r="B168" s="12"/>
      <c r="C168" s="12"/>
      <c r="D168" s="13"/>
    </row>
    <row r="169" spans="2:4" x14ac:dyDescent="0.35">
      <c r="B169" s="13"/>
      <c r="C169" s="13"/>
      <c r="D169" s="13"/>
    </row>
    <row r="170" spans="2:4" x14ac:dyDescent="0.35">
      <c r="B170" s="12"/>
      <c r="C170" s="12"/>
      <c r="D170" s="13"/>
    </row>
    <row r="171" spans="2:4" x14ac:dyDescent="0.35">
      <c r="B171" s="13"/>
      <c r="C171" s="13"/>
      <c r="D171" s="13"/>
    </row>
    <row r="172" spans="2:4" x14ac:dyDescent="0.35">
      <c r="B172" s="12"/>
      <c r="C172" s="12"/>
      <c r="D172" s="13"/>
    </row>
    <row r="173" spans="2:4" x14ac:dyDescent="0.35">
      <c r="B173" s="13"/>
      <c r="C173" s="13"/>
      <c r="D173" s="13"/>
    </row>
    <row r="174" spans="2:4" x14ac:dyDescent="0.35">
      <c r="B174" s="12"/>
      <c r="C174" s="12"/>
      <c r="D174" s="13"/>
    </row>
    <row r="175" spans="2:4" x14ac:dyDescent="0.35">
      <c r="B175" s="13"/>
      <c r="C175" s="13"/>
      <c r="D175" s="13"/>
    </row>
    <row r="176" spans="2:4" x14ac:dyDescent="0.35">
      <c r="B176" s="12"/>
      <c r="C176" s="12"/>
      <c r="D176" s="13"/>
    </row>
    <row r="177" spans="2:4" x14ac:dyDescent="0.35">
      <c r="B177" s="13"/>
      <c r="C177" s="13"/>
      <c r="D177" s="13"/>
    </row>
    <row r="178" spans="2:4" x14ac:dyDescent="0.35">
      <c r="B178" s="12"/>
      <c r="C178" s="12"/>
      <c r="D178" s="13"/>
    </row>
    <row r="179" spans="2:4" x14ac:dyDescent="0.35">
      <c r="B179" s="13"/>
      <c r="C179" s="13"/>
      <c r="D179" s="13"/>
    </row>
    <row r="180" spans="2:4" x14ac:dyDescent="0.35">
      <c r="B180" s="12"/>
      <c r="C180" s="12"/>
      <c r="D180" s="13"/>
    </row>
    <row r="181" spans="2:4" x14ac:dyDescent="0.35">
      <c r="B181" s="13"/>
      <c r="C181" s="13"/>
      <c r="D181" s="13"/>
    </row>
    <row r="182" spans="2:4" x14ac:dyDescent="0.35">
      <c r="B182" s="12"/>
      <c r="C182" s="12"/>
      <c r="D182" s="13"/>
    </row>
    <row r="183" spans="2:4" x14ac:dyDescent="0.35">
      <c r="B183" s="13"/>
      <c r="C183" s="13"/>
      <c r="D183" s="13"/>
    </row>
    <row r="184" spans="2:4" x14ac:dyDescent="0.35">
      <c r="B184" s="12"/>
      <c r="C184" s="12"/>
      <c r="D184" s="13"/>
    </row>
    <row r="185" spans="2:4" x14ac:dyDescent="0.35">
      <c r="B185" s="13"/>
      <c r="C185" s="13"/>
      <c r="D185" s="13"/>
    </row>
    <row r="186" spans="2:4" x14ac:dyDescent="0.35">
      <c r="B186" s="12"/>
      <c r="C186" s="12"/>
      <c r="D186" s="13"/>
    </row>
    <row r="187" spans="2:4" x14ac:dyDescent="0.35">
      <c r="B187" s="13"/>
      <c r="C187" s="13"/>
      <c r="D187" s="13"/>
    </row>
    <row r="188" spans="2:4" x14ac:dyDescent="0.35">
      <c r="B188" s="12"/>
      <c r="C188" s="12"/>
      <c r="D188" s="13"/>
    </row>
    <row r="189" spans="2:4" x14ac:dyDescent="0.35">
      <c r="B189" s="13"/>
      <c r="C189" s="13"/>
      <c r="D189" s="13"/>
    </row>
    <row r="190" spans="2:4" x14ac:dyDescent="0.35">
      <c r="B190" s="12"/>
      <c r="C190" s="12"/>
      <c r="D190" s="13"/>
    </row>
    <row r="191" spans="2:4" x14ac:dyDescent="0.35">
      <c r="B191" s="13"/>
      <c r="C191" s="13"/>
      <c r="D191" s="13"/>
    </row>
    <row r="192" spans="2:4" x14ac:dyDescent="0.35">
      <c r="B192" s="12"/>
      <c r="C192" s="12"/>
      <c r="D192" s="13"/>
    </row>
    <row r="193" spans="2:4" x14ac:dyDescent="0.35">
      <c r="B193" s="13"/>
      <c r="C193" s="13"/>
      <c r="D193" s="13"/>
    </row>
    <row r="194" spans="2:4" x14ac:dyDescent="0.35">
      <c r="B194" s="12"/>
      <c r="C194" s="12"/>
      <c r="D194" s="13"/>
    </row>
  </sheetData>
  <sortState ref="A5:F196">
    <sortCondition ref="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J19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5.54296875" bestFit="1" customWidth="1"/>
    <col min="5" max="5" width="10.54296875" bestFit="1" customWidth="1"/>
    <col min="7" max="7" width="15.54296875" bestFit="1" customWidth="1"/>
  </cols>
  <sheetData>
    <row r="1" spans="1:10" x14ac:dyDescent="0.35">
      <c r="A1" s="14" t="s">
        <v>179</v>
      </c>
      <c r="B1" s="16" t="str">
        <f ca="1">B3</f>
        <v>OBJ_52548073</v>
      </c>
    </row>
    <row r="3" spans="1:10" x14ac:dyDescent="0.35">
      <c r="A3" s="16" t="str">
        <f ca="1">_xll.DataSheetContainer.New(COB)</f>
        <v>OBJ_52548073</v>
      </c>
      <c r="B3" s="18" t="str">
        <f ca="1">_xll.DataSheetContainer.AddSheet($A$3,B6,B4)</f>
        <v>OBJ_52548073</v>
      </c>
      <c r="G3" s="16"/>
    </row>
    <row r="4" spans="1:10" x14ac:dyDescent="0.35">
      <c r="A4" s="14" t="s">
        <v>114</v>
      </c>
      <c r="B4" s="16" t="str">
        <f ca="1">_xll.DataSheets.RepoSheet(COB,B6,[1]!ccol(A10),[1]!ccol(B10),[1]!ccol(C10),[1]!ccol(D10),[1]!ccol(E10),B8,B7)</f>
        <v>OBJ_63597034</v>
      </c>
      <c r="F4" s="14"/>
      <c r="G4" s="16"/>
    </row>
    <row r="5" spans="1:10" x14ac:dyDescent="0.35">
      <c r="A5" s="14" t="s">
        <v>43</v>
      </c>
      <c r="B5" t="s">
        <v>44</v>
      </c>
      <c r="F5" s="14"/>
    </row>
    <row r="6" spans="1:10" x14ac:dyDescent="0.35">
      <c r="A6" s="14" t="s">
        <v>129</v>
      </c>
      <c r="B6" s="16" t="str">
        <f ca="1">_xll.BasketSet.GetBasket(BasketSet,B5)</f>
        <v>OBJ_-843401282</v>
      </c>
      <c r="F6" s="14"/>
      <c r="G6" s="16"/>
    </row>
    <row r="7" spans="1:10" x14ac:dyDescent="0.35">
      <c r="A7" s="14" t="s">
        <v>127</v>
      </c>
      <c r="B7" t="s">
        <v>38</v>
      </c>
      <c r="F7" s="14"/>
    </row>
    <row r="8" spans="1:10" x14ac:dyDescent="0.35">
      <c r="A8" s="14" t="s">
        <v>126</v>
      </c>
      <c r="B8" t="s">
        <v>128</v>
      </c>
      <c r="F8" s="14"/>
    </row>
    <row r="9" spans="1:10" x14ac:dyDescent="0.35">
      <c r="A9" s="14" t="s">
        <v>124</v>
      </c>
      <c r="B9" s="14" t="s">
        <v>135</v>
      </c>
      <c r="C9" s="14" t="s">
        <v>47</v>
      </c>
      <c r="D9" s="14" t="s">
        <v>48</v>
      </c>
      <c r="E9" s="14" t="s">
        <v>49</v>
      </c>
      <c r="F9" s="14"/>
      <c r="G9" s="14"/>
      <c r="H9" s="14"/>
      <c r="I9" s="14"/>
      <c r="J9" s="14"/>
    </row>
    <row r="10" spans="1:10" x14ac:dyDescent="0.35">
      <c r="A10" t="s">
        <v>125</v>
      </c>
      <c r="B10" s="12">
        <v>44092</v>
      </c>
      <c r="C10">
        <v>-7.6440809616352898E-3</v>
      </c>
      <c r="D10">
        <v>-7.6440809616352898E-3</v>
      </c>
      <c r="E10" s="30">
        <v>-3.3962622932985805E-5</v>
      </c>
      <c r="F10" s="19"/>
      <c r="G10" s="12"/>
    </row>
    <row r="11" spans="1:10" x14ac:dyDescent="0.35">
      <c r="A11" t="s">
        <v>125</v>
      </c>
      <c r="B11" s="12">
        <v>44183</v>
      </c>
      <c r="C11">
        <v>-5.9471014265882072E-3</v>
      </c>
      <c r="D11">
        <v>-5.9471014265882072E-3</v>
      </c>
      <c r="E11" s="30">
        <v>9.6008507302023684E-4</v>
      </c>
      <c r="F11" s="19"/>
      <c r="G11" s="12"/>
    </row>
    <row r="12" spans="1:10" x14ac:dyDescent="0.35">
      <c r="A12" t="s">
        <v>125</v>
      </c>
      <c r="B12" s="12">
        <v>44547</v>
      </c>
      <c r="C12">
        <v>-4.7626194443700556E-3</v>
      </c>
      <c r="D12">
        <v>-4.7626194443700556E-3</v>
      </c>
      <c r="E12" s="30">
        <v>-5.8818627751046435E-4</v>
      </c>
      <c r="F12" s="19"/>
      <c r="G12" s="12"/>
    </row>
    <row r="13" spans="1:10" x14ac:dyDescent="0.35">
      <c r="A13" t="s">
        <v>125</v>
      </c>
      <c r="B13" s="12">
        <v>44911</v>
      </c>
      <c r="C13">
        <v>-4.1417936372549705E-3</v>
      </c>
      <c r="D13">
        <v>-4.1417936372549705E-3</v>
      </c>
      <c r="E13" s="30">
        <v>-1.3845726505992018E-3</v>
      </c>
      <c r="F13" s="19"/>
      <c r="G13" s="12"/>
    </row>
    <row r="14" spans="1:10" x14ac:dyDescent="0.35">
      <c r="A14" t="s">
        <v>125</v>
      </c>
      <c r="B14" s="12">
        <v>45275</v>
      </c>
      <c r="C14">
        <v>-3.2924330070653097E-3</v>
      </c>
      <c r="D14">
        <v>-3.2924330070653097E-3</v>
      </c>
      <c r="E14" s="30">
        <v>-2.2514773087172701E-3</v>
      </c>
      <c r="F14" s="19"/>
      <c r="G14" s="12"/>
    </row>
    <row r="15" spans="1:10" x14ac:dyDescent="0.35">
      <c r="A15" t="s">
        <v>125</v>
      </c>
      <c r="B15" s="12">
        <v>45646</v>
      </c>
      <c r="C15">
        <v>-2.28862681910919E-3</v>
      </c>
      <c r="D15">
        <v>-2.28862681910919E-3</v>
      </c>
      <c r="E15" s="30">
        <v>-3.0023575058164024E-3</v>
      </c>
      <c r="F15" s="19"/>
      <c r="G15" s="12"/>
    </row>
    <row r="16" spans="1:10" x14ac:dyDescent="0.35">
      <c r="A16" t="s">
        <v>125</v>
      </c>
      <c r="B16" s="12">
        <v>46010</v>
      </c>
      <c r="C16">
        <v>-1.238696215959331E-3</v>
      </c>
      <c r="D16">
        <v>-1.238696215959331E-3</v>
      </c>
      <c r="E16" s="30">
        <v>-3.818865454863454E-3</v>
      </c>
      <c r="F16" s="19"/>
      <c r="G16" s="12"/>
    </row>
    <row r="17" spans="1:5" x14ac:dyDescent="0.35">
      <c r="A17" t="s">
        <v>125</v>
      </c>
      <c r="B17" s="12">
        <v>46374</v>
      </c>
      <c r="C17">
        <v>-1.1142565360270928E-4</v>
      </c>
      <c r="D17">
        <v>-1.1142565360270928E-4</v>
      </c>
      <c r="E17" s="30">
        <v>-4.8036996362333792E-3</v>
      </c>
    </row>
    <row r="18" spans="1:5" x14ac:dyDescent="0.35">
      <c r="A18" t="s">
        <v>125</v>
      </c>
      <c r="B18" s="12">
        <v>46738</v>
      </c>
      <c r="C18">
        <v>9.2773006984247337E-4</v>
      </c>
      <c r="D18">
        <v>9.2773006984247337E-4</v>
      </c>
      <c r="E18" s="30">
        <v>-5.4508951685800933E-3</v>
      </c>
    </row>
    <row r="19" spans="1:5" x14ac:dyDescent="0.35">
      <c r="A19" t="s">
        <v>125</v>
      </c>
      <c r="B19" s="12">
        <v>47102</v>
      </c>
      <c r="C19">
        <v>2.0634337009101831E-3</v>
      </c>
      <c r="D19">
        <v>2.0634337009101831E-3</v>
      </c>
      <c r="E19" s="30">
        <v>-6.0556722592687608E-3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/>
  </sheetPr>
  <dimension ref="A1:AC20"/>
  <sheetViews>
    <sheetView zoomScaleNormal="100" workbookViewId="0">
      <selection sqref="A1:XFD1048576"/>
    </sheetView>
  </sheetViews>
  <sheetFormatPr defaultRowHeight="14.5" x14ac:dyDescent="0.35"/>
  <cols>
    <col min="1" max="1" width="8" bestFit="1" customWidth="1"/>
    <col min="2" max="2" width="13.453125" bestFit="1" customWidth="1"/>
    <col min="3" max="3" width="6.1796875" bestFit="1" customWidth="1"/>
    <col min="4" max="4" width="8.81640625" bestFit="1" customWidth="1"/>
    <col min="5" max="5" width="10.81640625" bestFit="1" customWidth="1"/>
    <col min="6" max="6" width="8" bestFit="1" customWidth="1"/>
    <col min="7" max="7" width="15.26953125" bestFit="1" customWidth="1"/>
    <col min="8" max="8" width="8.453125" bestFit="1" customWidth="1"/>
    <col min="9" max="10" width="11.81640625" bestFit="1" customWidth="1"/>
    <col min="11" max="11" width="10.26953125" bestFit="1" customWidth="1"/>
    <col min="12" max="12" width="14.81640625" bestFit="1" customWidth="1"/>
    <col min="13" max="13" width="22.7265625" bestFit="1" customWidth="1"/>
    <col min="14" max="14" width="20.1796875" bestFit="1" customWidth="1"/>
    <col min="15" max="15" width="15.453125" bestFit="1" customWidth="1"/>
    <col min="16" max="16" width="15.453125" customWidth="1"/>
    <col min="17" max="17" width="10.81640625" bestFit="1" customWidth="1"/>
    <col min="18" max="19" width="10.81640625" customWidth="1"/>
    <col min="20" max="20" width="13.81640625" bestFit="1" customWidth="1"/>
    <col min="21" max="21" width="14.1796875" bestFit="1" customWidth="1"/>
    <col min="22" max="22" width="15.1796875" bestFit="1" customWidth="1"/>
    <col min="23" max="23" width="17.1796875" bestFit="1" customWidth="1"/>
    <col min="24" max="24" width="14.453125" bestFit="1" customWidth="1"/>
    <col min="25" max="25" width="14.453125" customWidth="1"/>
    <col min="26" max="26" width="14.453125" bestFit="1" customWidth="1"/>
    <col min="27" max="27" width="15.453125" bestFit="1" customWidth="1"/>
    <col min="28" max="29" width="13.453125" bestFit="1" customWidth="1"/>
  </cols>
  <sheetData>
    <row r="1" spans="1:29" ht="15" thickBot="1" x14ac:dyDescent="0.4">
      <c r="A1" s="9" t="s">
        <v>161</v>
      </c>
      <c r="B1" t="s">
        <v>162</v>
      </c>
    </row>
    <row r="2" spans="1:29" ht="15" thickBot="1" x14ac:dyDescent="0.4">
      <c r="A2" s="9" t="s">
        <v>160</v>
      </c>
      <c r="B2" s="16" t="str">
        <f ca="1">AC15</f>
        <v>OBJ_35502400</v>
      </c>
    </row>
    <row r="3" spans="1:29" ht="15" thickBot="1" x14ac:dyDescent="0.4">
      <c r="B3" s="16"/>
    </row>
    <row r="4" spans="1:29" ht="15" thickBot="1" x14ac:dyDescent="0.4">
      <c r="A4" s="9" t="s">
        <v>130</v>
      </c>
      <c r="B4" s="9" t="s">
        <v>131</v>
      </c>
      <c r="C4" s="9" t="s">
        <v>132</v>
      </c>
      <c r="D4" s="9" t="s">
        <v>30</v>
      </c>
      <c r="E4" s="9" t="s">
        <v>133</v>
      </c>
      <c r="F4" s="9" t="s">
        <v>146</v>
      </c>
      <c r="G4" s="9" t="s">
        <v>307</v>
      </c>
      <c r="H4" s="9" t="s">
        <v>134</v>
      </c>
      <c r="I4" s="9" t="s">
        <v>136</v>
      </c>
      <c r="J4" s="9" t="s">
        <v>135</v>
      </c>
      <c r="K4" s="9" t="s">
        <v>137</v>
      </c>
      <c r="L4" s="9" t="s">
        <v>138</v>
      </c>
      <c r="M4" s="9" t="s">
        <v>139</v>
      </c>
      <c r="N4" s="9" t="s">
        <v>140</v>
      </c>
      <c r="O4" s="9" t="s">
        <v>188</v>
      </c>
      <c r="P4" s="9" t="s">
        <v>266</v>
      </c>
      <c r="Q4" s="9" t="s">
        <v>141</v>
      </c>
      <c r="R4" s="15" t="s">
        <v>168</v>
      </c>
      <c r="S4" s="15" t="s">
        <v>170</v>
      </c>
      <c r="T4" s="15" t="s">
        <v>171</v>
      </c>
      <c r="U4" s="15" t="s">
        <v>172</v>
      </c>
      <c r="V4" s="15" t="s">
        <v>147</v>
      </c>
      <c r="W4" s="15" t="s">
        <v>189</v>
      </c>
      <c r="X4" s="15" t="s">
        <v>148</v>
      </c>
      <c r="Y4" s="15" t="s">
        <v>300</v>
      </c>
      <c r="Z4" s="15" t="s">
        <v>149</v>
      </c>
      <c r="AA4" s="15" t="s">
        <v>202</v>
      </c>
      <c r="AB4" s="15" t="s">
        <v>150</v>
      </c>
      <c r="AC4" s="16" t="str">
        <f ca="1">_xll.Book.New(B1)</f>
        <v>OBJ_35502400</v>
      </c>
    </row>
    <row r="5" spans="1:29" x14ac:dyDescent="0.35">
      <c r="A5" t="s">
        <v>145</v>
      </c>
      <c r="B5" t="s">
        <v>143</v>
      </c>
      <c r="C5" t="s">
        <v>144</v>
      </c>
      <c r="D5" t="s">
        <v>39</v>
      </c>
      <c r="E5" t="s">
        <v>44</v>
      </c>
      <c r="F5">
        <v>0</v>
      </c>
      <c r="G5">
        <v>1</v>
      </c>
      <c r="H5">
        <v>1</v>
      </c>
      <c r="I5" s="12">
        <v>44017</v>
      </c>
      <c r="J5" s="12">
        <v>44183</v>
      </c>
      <c r="K5" t="s">
        <v>5</v>
      </c>
      <c r="L5" t="s">
        <v>260</v>
      </c>
      <c r="M5" t="s">
        <v>259</v>
      </c>
      <c r="N5" t="s">
        <v>38</v>
      </c>
      <c r="O5" t="s">
        <v>201</v>
      </c>
      <c r="Q5" t="s">
        <v>142</v>
      </c>
      <c r="R5" t="s">
        <v>169</v>
      </c>
      <c r="S5" t="s">
        <v>39</v>
      </c>
      <c r="U5" s="16" t="str">
        <f ca="1">IF(R5="cash",_xll.CashCollateral.New(S5),IF(R5="security",_xll.SecurityCollateral.New(_xll.SingleNameMarket.GetTicker(SingleNameMarket,T5)), _xll.NoCollateral.New()))</f>
        <v>OBJ_33132024</v>
      </c>
      <c r="V5" s="16" t="str">
        <f ca="1">_xll.BasketSet.GetBasket(BasketSet,E5)</f>
        <v>OBJ_-843401282</v>
      </c>
      <c r="W5" s="16" t="str">
        <f ca="1">IF(O5="ois",_xll.OisReference.New(D5,N5),IF(O5="libor",_xll.Libor.New(D5, P5,N5),))</f>
        <v>OBJ_1375974579</v>
      </c>
      <c r="X5" s="16" t="str">
        <f ca="1">_xll.BusinessSchedule.NewParametric(I5,J5,K5,"NONE",Q5,L5,M5)</f>
        <v>OBJ_1669799810</v>
      </c>
      <c r="Y5" s="16" t="e">
        <f ca="1">IF(#REF!="None","-",_xll.BusinessSchedule.NewParametric(I5,J5,#REF!,"NONE",Q5,L5,M5))</f>
        <v>#REF!</v>
      </c>
      <c r="Z5" s="16" t="str">
        <f ca="1">_xll.AssetLegStd.New(X5,B5,C5,D5,V5,G5,H5,A5&amp;"_AssetLeg")</f>
        <v>OBJ_-1807569594</v>
      </c>
      <c r="AA5" s="16" t="str">
        <f ca="1">_xll.AssetLegFloatRate.New(X5,C5,B5,D5,V5,W5,F5,N5,G5,A5&amp;"_RateLeg")</f>
        <v>OBJ_-266576131</v>
      </c>
      <c r="AB5" s="16" t="str">
        <f ca="1">_xll.TotalReturnSwap.New(A5,Z5,AA5)</f>
        <v>OBJ_48420578</v>
      </c>
      <c r="AC5" s="16" t="str">
        <f ca="1">_xll.Book.AddInstrument(AC4,AB5,U5)</f>
        <v>OBJ_35502400</v>
      </c>
    </row>
    <row r="6" spans="1:29" x14ac:dyDescent="0.35">
      <c r="A6" t="s">
        <v>151</v>
      </c>
      <c r="B6" t="s">
        <v>143</v>
      </c>
      <c r="C6" t="s">
        <v>144</v>
      </c>
      <c r="D6" t="s">
        <v>39</v>
      </c>
      <c r="E6" t="s">
        <v>44</v>
      </c>
      <c r="F6">
        <v>0</v>
      </c>
      <c r="G6">
        <v>1</v>
      </c>
      <c r="H6">
        <v>1</v>
      </c>
      <c r="I6" s="12">
        <v>44017</v>
      </c>
      <c r="J6" s="12">
        <v>44547</v>
      </c>
      <c r="K6" t="s">
        <v>5</v>
      </c>
      <c r="L6" t="s">
        <v>260</v>
      </c>
      <c r="M6" t="s">
        <v>259</v>
      </c>
      <c r="N6" t="s">
        <v>38</v>
      </c>
      <c r="O6" t="s">
        <v>201</v>
      </c>
      <c r="Q6" t="s">
        <v>142</v>
      </c>
      <c r="R6" t="s">
        <v>169</v>
      </c>
      <c r="S6" t="s">
        <v>39</v>
      </c>
      <c r="U6" s="16" t="str">
        <f ca="1">IF(R6="cash",_xll.CashCollateral.New(S6),IF(R6="security",_xll.SecurityCollateral.New(_xll.SingleNameMarket.GetTicker(SingleNameMarket,T6)), _xll.NoCollateral.New()))</f>
        <v>OBJ_66448310</v>
      </c>
      <c r="V6" s="16" t="str">
        <f ca="1">_xll.BasketSet.GetBasket(BasketSet,E6)</f>
        <v>OBJ_-843401282</v>
      </c>
      <c r="W6" s="16" t="str">
        <f ca="1">IF(O6="ois",_xll.OisReference.New(D6,N6),IF(O6="libor",_xll.Libor.New(D6, P6,N6),))</f>
        <v>OBJ_1375974579</v>
      </c>
      <c r="X6" s="16" t="str">
        <f ca="1">_xll.BusinessSchedule.NewParametric(I6,J6,K6,"NONE",Q6,L6,M6)</f>
        <v>OBJ_-2028865743</v>
      </c>
      <c r="Y6" s="16" t="e">
        <f ca="1">IF(#REF!="None","-",_xll.BusinessSchedule.NewParametric(I6,J6,#REF!,"NONE",Q6,L6,M6))</f>
        <v>#REF!</v>
      </c>
      <c r="Z6" s="16" t="str">
        <f ca="1">_xll.AssetLegStd.New(X6,B6,C6,D6,V6,G6,H6,A6&amp;"_AssetLeg")</f>
        <v>OBJ_-2049203761</v>
      </c>
      <c r="AA6" s="16" t="str">
        <f ca="1">_xll.AssetLegFloatRate.New(X6,C6,B6,D6,V6,W6,F6,N6,G6,A6&amp;"_RateLeg")</f>
        <v>OBJ_1790723235</v>
      </c>
      <c r="AB6" s="16" t="str">
        <f ca="1">_xll.TotalReturnSwap.New(A6,Z6,AA6)</f>
        <v>OBJ_29752766</v>
      </c>
      <c r="AC6" s="16" t="str">
        <f ca="1">_xll.Book.AddInstrument(AC5,AB6,U6)</f>
        <v>OBJ_35502400</v>
      </c>
    </row>
    <row r="7" spans="1:29" x14ac:dyDescent="0.35">
      <c r="A7" t="s">
        <v>152</v>
      </c>
      <c r="B7" t="s">
        <v>143</v>
      </c>
      <c r="C7" t="s">
        <v>144</v>
      </c>
      <c r="D7" t="s">
        <v>39</v>
      </c>
      <c r="E7" t="s">
        <v>44</v>
      </c>
      <c r="F7">
        <v>0</v>
      </c>
      <c r="G7">
        <v>1</v>
      </c>
      <c r="H7">
        <v>1</v>
      </c>
      <c r="I7" s="12">
        <v>44017</v>
      </c>
      <c r="J7" s="12">
        <v>44911</v>
      </c>
      <c r="K7" t="s">
        <v>5</v>
      </c>
      <c r="L7" t="s">
        <v>260</v>
      </c>
      <c r="M7" t="s">
        <v>259</v>
      </c>
      <c r="N7" t="s">
        <v>38</v>
      </c>
      <c r="O7" t="s">
        <v>201</v>
      </c>
      <c r="Q7" t="s">
        <v>142</v>
      </c>
      <c r="R7" t="s">
        <v>169</v>
      </c>
      <c r="S7" t="s">
        <v>39</v>
      </c>
      <c r="U7" s="16" t="str">
        <f ca="1">IF(R7="cash",_xll.CashCollateral.New(S7),IF(R7="security",_xll.SecurityCollateral.New(_xll.SingleNameMarket.GetTicker(SingleNameMarket,T7)), _xll.NoCollateral.New()))</f>
        <v>OBJ_13604004</v>
      </c>
      <c r="V7" s="16" t="str">
        <f ca="1">_xll.BasketSet.GetBasket(BasketSet,E7)</f>
        <v>OBJ_-843401282</v>
      </c>
      <c r="W7" s="16" t="str">
        <f ca="1">IF(O7="ois",_xll.OisReference.New(D7,N7),IF(O7="libor",_xll.Libor.New(D7, P7,N7),))</f>
        <v>OBJ_1375974579</v>
      </c>
      <c r="X7" s="16" t="str">
        <f ca="1">_xll.BusinessSchedule.NewParametric(I7,J7,K7,"NONE",Q7,L7,M7)</f>
        <v>OBJ_-1721067287</v>
      </c>
      <c r="Y7" s="16" t="e">
        <f ca="1">IF(#REF!="None","-",_xll.BusinessSchedule.NewParametric(I7,J7,#REF!,"NONE",Q7,L7,M7))</f>
        <v>#REF!</v>
      </c>
      <c r="Z7" s="16" t="str">
        <f ca="1">_xll.AssetLegStd.New(X7,B7,C7,D7,V7,G7,H7,A7&amp;"_AssetLeg")</f>
        <v>OBJ_-2137739022</v>
      </c>
      <c r="AA7" s="16" t="str">
        <f ca="1">_xll.AssetLegFloatRate.New(X7,C7,B7,D7,V7,W7,F7,N7,G7,A7&amp;"_RateLeg")</f>
        <v>OBJ_-500959558</v>
      </c>
      <c r="AB7" s="16" t="str">
        <f ca="1">_xll.TotalReturnSwap.New(A7,Z7,AA7)</f>
        <v>OBJ_61163879</v>
      </c>
      <c r="AC7" s="16" t="str">
        <f ca="1">_xll.Book.AddInstrument(AC6,AB7,U7)</f>
        <v>OBJ_35502400</v>
      </c>
    </row>
    <row r="8" spans="1:29" x14ac:dyDescent="0.35">
      <c r="A8" t="s">
        <v>153</v>
      </c>
      <c r="B8" t="s">
        <v>143</v>
      </c>
      <c r="C8" t="s">
        <v>144</v>
      </c>
      <c r="D8" t="s">
        <v>39</v>
      </c>
      <c r="E8" t="s">
        <v>44</v>
      </c>
      <c r="F8">
        <v>0</v>
      </c>
      <c r="G8">
        <v>1</v>
      </c>
      <c r="H8">
        <v>1</v>
      </c>
      <c r="I8" s="12">
        <v>44017</v>
      </c>
      <c r="J8" s="12">
        <v>45275</v>
      </c>
      <c r="K8" t="s">
        <v>5</v>
      </c>
      <c r="L8" t="s">
        <v>260</v>
      </c>
      <c r="M8" t="s">
        <v>259</v>
      </c>
      <c r="N8" t="s">
        <v>38</v>
      </c>
      <c r="O8" t="s">
        <v>201</v>
      </c>
      <c r="Q8" t="s">
        <v>142</v>
      </c>
      <c r="R8" t="s">
        <v>169</v>
      </c>
      <c r="S8" t="s">
        <v>39</v>
      </c>
      <c r="U8" s="16" t="str">
        <f ca="1">IF(R8="cash",_xll.CashCollateral.New(S8),IF(R8="security",_xll.SecurityCollateral.New(_xll.SingleNameMarket.GetTicker(SingleNameMarket,T8)), _xll.NoCollateral.New()))</f>
        <v>OBJ_28182506</v>
      </c>
      <c r="V8" s="16" t="str">
        <f ca="1">_xll.BasketSet.GetBasket(BasketSet,E8)</f>
        <v>OBJ_-843401282</v>
      </c>
      <c r="W8" s="16" t="str">
        <f ca="1">IF(O8="ois",_xll.OisReference.New(D8,N8),IF(O8="libor",_xll.Libor.New(D8, P8,N8),))</f>
        <v>OBJ_1375974579</v>
      </c>
      <c r="X8" s="16" t="str">
        <f ca="1">_xll.BusinessSchedule.NewParametric(I8,J8,K8,"NONE",Q8,L8,M8)</f>
        <v>OBJ_974338721</v>
      </c>
      <c r="Y8" s="16" t="e">
        <f ca="1">IF(#REF!="None","-",_xll.BusinessSchedule.NewParametric(I8,J8,#REF!,"NONE",Q8,L8,M8))</f>
        <v>#REF!</v>
      </c>
      <c r="Z8" s="16" t="str">
        <f ca="1">_xll.AssetLegStd.New(X8,B8,C8,D8,V8,G8,H8,A8&amp;"_AssetLeg")</f>
        <v>OBJ_2068126436</v>
      </c>
      <c r="AA8" s="16" t="str">
        <f ca="1">_xll.AssetLegFloatRate.New(X8,C8,B8,D8,V8,W8,F8,N8,G8,A8&amp;"_RateLeg")</f>
        <v>OBJ_-223378860</v>
      </c>
      <c r="AB8" s="16" t="str">
        <f ca="1">_xll.TotalReturnSwap.New(A8,Z8,AA8)</f>
        <v>OBJ_55327172</v>
      </c>
      <c r="AC8" s="16" t="str">
        <f ca="1">_xll.Book.AddInstrument(AC7,AB8,U8)</f>
        <v>OBJ_35502400</v>
      </c>
    </row>
    <row r="9" spans="1:29" x14ac:dyDescent="0.35">
      <c r="A9" t="s">
        <v>154</v>
      </c>
      <c r="B9" t="s">
        <v>143</v>
      </c>
      <c r="C9" t="s">
        <v>144</v>
      </c>
      <c r="D9" t="s">
        <v>39</v>
      </c>
      <c r="E9" t="s">
        <v>44</v>
      </c>
      <c r="F9">
        <v>0</v>
      </c>
      <c r="G9">
        <v>1</v>
      </c>
      <c r="H9">
        <v>1</v>
      </c>
      <c r="I9" s="12">
        <v>44017</v>
      </c>
      <c r="J9" s="12">
        <v>45646</v>
      </c>
      <c r="K9" t="s">
        <v>5</v>
      </c>
      <c r="L9" t="s">
        <v>260</v>
      </c>
      <c r="M9" t="s">
        <v>259</v>
      </c>
      <c r="N9" t="s">
        <v>38</v>
      </c>
      <c r="O9" t="s">
        <v>201</v>
      </c>
      <c r="Q9" t="s">
        <v>142</v>
      </c>
      <c r="R9" t="s">
        <v>169</v>
      </c>
      <c r="S9" t="s">
        <v>39</v>
      </c>
      <c r="U9" s="16" t="str">
        <f ca="1">IF(R9="cash",_xll.CashCollateral.New(S9),IF(R9="security",_xll.SecurityCollateral.New(_xll.SingleNameMarket.GetTicker(SingleNameMarket,T9)), _xll.NoCollateral.New()))</f>
        <v>OBJ_1081649</v>
      </c>
      <c r="V9" s="16" t="str">
        <f ca="1">_xll.BasketSet.GetBasket(BasketSet,E9)</f>
        <v>OBJ_-843401282</v>
      </c>
      <c r="W9" s="16" t="str">
        <f ca="1">IF(O9="ois",_xll.OisReference.New(D9,N9),IF(O9="libor",_xll.Libor.New(D9, P9,N9),))</f>
        <v>OBJ_1375974579</v>
      </c>
      <c r="X9" s="16" t="str">
        <f ca="1">_xll.BusinessSchedule.NewParametric(I9,J9,K9,"NONE",Q9,L9,M9)</f>
        <v>OBJ_985702608</v>
      </c>
      <c r="Y9" s="16" t="e">
        <f ca="1">IF(#REF!="None","-",_xll.BusinessSchedule.NewParametric(I9,J9,#REF!,"NONE",Q9,L9,M9))</f>
        <v>#REF!</v>
      </c>
      <c r="Z9" s="16" t="str">
        <f ca="1">_xll.AssetLegStd.New(X9,B9,C9,D9,V9,G9,H9,A9&amp;"_AssetLeg")</f>
        <v>OBJ_-2118614128</v>
      </c>
      <c r="AA9" s="16" t="str">
        <f ca="1">_xll.AssetLegFloatRate.New(X9,C9,B9,D9,V9,W9,F9,N9,G9,A9&amp;"_RateLeg")</f>
        <v>OBJ_670356115</v>
      </c>
      <c r="AB9" s="16" t="str">
        <f ca="1">_xll.TotalReturnSwap.New(A9,Z9,AA9)</f>
        <v>OBJ_52315966</v>
      </c>
      <c r="AC9" s="16" t="str">
        <f ca="1">_xll.Book.AddInstrument(AC8,AB9,U9)</f>
        <v>OBJ_35502400</v>
      </c>
    </row>
    <row r="10" spans="1:29" x14ac:dyDescent="0.35">
      <c r="A10" t="s">
        <v>155</v>
      </c>
      <c r="B10" t="s">
        <v>143</v>
      </c>
      <c r="C10" t="s">
        <v>144</v>
      </c>
      <c r="D10" t="s">
        <v>39</v>
      </c>
      <c r="E10" t="s">
        <v>44</v>
      </c>
      <c r="F10">
        <v>0</v>
      </c>
      <c r="G10">
        <v>1</v>
      </c>
      <c r="H10">
        <v>1</v>
      </c>
      <c r="I10" s="12">
        <v>44017</v>
      </c>
      <c r="J10" s="12">
        <v>46010</v>
      </c>
      <c r="K10" t="s">
        <v>5</v>
      </c>
      <c r="L10" t="s">
        <v>260</v>
      </c>
      <c r="M10" t="s">
        <v>259</v>
      </c>
      <c r="N10" t="s">
        <v>38</v>
      </c>
      <c r="O10" t="s">
        <v>201</v>
      </c>
      <c r="Q10" t="s">
        <v>142</v>
      </c>
      <c r="R10" t="s">
        <v>169</v>
      </c>
      <c r="S10" t="s">
        <v>39</v>
      </c>
      <c r="U10" s="16" t="str">
        <f ca="1">IF(R10="cash",_xll.CashCollateral.New(S10),IF(R10="security",_xll.SecurityCollateral.New(_xll.SingleNameMarket.GetTicker(SingleNameMarket,T10)), _xll.NoCollateral.New()))</f>
        <v>OBJ_20504736</v>
      </c>
      <c r="V10" s="16" t="str">
        <f ca="1">_xll.BasketSet.GetBasket(BasketSet,E10)</f>
        <v>OBJ_-843401282</v>
      </c>
      <c r="W10" s="16" t="str">
        <f ca="1">IF(O10="ois",_xll.OisReference.New(D10,N10),IF(O10="libor",_xll.Libor.New(D10, P10,N10),))</f>
        <v>OBJ_1375974579</v>
      </c>
      <c r="X10" s="16" t="str">
        <f ca="1">_xll.BusinessSchedule.NewParametric(I10,J10,K10,"NONE",Q10,L10,M10)</f>
        <v>OBJ_-1953545592</v>
      </c>
      <c r="Y10" s="16" t="e">
        <f ca="1">IF(#REF!="None","-",_xll.BusinessSchedule.NewParametric(I10,J10,#REF!,"NONE",Q10,L10,M10))</f>
        <v>#REF!</v>
      </c>
      <c r="Z10" s="16" t="str">
        <f ca="1">_xll.AssetLegStd.New(X10,B10,C10,D10,V10,G10,H10,A10&amp;"_AssetLeg")</f>
        <v>OBJ_559487264</v>
      </c>
      <c r="AA10" s="16" t="str">
        <f ca="1">_xll.AssetLegFloatRate.New(X10,C10,B10,D10,V10,W10,F10,N10,G10,A10&amp;"_RateLeg")</f>
        <v>OBJ_1422590288</v>
      </c>
      <c r="AB10" s="16" t="str">
        <f ca="1">_xll.TotalReturnSwap.New(A10,Z10,AA10)</f>
        <v>OBJ_9734844</v>
      </c>
      <c r="AC10" s="16" t="str">
        <f ca="1">_xll.Book.AddInstrument(AC9,AB10,U10)</f>
        <v>OBJ_35502400</v>
      </c>
    </row>
    <row r="11" spans="1:29" x14ac:dyDescent="0.35">
      <c r="A11" t="s">
        <v>156</v>
      </c>
      <c r="B11" t="s">
        <v>143</v>
      </c>
      <c r="C11" t="s">
        <v>144</v>
      </c>
      <c r="D11" t="s">
        <v>39</v>
      </c>
      <c r="E11" t="s">
        <v>44</v>
      </c>
      <c r="F11">
        <v>0</v>
      </c>
      <c r="G11">
        <v>1</v>
      </c>
      <c r="H11">
        <v>1</v>
      </c>
      <c r="I11" s="12">
        <v>44017</v>
      </c>
      <c r="J11" s="12">
        <v>46374</v>
      </c>
      <c r="K11" t="s">
        <v>5</v>
      </c>
      <c r="L11" t="s">
        <v>260</v>
      </c>
      <c r="M11" t="s">
        <v>259</v>
      </c>
      <c r="N11" t="s">
        <v>38</v>
      </c>
      <c r="O11" t="s">
        <v>201</v>
      </c>
      <c r="Q11" t="s">
        <v>142</v>
      </c>
      <c r="R11" t="s">
        <v>169</v>
      </c>
      <c r="S11" t="s">
        <v>39</v>
      </c>
      <c r="U11" s="16" t="str">
        <f ca="1">IF(R11="cash",_xll.CashCollateral.New(S11),IF(R11="security",_xll.SecurityCollateral.New(_xll.SingleNameMarket.GetTicker(SingleNameMarket,T11)), _xll.NoCollateral.New()))</f>
        <v>OBJ_50270944</v>
      </c>
      <c r="V11" s="16" t="str">
        <f ca="1">_xll.BasketSet.GetBasket(BasketSet,E11)</f>
        <v>OBJ_-843401282</v>
      </c>
      <c r="W11" s="16" t="str">
        <f ca="1">IF(O11="ois",_xll.OisReference.New(D11,N11),IF(O11="libor",_xll.Libor.New(D11, P11,N11),))</f>
        <v>OBJ_1375974579</v>
      </c>
      <c r="X11" s="16" t="str">
        <f ca="1">_xll.BusinessSchedule.NewParametric(I11,J11,K11,"NONE",Q11,L11,M11)</f>
        <v>OBJ_-452565952</v>
      </c>
      <c r="Y11" s="16" t="e">
        <f ca="1">IF(#REF!="None","-",_xll.BusinessSchedule.NewParametric(I11,J11,#REF!,"NONE",Q11,L11,M11))</f>
        <v>#REF!</v>
      </c>
      <c r="Z11" s="16" t="str">
        <f ca="1">_xll.AssetLegStd.New(X11,B11,C11,D11,V11,G11,H11,A11&amp;"_AssetLeg")</f>
        <v>OBJ_591454259</v>
      </c>
      <c r="AA11" s="16" t="str">
        <f ca="1">_xll.AssetLegFloatRate.New(X11,C11,B11,D11,V11,W11,F11,N11,G11,A11&amp;"_RateLeg")</f>
        <v>OBJ_-284426112</v>
      </c>
      <c r="AB11" s="16" t="str">
        <f ca="1">_xll.TotalReturnSwap.New(A11,Z11,AA11)</f>
        <v>OBJ_50324903</v>
      </c>
      <c r="AC11" s="16" t="str">
        <f ca="1">_xll.Book.AddInstrument(AC10,AB11,U11)</f>
        <v>OBJ_35502400</v>
      </c>
    </row>
    <row r="12" spans="1:29" x14ac:dyDescent="0.35">
      <c r="A12" t="s">
        <v>157</v>
      </c>
      <c r="B12" t="s">
        <v>143</v>
      </c>
      <c r="C12" t="s">
        <v>144</v>
      </c>
      <c r="D12" t="s">
        <v>39</v>
      </c>
      <c r="E12" t="s">
        <v>44</v>
      </c>
      <c r="F12">
        <v>0</v>
      </c>
      <c r="G12">
        <v>1</v>
      </c>
      <c r="H12">
        <v>1</v>
      </c>
      <c r="I12" s="12">
        <v>44017</v>
      </c>
      <c r="J12" s="12">
        <v>46738</v>
      </c>
      <c r="K12" t="s">
        <v>5</v>
      </c>
      <c r="L12" t="s">
        <v>260</v>
      </c>
      <c r="M12" t="s">
        <v>259</v>
      </c>
      <c r="N12" t="s">
        <v>38</v>
      </c>
      <c r="O12" t="s">
        <v>201</v>
      </c>
      <c r="Q12" t="s">
        <v>142</v>
      </c>
      <c r="R12" t="s">
        <v>169</v>
      </c>
      <c r="S12" t="s">
        <v>39</v>
      </c>
      <c r="U12" s="16" t="str">
        <f ca="1">IF(R12="cash",_xll.CashCollateral.New(S12),IF(R12="security",_xll.SecurityCollateral.New(_xll.SingleNameMarket.GetTicker(SingleNameMarket,T12)), _xll.NoCollateral.New()))</f>
        <v>OBJ_45414681</v>
      </c>
      <c r="V12" s="16" t="str">
        <f ca="1">_xll.BasketSet.GetBasket(BasketSet,E12)</f>
        <v>OBJ_-843401282</v>
      </c>
      <c r="W12" s="16" t="str">
        <f ca="1">IF(O12="ois",_xll.OisReference.New(D12,N12),IF(O12="libor",_xll.Libor.New(D12, P12,N12),))</f>
        <v>OBJ_1375974579</v>
      </c>
      <c r="X12" s="16" t="str">
        <f ca="1">_xll.BusinessSchedule.NewParametric(I12,J12,K12,"NONE",Q12,L12,M12)</f>
        <v>OBJ_-1158464529</v>
      </c>
      <c r="Y12" s="16" t="e">
        <f ca="1">IF(#REF!="None","-",_xll.BusinessSchedule.NewParametric(I12,J12,#REF!,"NONE",Q12,L12,M12))</f>
        <v>#REF!</v>
      </c>
      <c r="Z12" s="16" t="str">
        <f ca="1">_xll.AssetLegStd.New(X12,B12,C12,D12,V12,G12,H12,A12&amp;"_AssetLeg")</f>
        <v>OBJ_-23348178</v>
      </c>
      <c r="AA12" s="16" t="str">
        <f ca="1">_xll.AssetLegFloatRate.New(X12,C12,B12,D12,V12,W12,F12,N12,G12,A12&amp;"_RateLeg")</f>
        <v>OBJ_125807024</v>
      </c>
      <c r="AB12" s="16" t="str">
        <f ca="1">_xll.TotalReturnSwap.New(A12,Z12,AA12)</f>
        <v>OBJ_49785318</v>
      </c>
      <c r="AC12" s="16" t="str">
        <f ca="1">_xll.Book.AddInstrument(AC11,AB12,U12)</f>
        <v>OBJ_35502400</v>
      </c>
    </row>
    <row r="13" spans="1:29" x14ac:dyDescent="0.35">
      <c r="A13" t="s">
        <v>158</v>
      </c>
      <c r="B13" t="s">
        <v>143</v>
      </c>
      <c r="C13" t="s">
        <v>144</v>
      </c>
      <c r="D13" t="s">
        <v>39</v>
      </c>
      <c r="E13" t="s">
        <v>44</v>
      </c>
      <c r="F13">
        <v>0</v>
      </c>
      <c r="G13">
        <v>1</v>
      </c>
      <c r="H13">
        <v>1</v>
      </c>
      <c r="I13" s="12">
        <v>44017</v>
      </c>
      <c r="J13" s="12">
        <v>47102</v>
      </c>
      <c r="K13" t="s">
        <v>5</v>
      </c>
      <c r="L13" t="s">
        <v>260</v>
      </c>
      <c r="M13" t="s">
        <v>259</v>
      </c>
      <c r="N13" t="s">
        <v>38</v>
      </c>
      <c r="O13" t="s">
        <v>201</v>
      </c>
      <c r="Q13" t="s">
        <v>142</v>
      </c>
      <c r="R13" t="s">
        <v>169</v>
      </c>
      <c r="S13" t="s">
        <v>39</v>
      </c>
      <c r="U13" s="16" t="str">
        <f ca="1">IF(R13="cash",_xll.CashCollateral.New(S13),IF(R13="security",_xll.SecurityCollateral.New(_xll.SingleNameMarket.GetTicker(SingleNameMarket,T13)), _xll.NoCollateral.New()))</f>
        <v>OBJ_54710514</v>
      </c>
      <c r="V13" s="16" t="str">
        <f ca="1">_xll.BasketSet.GetBasket(BasketSet,E13)</f>
        <v>OBJ_-843401282</v>
      </c>
      <c r="W13" s="16" t="str">
        <f ca="1">IF(O13="ois",_xll.OisReference.New(D13,N13),IF(O13="libor",_xll.Libor.New(D13, P13,N13),))</f>
        <v>OBJ_1375974579</v>
      </c>
      <c r="X13" s="16" t="str">
        <f ca="1">_xll.BusinessSchedule.NewParametric(I13,J13,K13,"NONE",Q13,L13,M13)</f>
        <v>OBJ_-188392025</v>
      </c>
      <c r="Y13" s="16" t="e">
        <f ca="1">IF(#REF!="None","-",_xll.BusinessSchedule.NewParametric(I13,J13,#REF!,"NONE",Q13,L13,M13))</f>
        <v>#REF!</v>
      </c>
      <c r="Z13" s="16" t="str">
        <f ca="1">_xll.AssetLegStd.New(X13,B13,C13,D13,V13,G13,H13,A13&amp;"_AssetLeg")</f>
        <v>OBJ_270564716</v>
      </c>
      <c r="AA13" s="16" t="str">
        <f ca="1">_xll.AssetLegFloatRate.New(X13,C13,B13,D13,V13,W13,F13,N13,G13,A13&amp;"_RateLeg")</f>
        <v>OBJ_1191839900</v>
      </c>
      <c r="AB13" s="16" t="str">
        <f ca="1">_xll.TotalReturnSwap.New(A13,Z13,AA13)</f>
        <v>OBJ_6078946</v>
      </c>
      <c r="AC13" s="16" t="str">
        <f ca="1">_xll.Book.AddInstrument(AC12,AB13,U13)</f>
        <v>OBJ_35502400</v>
      </c>
    </row>
    <row r="14" spans="1:29" x14ac:dyDescent="0.35">
      <c r="A14" t="s">
        <v>159</v>
      </c>
      <c r="B14" t="s">
        <v>143</v>
      </c>
      <c r="C14" t="s">
        <v>144</v>
      </c>
      <c r="D14" t="s">
        <v>39</v>
      </c>
      <c r="E14" t="s">
        <v>44</v>
      </c>
      <c r="F14">
        <v>0</v>
      </c>
      <c r="G14">
        <v>1</v>
      </c>
      <c r="H14">
        <v>0</v>
      </c>
      <c r="I14" s="12">
        <v>44017</v>
      </c>
      <c r="J14" s="12">
        <v>44092</v>
      </c>
      <c r="K14" t="s">
        <v>5</v>
      </c>
      <c r="L14" t="s">
        <v>260</v>
      </c>
      <c r="M14" t="s">
        <v>259</v>
      </c>
      <c r="N14" t="s">
        <v>38</v>
      </c>
      <c r="O14" t="s">
        <v>201</v>
      </c>
      <c r="Q14" t="s">
        <v>142</v>
      </c>
      <c r="R14" t="s">
        <v>169</v>
      </c>
      <c r="S14" t="s">
        <v>39</v>
      </c>
      <c r="U14" s="16" t="str">
        <f ca="1">IF(R14="cash",_xll.CashCollateral.New(S14),IF(R14="security",_xll.SecurityCollateral.New(_xll.SingleNameMarket.GetTicker(SingleNameMarket,T14)), _xll.NoCollateral.New()))</f>
        <v>OBJ_2366611</v>
      </c>
      <c r="V14" s="16" t="str">
        <f ca="1">_xll.BasketSet.GetBasket(BasketSet,E14)</f>
        <v>OBJ_-843401282</v>
      </c>
      <c r="W14" s="16" t="str">
        <f ca="1">IF(O14="ois",_xll.OisReference.New(D14,N14),IF(O14="libor",_xll.Libor.New(D14, P14,N14),))</f>
        <v>OBJ_1375974579</v>
      </c>
      <c r="X14" s="16" t="str">
        <f ca="1">_xll.BusinessSchedule.NewParametric(I14,J14,K14,"NONE",Q14,L14,M14)</f>
        <v>OBJ_-1172965612</v>
      </c>
      <c r="Y14" s="16" t="e">
        <f ca="1">IF(#REF!="None","-",_xll.BusinessSchedule.NewParametric(I14,J14,#REF!,"NONE",Q14,L14,M14))</f>
        <v>#REF!</v>
      </c>
      <c r="Z14" s="16" t="str">
        <f ca="1">_xll.AssetLegStd.New(X14,B14,C14,D14,V14,G14,H14,A14&amp;"_AssetLeg")</f>
        <v>OBJ_284743746</v>
      </c>
      <c r="AA14" s="16" t="str">
        <f ca="1">_xll.AssetLegFloatRate.New(X14,C14,B14,D14,V14,W14,F14,N14,G14,A14&amp;"_RateLeg")</f>
        <v>OBJ_-1321768695</v>
      </c>
      <c r="AB14" s="16" t="str">
        <f ca="1">_xll.TotalReturnSwap.New(A14,Z14,AA14)</f>
        <v>OBJ_22632578</v>
      </c>
      <c r="AC14" s="16" t="str">
        <f ca="1">_xll.Book.AddInstrument(AC13,AB14,U14)</f>
        <v>OBJ_35502400</v>
      </c>
    </row>
    <row r="15" spans="1:29" x14ac:dyDescent="0.35">
      <c r="A15" t="s">
        <v>261</v>
      </c>
      <c r="B15" t="s">
        <v>143</v>
      </c>
      <c r="C15" t="s">
        <v>144</v>
      </c>
      <c r="D15" t="s">
        <v>39</v>
      </c>
      <c r="E15" t="s">
        <v>44</v>
      </c>
      <c r="F15">
        <v>0</v>
      </c>
      <c r="G15">
        <v>1</v>
      </c>
      <c r="H15">
        <v>0</v>
      </c>
      <c r="I15" s="12">
        <v>44017</v>
      </c>
      <c r="J15" s="12">
        <v>44183</v>
      </c>
      <c r="K15" t="s">
        <v>5</v>
      </c>
      <c r="L15" t="s">
        <v>260</v>
      </c>
      <c r="M15" t="s">
        <v>259</v>
      </c>
      <c r="N15" t="s">
        <v>38</v>
      </c>
      <c r="O15" t="s">
        <v>201</v>
      </c>
      <c r="Q15" t="s">
        <v>142</v>
      </c>
      <c r="R15" t="s">
        <v>169</v>
      </c>
      <c r="S15" t="s">
        <v>39</v>
      </c>
      <c r="U15" s="16" t="str">
        <f ca="1">IF(R15="cash",_xll.CashCollateral.New(S15),IF(R15="security",_xll.SecurityCollateral.New(_xll.SingleNameMarket.GetTicker(SingleNameMarket,T15)), _xll.NoCollateral.New()))</f>
        <v>OBJ_57477797</v>
      </c>
      <c r="V15" s="16" t="str">
        <f ca="1">_xll.BasketSet.GetBasket(BasketSet,E15)</f>
        <v>OBJ_-843401282</v>
      </c>
      <c r="W15" s="16" t="str">
        <f ca="1">IF(O15="ois",_xll.OisReference.New(D15,N15),IF(O15="libor",_xll.Libor.New(D15, P15,N15),))</f>
        <v>OBJ_1375974579</v>
      </c>
      <c r="X15" s="16" t="str">
        <f ca="1">_xll.BusinessSchedule.NewParametric(I15,J15,K15,"NONE",Q15,L15,M15)</f>
        <v>OBJ_1669799810</v>
      </c>
      <c r="Y15" s="16" t="e">
        <f ca="1">IF(#REF!="None","-",_xll.BusinessSchedule.NewParametric(I15,J15,#REF!,"NONE",Q15,L15,M15))</f>
        <v>#REF!</v>
      </c>
      <c r="Z15" s="16" t="str">
        <f ca="1">_xll.AssetLegStd.New(X15,B15,C15,D15,V15,G15,H15,A15&amp;"_AssetLeg")</f>
        <v>OBJ_-803566116</v>
      </c>
      <c r="AA15" s="16" t="str">
        <f ca="1">_xll.AssetLegFloatRate.New(X15,C15,B15,D15,V15,W15,F15,N15,G15,A15&amp;"_RateLeg")</f>
        <v>OBJ_102654899</v>
      </c>
      <c r="AB15" s="16" t="str">
        <f ca="1">_xll.TotalReturnSwap.New(A15,Z15,AA15)</f>
        <v>OBJ_21299502</v>
      </c>
      <c r="AC15" s="16" t="str">
        <f ca="1">_xll.Book.AddInstrument(AC14,AB15,U15)</f>
        <v>OBJ_35502400</v>
      </c>
    </row>
    <row r="16" spans="1:29" x14ac:dyDescent="0.35">
      <c r="I16" s="12"/>
      <c r="J16" s="12"/>
      <c r="U16" s="16"/>
      <c r="V16" s="16"/>
      <c r="W16" s="16"/>
      <c r="X16" s="16"/>
      <c r="Y16" s="16"/>
      <c r="Z16" s="16"/>
      <c r="AA16" s="16"/>
      <c r="AB16" s="16"/>
      <c r="AC16" s="16"/>
    </row>
    <row r="17" spans="9:29" x14ac:dyDescent="0.35">
      <c r="I17" s="12"/>
      <c r="J17" s="12"/>
      <c r="U17" s="16"/>
      <c r="V17" s="16"/>
      <c r="W17" s="16"/>
      <c r="X17" s="16"/>
      <c r="Y17" s="16"/>
      <c r="Z17" s="16"/>
      <c r="AA17" s="16"/>
      <c r="AB17" s="16"/>
      <c r="AC17" s="16"/>
    </row>
    <row r="18" spans="9:29" x14ac:dyDescent="0.35">
      <c r="I18" s="12"/>
      <c r="J18" s="12"/>
      <c r="U18" s="16"/>
      <c r="V18" s="16"/>
      <c r="W18" s="16"/>
      <c r="X18" s="16"/>
      <c r="Y18" s="16"/>
      <c r="Z18" s="16"/>
      <c r="AA18" s="16"/>
      <c r="AB18" s="16"/>
      <c r="AC18" s="16"/>
    </row>
    <row r="19" spans="9:29" x14ac:dyDescent="0.35">
      <c r="I19" s="12"/>
      <c r="J19" s="12"/>
      <c r="U19" s="16"/>
      <c r="V19" s="16"/>
      <c r="W19" s="16"/>
      <c r="X19" s="16"/>
      <c r="Y19" s="16"/>
      <c r="Z19" s="16"/>
      <c r="AA19" s="16"/>
      <c r="AB19" s="16"/>
      <c r="AC19" s="16"/>
    </row>
    <row r="20" spans="9:29" x14ac:dyDescent="0.35">
      <c r="I20" s="12"/>
      <c r="J20" s="12"/>
      <c r="U20" s="16"/>
      <c r="V20" s="16"/>
      <c r="W20" s="16"/>
      <c r="X20" s="16"/>
      <c r="Y20" s="16"/>
      <c r="Z20" s="16"/>
      <c r="AA20" s="16"/>
      <c r="AB20" s="16"/>
      <c r="AC20" s="16"/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C27"/>
  <sheetViews>
    <sheetView workbookViewId="0">
      <selection sqref="A1:XFD1048576"/>
    </sheetView>
  </sheetViews>
  <sheetFormatPr defaultRowHeight="14.5" x14ac:dyDescent="0.35"/>
  <cols>
    <col min="1" max="1" width="19.90625" bestFit="1" customWidth="1"/>
    <col min="2" max="2" width="14.81640625" bestFit="1" customWidth="1"/>
    <col min="3" max="3" width="13" bestFit="1" customWidth="1"/>
    <col min="4" max="4" width="2.26953125" customWidth="1"/>
  </cols>
  <sheetData>
    <row r="1" spans="1:3" ht="15" thickBot="1" x14ac:dyDescent="0.4">
      <c r="A1" s="9" t="s">
        <v>277</v>
      </c>
      <c r="B1" s="16" t="str">
        <f ca="1">B27</f>
        <v>OBJ_47538127</v>
      </c>
    </row>
    <row r="2" spans="1:3" ht="15" thickBot="1" x14ac:dyDescent="0.4"/>
    <row r="3" spans="1:3" ht="15" thickBot="1" x14ac:dyDescent="0.4">
      <c r="A3" s="9" t="s">
        <v>264</v>
      </c>
      <c r="B3" s="9"/>
      <c r="C3" s="9"/>
    </row>
    <row r="4" spans="1:3" ht="15" thickBot="1" x14ac:dyDescent="0.4">
      <c r="A4" s="9" t="s">
        <v>199</v>
      </c>
      <c r="B4" s="16" t="str">
        <f ca="1">_xll.DiscountCurveBootstrapperOis.New()</f>
        <v>OBJ_9553281</v>
      </c>
    </row>
    <row r="5" spans="1:3" ht="15" thickBot="1" x14ac:dyDescent="0.4">
      <c r="A5" s="9" t="s">
        <v>180</v>
      </c>
      <c r="B5" s="16" t="str">
        <f ca="1">_xll.Markets.NewOisCurveMarket(OisSheets,B4)</f>
        <v>OBJ_54719288</v>
      </c>
    </row>
    <row r="7" spans="1:3" x14ac:dyDescent="0.35">
      <c r="A7" s="26" t="s">
        <v>182</v>
      </c>
      <c r="B7" s="16" t="str">
        <f ca="1">_xll.Markets.NewFxCurveMarket(FxSheet,OisSheets,B4)</f>
        <v>OBJ_58066551</v>
      </c>
    </row>
    <row r="8" spans="1:3" x14ac:dyDescent="0.35">
      <c r="A8" s="27"/>
    </row>
    <row r="9" spans="1:3" ht="15" thickBot="1" x14ac:dyDescent="0.4">
      <c r="A9" s="26" t="s">
        <v>265</v>
      </c>
      <c r="B9" s="16" t="str">
        <f ca="1">_xll.FwdCurveBootstrapperOis.New()</f>
        <v>OBJ_22711550</v>
      </c>
    </row>
    <row r="10" spans="1:3" ht="15" thickBot="1" x14ac:dyDescent="0.4">
      <c r="A10" s="9" t="s">
        <v>200</v>
      </c>
      <c r="B10" s="16" t="str">
        <f ca="1">_xll.ForwardCurveBootstrapperCashFutSwap.New(B4)</f>
        <v>OBJ_3077358</v>
      </c>
    </row>
    <row r="11" spans="1:3" ht="15" thickBot="1" x14ac:dyDescent="0.4">
      <c r="A11" s="28" t="s">
        <v>181</v>
      </c>
      <c r="B11" s="16" t="str">
        <f ca="1">_xll.Markets.NewForwardRateCurveMarket(OisSheets,B9,ForwardRatesSheets,B10)</f>
        <v>OBJ_20478258</v>
      </c>
    </row>
    <row r="12" spans="1:3" ht="15" thickBot="1" x14ac:dyDescent="0.4">
      <c r="A12" s="27"/>
    </row>
    <row r="13" spans="1:3" ht="15" thickBot="1" x14ac:dyDescent="0.4">
      <c r="A13" s="28" t="s">
        <v>268</v>
      </c>
      <c r="B13" s="16" t="str">
        <f ca="1">_xll.LiborAsDiscount.New(B10)</f>
        <v>OBJ_50086598</v>
      </c>
    </row>
    <row r="14" spans="1:3" x14ac:dyDescent="0.35">
      <c r="A14" s="26" t="s">
        <v>267</v>
      </c>
      <c r="B14" s="16" t="str">
        <f ca="1">_xll.Markets.NewLiborDiscountingMarket(OisSheets,ForwardRatesSheets,B13)</f>
        <v>OBJ_64330188</v>
      </c>
    </row>
    <row r="15" spans="1:3" ht="15" thickBot="1" x14ac:dyDescent="0.4">
      <c r="A15" s="27"/>
    </row>
    <row r="16" spans="1:3" ht="15" thickBot="1" x14ac:dyDescent="0.4">
      <c r="A16" s="28" t="s">
        <v>183</v>
      </c>
      <c r="B16" s="16" t="str">
        <f ca="1">_xll.Markets.NewSingleNameMarket(SingleNameSheet)</f>
        <v>OBJ_42100785</v>
      </c>
    </row>
    <row r="17" spans="1:3" x14ac:dyDescent="0.35">
      <c r="A17" s="27"/>
    </row>
    <row r="18" spans="1:3" x14ac:dyDescent="0.35">
      <c r="A18" s="26" t="s">
        <v>185</v>
      </c>
      <c r="B18" s="16" t="str">
        <f ca="1">_xll.RepoCurveBootstrapper.New()</f>
        <v>OBJ_41543166</v>
      </c>
    </row>
    <row r="19" spans="1:3" x14ac:dyDescent="0.35">
      <c r="A19" s="26" t="s">
        <v>184</v>
      </c>
      <c r="B19" s="16" t="str">
        <f ca="1">_xll.Markets.NewRepoMarket(Repos!B1,B18)</f>
        <v>OBJ_38344177</v>
      </c>
    </row>
    <row r="21" spans="1:3" x14ac:dyDescent="0.35">
      <c r="A21" s="15" t="s">
        <v>186</v>
      </c>
      <c r="B21" s="16" t="str">
        <f ca="1">_xll.DividendCurveBootstrapper.New()</f>
        <v>OBJ_25383117</v>
      </c>
      <c r="C21" s="16" t="str">
        <f ca="1">_xll.DividendMarket.New(COB)</f>
        <v>OBJ_25189967</v>
      </c>
    </row>
    <row r="22" spans="1:3" x14ac:dyDescent="0.35">
      <c r="A22" s="15" t="s">
        <v>187</v>
      </c>
      <c r="B22" s="16" t="str">
        <f ca="1">C24</f>
        <v>OBJ_25189967</v>
      </c>
      <c r="C22" s="16"/>
    </row>
    <row r="23" spans="1:3" x14ac:dyDescent="0.35">
      <c r="A23" s="14" t="s">
        <v>113</v>
      </c>
      <c r="B23" s="14" t="s">
        <v>167</v>
      </c>
      <c r="C23" s="14" t="s">
        <v>123</v>
      </c>
    </row>
    <row r="24" spans="1:3" x14ac:dyDescent="0.35">
      <c r="A24" t="s">
        <v>44</v>
      </c>
      <c r="B24" t="s">
        <v>44</v>
      </c>
      <c r="C24" s="16" t="str">
        <f ca="1">_xll.Markets.AddDividendSheet(C21,A24,DividendEstimates,DividendRough,B24,BasketSet,$B$21)</f>
        <v>OBJ_25189967</v>
      </c>
    </row>
    <row r="26" spans="1:3" x14ac:dyDescent="0.35">
      <c r="A26" s="15" t="s">
        <v>276</v>
      </c>
      <c r="B26" s="16" t="str">
        <f ca="1">_xll.GlobalMarket.NewWithoutHisto(B22,RepoMarket,B5,B11,B14,B16,B7)</f>
        <v>OBJ_52836911</v>
      </c>
    </row>
    <row r="27" spans="1:3" x14ac:dyDescent="0.35">
      <c r="A27" s="16" t="str">
        <f ca="1">_xll.PricingContextSet.New()</f>
        <v>OBJ_47538127</v>
      </c>
      <c r="B27" s="16" t="str">
        <f ca="1">_xll.PricingContextSet.AddContext(A27,A26,B26)</f>
        <v>OBJ_47538127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Z61"/>
  <sheetViews>
    <sheetView workbookViewId="0">
      <selection sqref="A1:XFD1048576"/>
    </sheetView>
  </sheetViews>
  <sheetFormatPr defaultRowHeight="14.5" x14ac:dyDescent="0.35"/>
  <cols>
    <col min="1" max="1" width="12.90625" bestFit="1" customWidth="1"/>
    <col min="2" max="4" width="14.6328125" bestFit="1" customWidth="1"/>
  </cols>
  <sheetData>
    <row r="1" spans="1:52" ht="15" thickBot="1" x14ac:dyDescent="0.4">
      <c r="A1" s="9" t="s">
        <v>282</v>
      </c>
      <c r="B1" s="16" t="str">
        <f ca="1">C8</f>
        <v>OBJ_5770151</v>
      </c>
    </row>
    <row r="2" spans="1:52" ht="15" thickBot="1" x14ac:dyDescent="0.4"/>
    <row r="3" spans="1:52" ht="15" thickBot="1" x14ac:dyDescent="0.4">
      <c r="A3" s="9" t="s">
        <v>113</v>
      </c>
      <c r="B3" t="s">
        <v>44</v>
      </c>
      <c r="C3" t="s">
        <v>44</v>
      </c>
      <c r="D3" t="s">
        <v>44</v>
      </c>
    </row>
    <row r="4" spans="1:52" ht="15" thickBot="1" x14ac:dyDescent="0.4">
      <c r="A4" s="9" t="s">
        <v>281</v>
      </c>
      <c r="B4" s="16" t="str">
        <f ca="1">_xll.BasketSet.GetBasket(BasketSet,B3)</f>
        <v>OBJ_-843401282</v>
      </c>
      <c r="C4" s="16" t="str">
        <f ca="1">_xll.BasketSet.GetBasket(BasketSet,C3)</f>
        <v>OBJ_-843401282</v>
      </c>
      <c r="D4" s="16" t="str">
        <f ca="1">_xll.BasketSet.GetBasket(BasketSet,D3)</f>
        <v>OBJ_-843401282</v>
      </c>
    </row>
    <row r="5" spans="1:52" ht="15" thickBot="1" x14ac:dyDescent="0.4">
      <c r="A5" s="9" t="s">
        <v>278</v>
      </c>
      <c r="B5">
        <v>15</v>
      </c>
      <c r="C5">
        <v>2</v>
      </c>
    </row>
    <row r="6" spans="1:52" ht="15" thickBot="1" x14ac:dyDescent="0.4">
      <c r="A6" s="9" t="s">
        <v>130</v>
      </c>
      <c r="B6" t="s">
        <v>280</v>
      </c>
      <c r="C6" t="s">
        <v>283</v>
      </c>
      <c r="D6" t="s">
        <v>33</v>
      </c>
    </row>
    <row r="7" spans="1:52" x14ac:dyDescent="0.35">
      <c r="A7" s="15" t="s">
        <v>279</v>
      </c>
      <c r="B7" s="16" t="str">
        <f ca="1">_xll.BlackScholesBasket.New([1]!ccol($B$12),[1]!ccol($A$12),$C$12:$AZ$61,B4,B5)</f>
        <v>OBJ_64729059</v>
      </c>
      <c r="C7" s="16" t="str">
        <f ca="1">_xll.BlackScholesBasket.New([1]!ccol($B$12),[1]!ccol($A$12),$C$12:$AZ$61,C4,C5)</f>
        <v>OBJ_45690626</v>
      </c>
      <c r="D7" s="16" t="str">
        <f ca="1">_xll.StaticModel.New(D4)</f>
        <v>OBJ_51931360</v>
      </c>
    </row>
    <row r="8" spans="1:52" x14ac:dyDescent="0.35">
      <c r="A8" s="16" t="str">
        <f ca="1">_xll.ModelSet.New()</f>
        <v>OBJ_5770151</v>
      </c>
      <c r="B8" s="16" t="str">
        <f ca="1">_xll.ModelSet.AddModel(A8,B6,B7)</f>
        <v>OBJ_5770151</v>
      </c>
      <c r="C8" s="16" t="str">
        <f ca="1">_xll.ModelSet.AddModel(B8,C6,C7)</f>
        <v>OBJ_5770151</v>
      </c>
      <c r="D8" s="16" t="str">
        <f ca="1">_xll.ModelSet.AddModel(C8,D6,D7)</f>
        <v>OBJ_5770151</v>
      </c>
    </row>
    <row r="10" spans="1:52" ht="15" thickBot="1" x14ac:dyDescent="0.4"/>
    <row r="11" spans="1:52" ht="15" thickBot="1" x14ac:dyDescent="0.4">
      <c r="A11" s="9" t="s">
        <v>306</v>
      </c>
      <c r="C11" s="9" t="s">
        <v>208</v>
      </c>
      <c r="D11" s="9" t="s">
        <v>209</v>
      </c>
      <c r="E11" s="9" t="s">
        <v>210</v>
      </c>
      <c r="F11" s="9" t="s">
        <v>211</v>
      </c>
      <c r="G11" s="9" t="s">
        <v>212</v>
      </c>
      <c r="H11" s="9" t="s">
        <v>213</v>
      </c>
      <c r="I11" s="9" t="s">
        <v>214</v>
      </c>
      <c r="J11" s="9" t="s">
        <v>215</v>
      </c>
      <c r="K11" s="9" t="s">
        <v>216</v>
      </c>
      <c r="L11" s="9" t="s">
        <v>217</v>
      </c>
      <c r="M11" s="9" t="s">
        <v>218</v>
      </c>
      <c r="N11" s="9" t="s">
        <v>219</v>
      </c>
      <c r="O11" s="9" t="s">
        <v>220</v>
      </c>
      <c r="P11" s="9" t="s">
        <v>221</v>
      </c>
      <c r="Q11" s="9" t="s">
        <v>222</v>
      </c>
      <c r="R11" s="9" t="s">
        <v>223</v>
      </c>
      <c r="S11" s="9" t="s">
        <v>224</v>
      </c>
      <c r="T11" s="9" t="s">
        <v>225</v>
      </c>
      <c r="U11" s="9" t="s">
        <v>226</v>
      </c>
      <c r="V11" s="9" t="s">
        <v>227</v>
      </c>
      <c r="W11" s="9" t="s">
        <v>228</v>
      </c>
      <c r="X11" s="9" t="s">
        <v>229</v>
      </c>
      <c r="Y11" s="9" t="s">
        <v>230</v>
      </c>
      <c r="Z11" s="9" t="s">
        <v>231</v>
      </c>
      <c r="AA11" s="9" t="s">
        <v>232</v>
      </c>
      <c r="AB11" s="9" t="s">
        <v>233</v>
      </c>
      <c r="AC11" s="9" t="s">
        <v>234</v>
      </c>
      <c r="AD11" s="9" t="s">
        <v>235</v>
      </c>
      <c r="AE11" s="9" t="s">
        <v>236</v>
      </c>
      <c r="AF11" s="9" t="s">
        <v>237</v>
      </c>
      <c r="AG11" s="9" t="s">
        <v>238</v>
      </c>
      <c r="AH11" s="9" t="s">
        <v>239</v>
      </c>
      <c r="AI11" s="9" t="s">
        <v>240</v>
      </c>
      <c r="AJ11" s="9" t="s">
        <v>241</v>
      </c>
      <c r="AK11" s="9" t="s">
        <v>242</v>
      </c>
      <c r="AL11" s="9" t="s">
        <v>243</v>
      </c>
      <c r="AM11" s="9" t="s">
        <v>244</v>
      </c>
      <c r="AN11" s="9" t="s">
        <v>245</v>
      </c>
      <c r="AO11" s="9" t="s">
        <v>246</v>
      </c>
      <c r="AP11" s="9" t="s">
        <v>247</v>
      </c>
      <c r="AQ11" s="9" t="s">
        <v>248</v>
      </c>
      <c r="AR11" s="9" t="s">
        <v>249</v>
      </c>
      <c r="AS11" s="9" t="s">
        <v>250</v>
      </c>
      <c r="AT11" s="9" t="s">
        <v>251</v>
      </c>
      <c r="AU11" s="9" t="s">
        <v>252</v>
      </c>
      <c r="AV11" s="9" t="s">
        <v>253</v>
      </c>
      <c r="AW11" s="9" t="s">
        <v>254</v>
      </c>
      <c r="AX11" s="9" t="s">
        <v>255</v>
      </c>
      <c r="AY11" s="9" t="s">
        <v>256</v>
      </c>
      <c r="AZ11" s="9" t="s">
        <v>258</v>
      </c>
    </row>
    <row r="12" spans="1:52" ht="15" thickBot="1" x14ac:dyDescent="0.4">
      <c r="A12">
        <v>0.2</v>
      </c>
      <c r="B12" s="9" t="s">
        <v>208</v>
      </c>
      <c r="C12">
        <f ca="1">EXP(-0.1*ABS(COLUMN(C11)-COLUMN($C$11) - ROW(B12)+ROW($B$12)))</f>
        <v>1</v>
      </c>
      <c r="D12">
        <f t="shared" ref="D12:AZ17" ca="1" si="0">EXP(-0.1*ABS(COLUMN(D11)-COLUMN($C$11) - ROW(C12)+ROW($B$12)))</f>
        <v>0.90483741803595952</v>
      </c>
      <c r="E12">
        <f t="shared" ca="1" si="0"/>
        <v>0.81873075307798182</v>
      </c>
      <c r="F12">
        <f t="shared" ca="1" si="0"/>
        <v>0.74081822068171788</v>
      </c>
      <c r="G12">
        <f t="shared" ca="1" si="0"/>
        <v>0.67032004603563933</v>
      </c>
      <c r="H12">
        <f t="shared" ca="1" si="0"/>
        <v>0.60653065971263342</v>
      </c>
      <c r="I12">
        <f t="shared" ca="1" si="0"/>
        <v>0.54881163609402639</v>
      </c>
      <c r="J12">
        <f t="shared" ca="1" si="0"/>
        <v>0.49658530379140947</v>
      </c>
      <c r="K12">
        <f t="shared" ca="1" si="0"/>
        <v>0.44932896411722156</v>
      </c>
      <c r="L12">
        <f t="shared" ca="1" si="0"/>
        <v>0.40656965974059911</v>
      </c>
      <c r="M12">
        <f t="shared" ca="1" si="0"/>
        <v>0.36787944117144233</v>
      </c>
      <c r="N12">
        <f t="shared" ca="1" si="0"/>
        <v>0.33287108369807955</v>
      </c>
      <c r="O12">
        <f t="shared" ca="1" si="0"/>
        <v>0.30119421191220203</v>
      </c>
      <c r="P12">
        <f t="shared" ca="1" si="0"/>
        <v>0.27253179303401259</v>
      </c>
      <c r="Q12">
        <f t="shared" ca="1" si="0"/>
        <v>0.24659696394160643</v>
      </c>
      <c r="R12">
        <f t="shared" ca="1" si="0"/>
        <v>0.22313016014842982</v>
      </c>
      <c r="S12">
        <f t="shared" ca="1" si="0"/>
        <v>0.20189651799465538</v>
      </c>
      <c r="T12">
        <f t="shared" ca="1" si="0"/>
        <v>0.18268352405273461</v>
      </c>
      <c r="U12">
        <f t="shared" ca="1" si="0"/>
        <v>0.16529888822158653</v>
      </c>
      <c r="V12">
        <f t="shared" ca="1" si="0"/>
        <v>0.14956861922263504</v>
      </c>
      <c r="W12">
        <f t="shared" ca="1" si="0"/>
        <v>0.1353352832366127</v>
      </c>
      <c r="X12">
        <f t="shared" ca="1" si="0"/>
        <v>0.12245642825298191</v>
      </c>
      <c r="Y12">
        <f t="shared" ca="1" si="0"/>
        <v>0.11080315836233387</v>
      </c>
      <c r="Z12">
        <f t="shared" ca="1" si="0"/>
        <v>0.10025884372280371</v>
      </c>
      <c r="AA12">
        <f t="shared" ca="1" si="0"/>
        <v>9.071795328941247E-2</v>
      </c>
      <c r="AB12">
        <f t="shared" ca="1" si="0"/>
        <v>8.20849986238988E-2</v>
      </c>
      <c r="AC12">
        <f t="shared" ca="1" si="0"/>
        <v>7.4273578214333877E-2</v>
      </c>
      <c r="AD12">
        <f t="shared" ca="1" si="0"/>
        <v>6.7205512739749756E-2</v>
      </c>
      <c r="AE12">
        <f t="shared" ca="1" si="0"/>
        <v>6.0810062625217952E-2</v>
      </c>
      <c r="AF12">
        <f t="shared" ca="1" si="0"/>
        <v>5.502322005640721E-2</v>
      </c>
      <c r="AG12">
        <f t="shared" ca="1" si="0"/>
        <v>4.9787068367863944E-2</v>
      </c>
      <c r="AH12">
        <f t="shared" ca="1" si="0"/>
        <v>4.5049202393557801E-2</v>
      </c>
      <c r="AI12">
        <f t="shared" ca="1" si="0"/>
        <v>4.0762203978366211E-2</v>
      </c>
      <c r="AJ12">
        <f t="shared" ca="1" si="0"/>
        <v>3.6883167401239994E-2</v>
      </c>
      <c r="AK12">
        <f t="shared" ca="1" si="0"/>
        <v>3.3373269960326066E-2</v>
      </c>
      <c r="AL12">
        <f t="shared" ca="1" si="0"/>
        <v>3.0197383422318501E-2</v>
      </c>
      <c r="AM12">
        <f t="shared" ca="1" si="0"/>
        <v>2.7323722447292559E-2</v>
      </c>
      <c r="AN12">
        <f t="shared" ca="1" si="0"/>
        <v>2.4723526470339388E-2</v>
      </c>
      <c r="AO12">
        <f t="shared" ca="1" si="0"/>
        <v>2.2370771856165591E-2</v>
      </c>
      <c r="AP12">
        <f t="shared" ca="1" si="0"/>
        <v>2.0241911445804381E-2</v>
      </c>
      <c r="AQ12">
        <f t="shared" ca="1" si="0"/>
        <v>1.8315638888734179E-2</v>
      </c>
      <c r="AR12">
        <f t="shared" ca="1" si="0"/>
        <v>1.6572675401761237E-2</v>
      </c>
      <c r="AS12">
        <f t="shared" ca="1" si="0"/>
        <v>1.4995576820477703E-2</v>
      </c>
      <c r="AT12">
        <f t="shared" ca="1" si="0"/>
        <v>1.3568559012200934E-2</v>
      </c>
      <c r="AU12">
        <f t="shared" ca="1" si="0"/>
        <v>1.2277339903068436E-2</v>
      </c>
      <c r="AV12">
        <f t="shared" ca="1" si="0"/>
        <v>1.1108996538242306E-2</v>
      </c>
      <c r="AW12">
        <f t="shared" ca="1" si="0"/>
        <v>1.0051835744633576E-2</v>
      </c>
      <c r="AX12">
        <f t="shared" ca="1" si="0"/>
        <v>9.0952771016958155E-3</v>
      </c>
      <c r="AY12">
        <f t="shared" ca="1" si="0"/>
        <v>8.2297470490200232E-3</v>
      </c>
      <c r="AZ12">
        <f t="shared" ca="1" si="0"/>
        <v>7.4465830709243381E-3</v>
      </c>
    </row>
    <row r="13" spans="1:52" ht="15" thickBot="1" x14ac:dyDescent="0.4">
      <c r="A13">
        <v>0.2</v>
      </c>
      <c r="B13" s="9" t="s">
        <v>209</v>
      </c>
      <c r="C13">
        <f t="shared" ref="C13:C61" ca="1" si="1">EXP(-0.1*ABS(COLUMN(C12)-COLUMN($C$11) - ROW(B13)+ROW($B$12)))</f>
        <v>0.90483741803595952</v>
      </c>
      <c r="D13">
        <f t="shared" ca="1" si="0"/>
        <v>1</v>
      </c>
      <c r="E13">
        <f t="shared" ca="1" si="0"/>
        <v>0.90483741803595952</v>
      </c>
      <c r="F13">
        <f t="shared" ca="1" si="0"/>
        <v>0.81873075307798182</v>
      </c>
      <c r="G13">
        <f t="shared" ca="1" si="0"/>
        <v>0.74081822068171788</v>
      </c>
      <c r="H13">
        <f t="shared" ca="1" si="0"/>
        <v>0.67032004603563933</v>
      </c>
      <c r="I13">
        <f t="shared" ca="1" si="0"/>
        <v>0.60653065971263342</v>
      </c>
      <c r="J13">
        <f t="shared" ca="1" si="0"/>
        <v>0.54881163609402639</v>
      </c>
      <c r="K13">
        <f t="shared" ca="1" si="0"/>
        <v>0.49658530379140947</v>
      </c>
      <c r="L13">
        <f t="shared" ca="1" si="0"/>
        <v>0.44932896411722156</v>
      </c>
      <c r="M13">
        <f t="shared" ca="1" si="0"/>
        <v>0.40656965974059911</v>
      </c>
      <c r="N13">
        <f t="shared" ca="1" si="0"/>
        <v>0.36787944117144233</v>
      </c>
      <c r="O13">
        <f t="shared" ca="1" si="0"/>
        <v>0.33287108369807955</v>
      </c>
      <c r="P13">
        <f t="shared" ca="1" si="0"/>
        <v>0.30119421191220203</v>
      </c>
      <c r="Q13">
        <f t="shared" ca="1" si="0"/>
        <v>0.27253179303401259</v>
      </c>
      <c r="R13">
        <f t="shared" ca="1" si="0"/>
        <v>0.24659696394160643</v>
      </c>
      <c r="S13">
        <f t="shared" ca="1" si="0"/>
        <v>0.22313016014842982</v>
      </c>
      <c r="T13">
        <f t="shared" ca="1" si="0"/>
        <v>0.20189651799465538</v>
      </c>
      <c r="U13">
        <f t="shared" ca="1" si="0"/>
        <v>0.18268352405273461</v>
      </c>
      <c r="V13">
        <f t="shared" ca="1" si="0"/>
        <v>0.16529888822158653</v>
      </c>
      <c r="W13">
        <f t="shared" ca="1" si="0"/>
        <v>0.14956861922263504</v>
      </c>
      <c r="X13">
        <f t="shared" ca="1" si="0"/>
        <v>0.1353352832366127</v>
      </c>
      <c r="Y13">
        <f t="shared" ca="1" si="0"/>
        <v>0.12245642825298191</v>
      </c>
      <c r="Z13">
        <f t="shared" ca="1" si="0"/>
        <v>0.11080315836233387</v>
      </c>
      <c r="AA13">
        <f t="shared" ca="1" si="0"/>
        <v>0.10025884372280371</v>
      </c>
      <c r="AB13">
        <f t="shared" ca="1" si="0"/>
        <v>9.071795328941247E-2</v>
      </c>
      <c r="AC13">
        <f t="shared" ca="1" si="0"/>
        <v>8.20849986238988E-2</v>
      </c>
      <c r="AD13">
        <f t="shared" ca="1" si="0"/>
        <v>7.4273578214333877E-2</v>
      </c>
      <c r="AE13">
        <f t="shared" ca="1" si="0"/>
        <v>6.7205512739749756E-2</v>
      </c>
      <c r="AF13">
        <f t="shared" ca="1" si="0"/>
        <v>6.0810062625217952E-2</v>
      </c>
      <c r="AG13">
        <f t="shared" ca="1" si="0"/>
        <v>5.502322005640721E-2</v>
      </c>
      <c r="AH13">
        <f t="shared" ca="1" si="0"/>
        <v>4.9787068367863944E-2</v>
      </c>
      <c r="AI13">
        <f t="shared" ca="1" si="0"/>
        <v>4.5049202393557801E-2</v>
      </c>
      <c r="AJ13">
        <f t="shared" ca="1" si="0"/>
        <v>4.0762203978366211E-2</v>
      </c>
      <c r="AK13">
        <f t="shared" ca="1" si="0"/>
        <v>3.6883167401239994E-2</v>
      </c>
      <c r="AL13">
        <f t="shared" ca="1" si="0"/>
        <v>3.3373269960326066E-2</v>
      </c>
      <c r="AM13">
        <f t="shared" ca="1" si="0"/>
        <v>3.0197383422318501E-2</v>
      </c>
      <c r="AN13">
        <f t="shared" ca="1" si="0"/>
        <v>2.7323722447292559E-2</v>
      </c>
      <c r="AO13">
        <f t="shared" ca="1" si="0"/>
        <v>2.4723526470339388E-2</v>
      </c>
      <c r="AP13">
        <f t="shared" ca="1" si="0"/>
        <v>2.2370771856165591E-2</v>
      </c>
      <c r="AQ13">
        <f t="shared" ca="1" si="0"/>
        <v>2.0241911445804381E-2</v>
      </c>
      <c r="AR13">
        <f t="shared" ca="1" si="0"/>
        <v>1.8315638888734179E-2</v>
      </c>
      <c r="AS13">
        <f t="shared" ca="1" si="0"/>
        <v>1.6572675401761237E-2</v>
      </c>
      <c r="AT13">
        <f t="shared" ca="1" si="0"/>
        <v>1.4995576820477703E-2</v>
      </c>
      <c r="AU13">
        <f t="shared" ca="1" si="0"/>
        <v>1.3568559012200934E-2</v>
      </c>
      <c r="AV13">
        <f t="shared" ca="1" si="0"/>
        <v>1.2277339903068436E-2</v>
      </c>
      <c r="AW13">
        <f t="shared" ca="1" si="0"/>
        <v>1.1108996538242306E-2</v>
      </c>
      <c r="AX13">
        <f t="shared" ca="1" si="0"/>
        <v>1.0051835744633576E-2</v>
      </c>
      <c r="AY13">
        <f t="shared" ca="1" si="0"/>
        <v>9.0952771016958155E-3</v>
      </c>
      <c r="AZ13">
        <f t="shared" ca="1" si="0"/>
        <v>8.2297470490200232E-3</v>
      </c>
    </row>
    <row r="14" spans="1:52" ht="15" thickBot="1" x14ac:dyDescent="0.4">
      <c r="A14">
        <v>0.2</v>
      </c>
      <c r="B14" s="9" t="s">
        <v>210</v>
      </c>
      <c r="C14">
        <f t="shared" ca="1" si="1"/>
        <v>0.81873075307798182</v>
      </c>
      <c r="D14">
        <f t="shared" ca="1" si="0"/>
        <v>0.90483741803595952</v>
      </c>
      <c r="E14">
        <f t="shared" ca="1" si="0"/>
        <v>1</v>
      </c>
      <c r="F14">
        <f t="shared" ca="1" si="0"/>
        <v>0.90483741803595952</v>
      </c>
      <c r="G14">
        <f t="shared" ca="1" si="0"/>
        <v>0.81873075307798182</v>
      </c>
      <c r="H14">
        <f t="shared" ca="1" si="0"/>
        <v>0.74081822068171788</v>
      </c>
      <c r="I14">
        <f t="shared" ca="1" si="0"/>
        <v>0.67032004603563933</v>
      </c>
      <c r="J14">
        <f t="shared" ca="1" si="0"/>
        <v>0.60653065971263342</v>
      </c>
      <c r="K14">
        <f t="shared" ca="1" si="0"/>
        <v>0.54881163609402639</v>
      </c>
      <c r="L14">
        <f t="shared" ca="1" si="0"/>
        <v>0.49658530379140947</v>
      </c>
      <c r="M14">
        <f t="shared" ca="1" si="0"/>
        <v>0.44932896411722156</v>
      </c>
      <c r="N14">
        <f t="shared" ca="1" si="0"/>
        <v>0.40656965974059911</v>
      </c>
      <c r="O14">
        <f t="shared" ca="1" si="0"/>
        <v>0.36787944117144233</v>
      </c>
      <c r="P14">
        <f t="shared" ca="1" si="0"/>
        <v>0.33287108369807955</v>
      </c>
      <c r="Q14">
        <f t="shared" ca="1" si="0"/>
        <v>0.30119421191220203</v>
      </c>
      <c r="R14">
        <f t="shared" ca="1" si="0"/>
        <v>0.27253179303401259</v>
      </c>
      <c r="S14">
        <f t="shared" ca="1" si="0"/>
        <v>0.24659696394160643</v>
      </c>
      <c r="T14">
        <f t="shared" ca="1" si="0"/>
        <v>0.22313016014842982</v>
      </c>
      <c r="U14">
        <f t="shared" ca="1" si="0"/>
        <v>0.20189651799465538</v>
      </c>
      <c r="V14">
        <f t="shared" ca="1" si="0"/>
        <v>0.18268352405273461</v>
      </c>
      <c r="W14">
        <f t="shared" ca="1" si="0"/>
        <v>0.16529888822158653</v>
      </c>
      <c r="X14">
        <f t="shared" ca="1" si="0"/>
        <v>0.14956861922263504</v>
      </c>
      <c r="Y14">
        <f t="shared" ca="1" si="0"/>
        <v>0.1353352832366127</v>
      </c>
      <c r="Z14">
        <f t="shared" ca="1" si="0"/>
        <v>0.12245642825298191</v>
      </c>
      <c r="AA14">
        <f t="shared" ca="1" si="0"/>
        <v>0.11080315836233387</v>
      </c>
      <c r="AB14">
        <f t="shared" ca="1" si="0"/>
        <v>0.10025884372280371</v>
      </c>
      <c r="AC14">
        <f t="shared" ca="1" si="0"/>
        <v>9.071795328941247E-2</v>
      </c>
      <c r="AD14">
        <f t="shared" ca="1" si="0"/>
        <v>8.20849986238988E-2</v>
      </c>
      <c r="AE14">
        <f t="shared" ca="1" si="0"/>
        <v>7.4273578214333877E-2</v>
      </c>
      <c r="AF14">
        <f t="shared" ca="1" si="0"/>
        <v>6.7205512739749756E-2</v>
      </c>
      <c r="AG14">
        <f t="shared" ca="1" si="0"/>
        <v>6.0810062625217952E-2</v>
      </c>
      <c r="AH14">
        <f t="shared" ca="1" si="0"/>
        <v>5.502322005640721E-2</v>
      </c>
      <c r="AI14">
        <f t="shared" ca="1" si="0"/>
        <v>4.9787068367863944E-2</v>
      </c>
      <c r="AJ14">
        <f t="shared" ca="1" si="0"/>
        <v>4.5049202393557801E-2</v>
      </c>
      <c r="AK14">
        <f t="shared" ca="1" si="0"/>
        <v>4.0762203978366211E-2</v>
      </c>
      <c r="AL14">
        <f t="shared" ca="1" si="0"/>
        <v>3.6883167401239994E-2</v>
      </c>
      <c r="AM14">
        <f t="shared" ca="1" si="0"/>
        <v>3.3373269960326066E-2</v>
      </c>
      <c r="AN14">
        <f t="shared" ca="1" si="0"/>
        <v>3.0197383422318501E-2</v>
      </c>
      <c r="AO14">
        <f t="shared" ca="1" si="0"/>
        <v>2.7323722447292559E-2</v>
      </c>
      <c r="AP14">
        <f t="shared" ca="1" si="0"/>
        <v>2.4723526470339388E-2</v>
      </c>
      <c r="AQ14">
        <f t="shared" ca="1" si="0"/>
        <v>2.2370771856165591E-2</v>
      </c>
      <c r="AR14">
        <f t="shared" ca="1" si="0"/>
        <v>2.0241911445804381E-2</v>
      </c>
      <c r="AS14">
        <f t="shared" ca="1" si="0"/>
        <v>1.8315638888734179E-2</v>
      </c>
      <c r="AT14">
        <f t="shared" ca="1" si="0"/>
        <v>1.6572675401761237E-2</v>
      </c>
      <c r="AU14">
        <f t="shared" ca="1" si="0"/>
        <v>1.4995576820477703E-2</v>
      </c>
      <c r="AV14">
        <f t="shared" ca="1" si="0"/>
        <v>1.3568559012200934E-2</v>
      </c>
      <c r="AW14">
        <f t="shared" ca="1" si="0"/>
        <v>1.2277339903068436E-2</v>
      </c>
      <c r="AX14">
        <f t="shared" ca="1" si="0"/>
        <v>1.1108996538242306E-2</v>
      </c>
      <c r="AY14">
        <f t="shared" ca="1" si="0"/>
        <v>1.0051835744633576E-2</v>
      </c>
      <c r="AZ14">
        <f t="shared" ca="1" si="0"/>
        <v>9.0952771016958155E-3</v>
      </c>
    </row>
    <row r="15" spans="1:52" ht="15" thickBot="1" x14ac:dyDescent="0.4">
      <c r="A15">
        <v>0.2</v>
      </c>
      <c r="B15" s="9" t="s">
        <v>211</v>
      </c>
      <c r="C15">
        <f t="shared" ca="1" si="1"/>
        <v>0.74081822068171788</v>
      </c>
      <c r="D15">
        <f t="shared" ca="1" si="0"/>
        <v>0.81873075307798182</v>
      </c>
      <c r="E15">
        <f t="shared" ca="1" si="0"/>
        <v>0.90483741803595952</v>
      </c>
      <c r="F15">
        <f t="shared" ca="1" si="0"/>
        <v>1</v>
      </c>
      <c r="G15">
        <f t="shared" ca="1" si="0"/>
        <v>0.90483741803595952</v>
      </c>
      <c r="H15">
        <f t="shared" ca="1" si="0"/>
        <v>0.81873075307798182</v>
      </c>
      <c r="I15">
        <f t="shared" ca="1" si="0"/>
        <v>0.74081822068171788</v>
      </c>
      <c r="J15">
        <f t="shared" ca="1" si="0"/>
        <v>0.67032004603563933</v>
      </c>
      <c r="K15">
        <f t="shared" ca="1" si="0"/>
        <v>0.60653065971263342</v>
      </c>
      <c r="L15">
        <f t="shared" ca="1" si="0"/>
        <v>0.54881163609402639</v>
      </c>
      <c r="M15">
        <f t="shared" ca="1" si="0"/>
        <v>0.49658530379140947</v>
      </c>
      <c r="N15">
        <f t="shared" ca="1" si="0"/>
        <v>0.44932896411722156</v>
      </c>
      <c r="O15">
        <f t="shared" ca="1" si="0"/>
        <v>0.40656965974059911</v>
      </c>
      <c r="P15">
        <f t="shared" ca="1" si="0"/>
        <v>0.36787944117144233</v>
      </c>
      <c r="Q15">
        <f t="shared" ca="1" si="0"/>
        <v>0.33287108369807955</v>
      </c>
      <c r="R15">
        <f t="shared" ca="1" si="0"/>
        <v>0.30119421191220203</v>
      </c>
      <c r="S15">
        <f t="shared" ca="1" si="0"/>
        <v>0.27253179303401259</v>
      </c>
      <c r="T15">
        <f t="shared" ca="1" si="0"/>
        <v>0.24659696394160643</v>
      </c>
      <c r="U15">
        <f t="shared" ca="1" si="0"/>
        <v>0.22313016014842982</v>
      </c>
      <c r="V15">
        <f t="shared" ca="1" si="0"/>
        <v>0.20189651799465538</v>
      </c>
      <c r="W15">
        <f t="shared" ca="1" si="0"/>
        <v>0.18268352405273461</v>
      </c>
      <c r="X15">
        <f t="shared" ca="1" si="0"/>
        <v>0.16529888822158653</v>
      </c>
      <c r="Y15">
        <f t="shared" ca="1" si="0"/>
        <v>0.14956861922263504</v>
      </c>
      <c r="Z15">
        <f t="shared" ca="1" si="0"/>
        <v>0.1353352832366127</v>
      </c>
      <c r="AA15">
        <f t="shared" ca="1" si="0"/>
        <v>0.12245642825298191</v>
      </c>
      <c r="AB15">
        <f t="shared" ca="1" si="0"/>
        <v>0.11080315836233387</v>
      </c>
      <c r="AC15">
        <f t="shared" ca="1" si="0"/>
        <v>0.10025884372280371</v>
      </c>
      <c r="AD15">
        <f t="shared" ca="1" si="0"/>
        <v>9.071795328941247E-2</v>
      </c>
      <c r="AE15">
        <f t="shared" ca="1" si="0"/>
        <v>8.20849986238988E-2</v>
      </c>
      <c r="AF15">
        <f t="shared" ca="1" si="0"/>
        <v>7.4273578214333877E-2</v>
      </c>
      <c r="AG15">
        <f t="shared" ca="1" si="0"/>
        <v>6.7205512739749756E-2</v>
      </c>
      <c r="AH15">
        <f t="shared" ca="1" si="0"/>
        <v>6.0810062625217952E-2</v>
      </c>
      <c r="AI15">
        <f t="shared" ca="1" si="0"/>
        <v>5.502322005640721E-2</v>
      </c>
      <c r="AJ15">
        <f t="shared" ca="1" si="0"/>
        <v>4.9787068367863944E-2</v>
      </c>
      <c r="AK15">
        <f t="shared" ca="1" si="0"/>
        <v>4.5049202393557801E-2</v>
      </c>
      <c r="AL15">
        <f t="shared" ca="1" si="0"/>
        <v>4.0762203978366211E-2</v>
      </c>
      <c r="AM15">
        <f t="shared" ca="1" si="0"/>
        <v>3.6883167401239994E-2</v>
      </c>
      <c r="AN15">
        <f t="shared" ca="1" si="0"/>
        <v>3.3373269960326066E-2</v>
      </c>
      <c r="AO15">
        <f t="shared" ca="1" si="0"/>
        <v>3.0197383422318501E-2</v>
      </c>
      <c r="AP15">
        <f t="shared" ca="1" si="0"/>
        <v>2.7323722447292559E-2</v>
      </c>
      <c r="AQ15">
        <f t="shared" ca="1" si="0"/>
        <v>2.4723526470339388E-2</v>
      </c>
      <c r="AR15">
        <f t="shared" ca="1" si="0"/>
        <v>2.2370771856165591E-2</v>
      </c>
      <c r="AS15">
        <f t="shared" ca="1" si="0"/>
        <v>2.0241911445804381E-2</v>
      </c>
      <c r="AT15">
        <f t="shared" ca="1" si="0"/>
        <v>1.8315638888734179E-2</v>
      </c>
      <c r="AU15">
        <f t="shared" ca="1" si="0"/>
        <v>1.6572675401761237E-2</v>
      </c>
      <c r="AV15">
        <f t="shared" ca="1" si="0"/>
        <v>1.4995576820477703E-2</v>
      </c>
      <c r="AW15">
        <f t="shared" ca="1" si="0"/>
        <v>1.3568559012200934E-2</v>
      </c>
      <c r="AX15">
        <f t="shared" ca="1" si="0"/>
        <v>1.2277339903068436E-2</v>
      </c>
      <c r="AY15">
        <f t="shared" ca="1" si="0"/>
        <v>1.1108996538242306E-2</v>
      </c>
      <c r="AZ15">
        <f t="shared" ca="1" si="0"/>
        <v>1.0051835744633576E-2</v>
      </c>
    </row>
    <row r="16" spans="1:52" ht="15" thickBot="1" x14ac:dyDescent="0.4">
      <c r="A16">
        <v>0.2</v>
      </c>
      <c r="B16" s="9" t="s">
        <v>212</v>
      </c>
      <c r="C16">
        <f t="shared" ca="1" si="1"/>
        <v>0.67032004603563933</v>
      </c>
      <c r="D16">
        <f t="shared" ca="1" si="0"/>
        <v>0.74081822068171788</v>
      </c>
      <c r="E16">
        <f t="shared" ca="1" si="0"/>
        <v>0.81873075307798182</v>
      </c>
      <c r="F16">
        <f t="shared" ca="1" si="0"/>
        <v>0.90483741803595952</v>
      </c>
      <c r="G16">
        <f t="shared" ca="1" si="0"/>
        <v>1</v>
      </c>
      <c r="H16">
        <f t="shared" ca="1" si="0"/>
        <v>0.90483741803595952</v>
      </c>
      <c r="I16">
        <f t="shared" ca="1" si="0"/>
        <v>0.81873075307798182</v>
      </c>
      <c r="J16">
        <f t="shared" ca="1" si="0"/>
        <v>0.74081822068171788</v>
      </c>
      <c r="K16">
        <f t="shared" ca="1" si="0"/>
        <v>0.67032004603563933</v>
      </c>
      <c r="L16">
        <f t="shared" ca="1" si="0"/>
        <v>0.60653065971263342</v>
      </c>
      <c r="M16">
        <f t="shared" ca="1" si="0"/>
        <v>0.54881163609402639</v>
      </c>
      <c r="N16">
        <f t="shared" ca="1" si="0"/>
        <v>0.49658530379140947</v>
      </c>
      <c r="O16">
        <f t="shared" ca="1" si="0"/>
        <v>0.44932896411722156</v>
      </c>
      <c r="P16">
        <f t="shared" ca="1" si="0"/>
        <v>0.40656965974059911</v>
      </c>
      <c r="Q16">
        <f t="shared" ca="1" si="0"/>
        <v>0.36787944117144233</v>
      </c>
      <c r="R16">
        <f t="shared" ca="1" si="0"/>
        <v>0.33287108369807955</v>
      </c>
      <c r="S16">
        <f t="shared" ca="1" si="0"/>
        <v>0.30119421191220203</v>
      </c>
      <c r="T16">
        <f t="shared" ca="1" si="0"/>
        <v>0.27253179303401259</v>
      </c>
      <c r="U16">
        <f t="shared" ca="1" si="0"/>
        <v>0.24659696394160643</v>
      </c>
      <c r="V16">
        <f t="shared" ca="1" si="0"/>
        <v>0.22313016014842982</v>
      </c>
      <c r="W16">
        <f t="shared" ca="1" si="0"/>
        <v>0.20189651799465538</v>
      </c>
      <c r="X16">
        <f t="shared" ca="1" si="0"/>
        <v>0.18268352405273461</v>
      </c>
      <c r="Y16">
        <f t="shared" ca="1" si="0"/>
        <v>0.16529888822158653</v>
      </c>
      <c r="Z16">
        <f t="shared" ca="1" si="0"/>
        <v>0.14956861922263504</v>
      </c>
      <c r="AA16">
        <f t="shared" ca="1" si="0"/>
        <v>0.1353352832366127</v>
      </c>
      <c r="AB16">
        <f t="shared" ca="1" si="0"/>
        <v>0.12245642825298191</v>
      </c>
      <c r="AC16">
        <f t="shared" ca="1" si="0"/>
        <v>0.11080315836233387</v>
      </c>
      <c r="AD16">
        <f t="shared" ca="1" si="0"/>
        <v>0.10025884372280371</v>
      </c>
      <c r="AE16">
        <f t="shared" ca="1" si="0"/>
        <v>9.071795328941247E-2</v>
      </c>
      <c r="AF16">
        <f t="shared" ca="1" si="0"/>
        <v>8.20849986238988E-2</v>
      </c>
      <c r="AG16">
        <f t="shared" ca="1" si="0"/>
        <v>7.4273578214333877E-2</v>
      </c>
      <c r="AH16">
        <f t="shared" ca="1" si="0"/>
        <v>6.7205512739749756E-2</v>
      </c>
      <c r="AI16">
        <f t="shared" ca="1" si="0"/>
        <v>6.0810062625217952E-2</v>
      </c>
      <c r="AJ16">
        <f t="shared" ca="1" si="0"/>
        <v>5.502322005640721E-2</v>
      </c>
      <c r="AK16">
        <f t="shared" ca="1" si="0"/>
        <v>4.9787068367863944E-2</v>
      </c>
      <c r="AL16">
        <f t="shared" ca="1" si="0"/>
        <v>4.5049202393557801E-2</v>
      </c>
      <c r="AM16">
        <f t="shared" ca="1" si="0"/>
        <v>4.0762203978366211E-2</v>
      </c>
      <c r="AN16">
        <f t="shared" ca="1" si="0"/>
        <v>3.6883167401239994E-2</v>
      </c>
      <c r="AO16">
        <f t="shared" ca="1" si="0"/>
        <v>3.3373269960326066E-2</v>
      </c>
      <c r="AP16">
        <f t="shared" ca="1" si="0"/>
        <v>3.0197383422318501E-2</v>
      </c>
      <c r="AQ16">
        <f t="shared" ca="1" si="0"/>
        <v>2.7323722447292559E-2</v>
      </c>
      <c r="AR16">
        <f t="shared" ca="1" si="0"/>
        <v>2.4723526470339388E-2</v>
      </c>
      <c r="AS16">
        <f t="shared" ca="1" si="0"/>
        <v>2.2370771856165591E-2</v>
      </c>
      <c r="AT16">
        <f t="shared" ca="1" si="0"/>
        <v>2.0241911445804381E-2</v>
      </c>
      <c r="AU16">
        <f t="shared" ca="1" si="0"/>
        <v>1.8315638888734179E-2</v>
      </c>
      <c r="AV16">
        <f t="shared" ca="1" si="0"/>
        <v>1.6572675401761237E-2</v>
      </c>
      <c r="AW16">
        <f t="shared" ca="1" si="0"/>
        <v>1.4995576820477703E-2</v>
      </c>
      <c r="AX16">
        <f t="shared" ca="1" si="0"/>
        <v>1.3568559012200934E-2</v>
      </c>
      <c r="AY16">
        <f t="shared" ca="1" si="0"/>
        <v>1.2277339903068436E-2</v>
      </c>
      <c r="AZ16">
        <f t="shared" ca="1" si="0"/>
        <v>1.1108996538242306E-2</v>
      </c>
    </row>
    <row r="17" spans="1:52" ht="15" thickBot="1" x14ac:dyDescent="0.4">
      <c r="A17">
        <v>0.2</v>
      </c>
      <c r="B17" s="9" t="s">
        <v>213</v>
      </c>
      <c r="C17">
        <f t="shared" ca="1" si="1"/>
        <v>0.60653065971263342</v>
      </c>
      <c r="D17">
        <f t="shared" ca="1" si="0"/>
        <v>0.67032004603563933</v>
      </c>
      <c r="E17">
        <f t="shared" ca="1" si="0"/>
        <v>0.74081822068171788</v>
      </c>
      <c r="F17">
        <f t="shared" ca="1" si="0"/>
        <v>0.81873075307798182</v>
      </c>
      <c r="G17">
        <f t="shared" ca="1" si="0"/>
        <v>0.90483741803595952</v>
      </c>
      <c r="H17">
        <f t="shared" ca="1" si="0"/>
        <v>1</v>
      </c>
      <c r="I17">
        <f t="shared" ca="1" si="0"/>
        <v>0.90483741803595952</v>
      </c>
      <c r="J17">
        <f t="shared" ca="1" si="0"/>
        <v>0.81873075307798182</v>
      </c>
      <c r="K17">
        <f t="shared" ca="1" si="0"/>
        <v>0.74081822068171788</v>
      </c>
      <c r="L17">
        <f t="shared" ca="1" si="0"/>
        <v>0.67032004603563933</v>
      </c>
      <c r="M17">
        <f t="shared" ca="1" si="0"/>
        <v>0.60653065971263342</v>
      </c>
      <c r="N17">
        <f t="shared" ref="N17:N61" ca="1" si="2">EXP(-0.1*ABS(COLUMN(N16)-COLUMN($C$11) - ROW(M17)+ROW($B$12)))</f>
        <v>0.54881163609402639</v>
      </c>
      <c r="O17">
        <f t="shared" ref="O17:O61" ca="1" si="3">EXP(-0.1*ABS(COLUMN(O16)-COLUMN($C$11) - ROW(N17)+ROW($B$12)))</f>
        <v>0.49658530379140947</v>
      </c>
      <c r="P17">
        <f t="shared" ref="P17:P61" ca="1" si="4">EXP(-0.1*ABS(COLUMN(P16)-COLUMN($C$11) - ROW(O17)+ROW($B$12)))</f>
        <v>0.44932896411722156</v>
      </c>
      <c r="Q17">
        <f t="shared" ref="Q17:Q61" ca="1" si="5">EXP(-0.1*ABS(COLUMN(Q16)-COLUMN($C$11) - ROW(P17)+ROW($B$12)))</f>
        <v>0.40656965974059911</v>
      </c>
      <c r="R17">
        <f t="shared" ref="R17:R61" ca="1" si="6">EXP(-0.1*ABS(COLUMN(R16)-COLUMN($C$11) - ROW(Q17)+ROW($B$12)))</f>
        <v>0.36787944117144233</v>
      </c>
      <c r="S17">
        <f t="shared" ref="S17:S61" ca="1" si="7">EXP(-0.1*ABS(COLUMN(S16)-COLUMN($C$11) - ROW(R17)+ROW($B$12)))</f>
        <v>0.33287108369807955</v>
      </c>
      <c r="T17">
        <f t="shared" ref="T17:T61" ca="1" si="8">EXP(-0.1*ABS(COLUMN(T16)-COLUMN($C$11) - ROW(S17)+ROW($B$12)))</f>
        <v>0.30119421191220203</v>
      </c>
      <c r="U17">
        <f t="shared" ref="U17:U61" ca="1" si="9">EXP(-0.1*ABS(COLUMN(U16)-COLUMN($C$11) - ROW(T17)+ROW($B$12)))</f>
        <v>0.27253179303401259</v>
      </c>
      <c r="V17">
        <f t="shared" ref="V17:V61" ca="1" si="10">EXP(-0.1*ABS(COLUMN(V16)-COLUMN($C$11) - ROW(U17)+ROW($B$12)))</f>
        <v>0.24659696394160643</v>
      </c>
      <c r="W17">
        <f t="shared" ref="W17:W61" ca="1" si="11">EXP(-0.1*ABS(COLUMN(W16)-COLUMN($C$11) - ROW(V17)+ROW($B$12)))</f>
        <v>0.22313016014842982</v>
      </c>
      <c r="X17">
        <f t="shared" ref="X17:X61" ca="1" si="12">EXP(-0.1*ABS(COLUMN(X16)-COLUMN($C$11) - ROW(W17)+ROW($B$12)))</f>
        <v>0.20189651799465538</v>
      </c>
      <c r="Y17">
        <f t="shared" ref="Y17:Y61" ca="1" si="13">EXP(-0.1*ABS(COLUMN(Y16)-COLUMN($C$11) - ROW(X17)+ROW($B$12)))</f>
        <v>0.18268352405273461</v>
      </c>
      <c r="Z17">
        <f t="shared" ref="Z17:Z61" ca="1" si="14">EXP(-0.1*ABS(COLUMN(Z16)-COLUMN($C$11) - ROW(Y17)+ROW($B$12)))</f>
        <v>0.16529888822158653</v>
      </c>
      <c r="AA17">
        <f t="shared" ref="AA17:AA61" ca="1" si="15">EXP(-0.1*ABS(COLUMN(AA16)-COLUMN($C$11) - ROW(Z17)+ROW($B$12)))</f>
        <v>0.14956861922263504</v>
      </c>
      <c r="AB17">
        <f t="shared" ref="AB17:AB61" ca="1" si="16">EXP(-0.1*ABS(COLUMN(AB16)-COLUMN($C$11) - ROW(AA17)+ROW($B$12)))</f>
        <v>0.1353352832366127</v>
      </c>
      <c r="AC17">
        <f t="shared" ref="AC17:AC61" ca="1" si="17">EXP(-0.1*ABS(COLUMN(AC16)-COLUMN($C$11) - ROW(AB17)+ROW($B$12)))</f>
        <v>0.12245642825298191</v>
      </c>
      <c r="AD17">
        <f t="shared" ref="AD17:AD61" ca="1" si="18">EXP(-0.1*ABS(COLUMN(AD16)-COLUMN($C$11) - ROW(AC17)+ROW($B$12)))</f>
        <v>0.11080315836233387</v>
      </c>
      <c r="AE17">
        <f t="shared" ref="AE17:AE61" ca="1" si="19">EXP(-0.1*ABS(COLUMN(AE16)-COLUMN($C$11) - ROW(AD17)+ROW($B$12)))</f>
        <v>0.10025884372280371</v>
      </c>
      <c r="AF17">
        <f t="shared" ref="AF17:AF61" ca="1" si="20">EXP(-0.1*ABS(COLUMN(AF16)-COLUMN($C$11) - ROW(AE17)+ROW($B$12)))</f>
        <v>9.071795328941247E-2</v>
      </c>
      <c r="AG17">
        <f t="shared" ref="AG17:AG61" ca="1" si="21">EXP(-0.1*ABS(COLUMN(AG16)-COLUMN($C$11) - ROW(AF17)+ROW($B$12)))</f>
        <v>8.20849986238988E-2</v>
      </c>
      <c r="AH17">
        <f t="shared" ref="AH17:AH61" ca="1" si="22">EXP(-0.1*ABS(COLUMN(AH16)-COLUMN($C$11) - ROW(AG17)+ROW($B$12)))</f>
        <v>7.4273578214333877E-2</v>
      </c>
      <c r="AI17">
        <f t="shared" ref="AI17:AI61" ca="1" si="23">EXP(-0.1*ABS(COLUMN(AI16)-COLUMN($C$11) - ROW(AH17)+ROW($B$12)))</f>
        <v>6.7205512739749756E-2</v>
      </c>
      <c r="AJ17">
        <f t="shared" ref="AJ17:AJ61" ca="1" si="24">EXP(-0.1*ABS(COLUMN(AJ16)-COLUMN($C$11) - ROW(AI17)+ROW($B$12)))</f>
        <v>6.0810062625217952E-2</v>
      </c>
      <c r="AK17">
        <f t="shared" ref="AK17:AK61" ca="1" si="25">EXP(-0.1*ABS(COLUMN(AK16)-COLUMN($C$11) - ROW(AJ17)+ROW($B$12)))</f>
        <v>5.502322005640721E-2</v>
      </c>
      <c r="AL17">
        <f t="shared" ref="AL17:AL61" ca="1" si="26">EXP(-0.1*ABS(COLUMN(AL16)-COLUMN($C$11) - ROW(AK17)+ROW($B$12)))</f>
        <v>4.9787068367863944E-2</v>
      </c>
      <c r="AM17">
        <f t="shared" ref="AM17:AM61" ca="1" si="27">EXP(-0.1*ABS(COLUMN(AM16)-COLUMN($C$11) - ROW(AL17)+ROW($B$12)))</f>
        <v>4.5049202393557801E-2</v>
      </c>
      <c r="AN17">
        <f t="shared" ref="AN17:AN61" ca="1" si="28">EXP(-0.1*ABS(COLUMN(AN16)-COLUMN($C$11) - ROW(AM17)+ROW($B$12)))</f>
        <v>4.0762203978366211E-2</v>
      </c>
      <c r="AO17">
        <f t="shared" ref="AO17:AO61" ca="1" si="29">EXP(-0.1*ABS(COLUMN(AO16)-COLUMN($C$11) - ROW(AN17)+ROW($B$12)))</f>
        <v>3.6883167401239994E-2</v>
      </c>
      <c r="AP17">
        <f t="shared" ref="AP17:AP61" ca="1" si="30">EXP(-0.1*ABS(COLUMN(AP16)-COLUMN($C$11) - ROW(AO17)+ROW($B$12)))</f>
        <v>3.3373269960326066E-2</v>
      </c>
      <c r="AQ17">
        <f t="shared" ref="AQ17:AQ61" ca="1" si="31">EXP(-0.1*ABS(COLUMN(AQ16)-COLUMN($C$11) - ROW(AP17)+ROW($B$12)))</f>
        <v>3.0197383422318501E-2</v>
      </c>
      <c r="AR17">
        <f t="shared" ref="AR17:AR61" ca="1" si="32">EXP(-0.1*ABS(COLUMN(AR16)-COLUMN($C$11) - ROW(AQ17)+ROW($B$12)))</f>
        <v>2.7323722447292559E-2</v>
      </c>
      <c r="AS17">
        <f t="shared" ref="AS17:AS61" ca="1" si="33">EXP(-0.1*ABS(COLUMN(AS16)-COLUMN($C$11) - ROW(AR17)+ROW($B$12)))</f>
        <v>2.4723526470339388E-2</v>
      </c>
      <c r="AT17">
        <f t="shared" ref="AT17:AT61" ca="1" si="34">EXP(-0.1*ABS(COLUMN(AT16)-COLUMN($C$11) - ROW(AS17)+ROW($B$12)))</f>
        <v>2.2370771856165591E-2</v>
      </c>
      <c r="AU17">
        <f t="shared" ref="AU17:AU61" ca="1" si="35">EXP(-0.1*ABS(COLUMN(AU16)-COLUMN($C$11) - ROW(AT17)+ROW($B$12)))</f>
        <v>2.0241911445804381E-2</v>
      </c>
      <c r="AV17">
        <f t="shared" ref="AV17:AV61" ca="1" si="36">EXP(-0.1*ABS(COLUMN(AV16)-COLUMN($C$11) - ROW(AU17)+ROW($B$12)))</f>
        <v>1.8315638888734179E-2</v>
      </c>
      <c r="AW17">
        <f t="shared" ref="AW17:AW61" ca="1" si="37">EXP(-0.1*ABS(COLUMN(AW16)-COLUMN($C$11) - ROW(AV17)+ROW($B$12)))</f>
        <v>1.6572675401761237E-2</v>
      </c>
      <c r="AX17">
        <f t="shared" ref="AX17:AX61" ca="1" si="38">EXP(-0.1*ABS(COLUMN(AX16)-COLUMN($C$11) - ROW(AW17)+ROW($B$12)))</f>
        <v>1.4995576820477703E-2</v>
      </c>
      <c r="AY17">
        <f t="shared" ref="AY17:AY61" ca="1" si="39">EXP(-0.1*ABS(COLUMN(AY16)-COLUMN($C$11) - ROW(AX17)+ROW($B$12)))</f>
        <v>1.3568559012200934E-2</v>
      </c>
      <c r="AZ17">
        <f t="shared" ref="AZ17:AZ61" ca="1" si="40">EXP(-0.1*ABS(COLUMN(AZ16)-COLUMN($C$11) - ROW(AY17)+ROW($B$12)))</f>
        <v>1.2277339903068436E-2</v>
      </c>
    </row>
    <row r="18" spans="1:52" ht="15" thickBot="1" x14ac:dyDescent="0.4">
      <c r="A18">
        <v>0.2</v>
      </c>
      <c r="B18" s="9" t="s">
        <v>214</v>
      </c>
      <c r="C18">
        <f t="shared" ca="1" si="1"/>
        <v>0.54881163609402639</v>
      </c>
      <c r="D18">
        <f t="shared" ref="D18:D61" ca="1" si="41">EXP(-0.1*ABS(COLUMN(D17)-COLUMN($C$11) - ROW(C18)+ROW($B$12)))</f>
        <v>0.60653065971263342</v>
      </c>
      <c r="E18">
        <f t="shared" ref="E18:E61" ca="1" si="42">EXP(-0.1*ABS(COLUMN(E17)-COLUMN($C$11) - ROW(D18)+ROW($B$12)))</f>
        <v>0.67032004603563933</v>
      </c>
      <c r="F18">
        <f t="shared" ref="F18:F61" ca="1" si="43">EXP(-0.1*ABS(COLUMN(F17)-COLUMN($C$11) - ROW(E18)+ROW($B$12)))</f>
        <v>0.74081822068171788</v>
      </c>
      <c r="G18">
        <f t="shared" ref="G18:G61" ca="1" si="44">EXP(-0.1*ABS(COLUMN(G17)-COLUMN($C$11) - ROW(F18)+ROW($B$12)))</f>
        <v>0.81873075307798182</v>
      </c>
      <c r="H18">
        <f t="shared" ref="H18:H61" ca="1" si="45">EXP(-0.1*ABS(COLUMN(H17)-COLUMN($C$11) - ROW(G18)+ROW($B$12)))</f>
        <v>0.90483741803595952</v>
      </c>
      <c r="I18">
        <f t="shared" ref="I18:I61" ca="1" si="46">EXP(-0.1*ABS(COLUMN(I17)-COLUMN($C$11) - ROW(H18)+ROW($B$12)))</f>
        <v>1</v>
      </c>
      <c r="J18">
        <f t="shared" ref="J18:J61" ca="1" si="47">EXP(-0.1*ABS(COLUMN(J17)-COLUMN($C$11) - ROW(I18)+ROW($B$12)))</f>
        <v>0.90483741803595952</v>
      </c>
      <c r="K18">
        <f t="shared" ref="K18:K61" ca="1" si="48">EXP(-0.1*ABS(COLUMN(K17)-COLUMN($C$11) - ROW(J18)+ROW($B$12)))</f>
        <v>0.81873075307798182</v>
      </c>
      <c r="L18">
        <f t="shared" ref="L18:L61" ca="1" si="49">EXP(-0.1*ABS(COLUMN(L17)-COLUMN($C$11) - ROW(K18)+ROW($B$12)))</f>
        <v>0.74081822068171788</v>
      </c>
      <c r="M18">
        <f t="shared" ref="M18:M61" ca="1" si="50">EXP(-0.1*ABS(COLUMN(M17)-COLUMN($C$11) - ROW(L18)+ROW($B$12)))</f>
        <v>0.67032004603563933</v>
      </c>
      <c r="N18">
        <f t="shared" ca="1" si="2"/>
        <v>0.60653065971263342</v>
      </c>
      <c r="O18">
        <f t="shared" ca="1" si="3"/>
        <v>0.54881163609402639</v>
      </c>
      <c r="P18">
        <f t="shared" ca="1" si="4"/>
        <v>0.49658530379140947</v>
      </c>
      <c r="Q18">
        <f t="shared" ca="1" si="5"/>
        <v>0.44932896411722156</v>
      </c>
      <c r="R18">
        <f t="shared" ca="1" si="6"/>
        <v>0.40656965974059911</v>
      </c>
      <c r="S18">
        <f t="shared" ca="1" si="7"/>
        <v>0.36787944117144233</v>
      </c>
      <c r="T18">
        <f t="shared" ca="1" si="8"/>
        <v>0.33287108369807955</v>
      </c>
      <c r="U18">
        <f t="shared" ca="1" si="9"/>
        <v>0.30119421191220203</v>
      </c>
      <c r="V18">
        <f t="shared" ca="1" si="10"/>
        <v>0.27253179303401259</v>
      </c>
      <c r="W18">
        <f t="shared" ca="1" si="11"/>
        <v>0.24659696394160643</v>
      </c>
      <c r="X18">
        <f t="shared" ca="1" si="12"/>
        <v>0.22313016014842982</v>
      </c>
      <c r="Y18">
        <f t="shared" ca="1" si="13"/>
        <v>0.20189651799465538</v>
      </c>
      <c r="Z18">
        <f t="shared" ca="1" si="14"/>
        <v>0.18268352405273461</v>
      </c>
      <c r="AA18">
        <f t="shared" ca="1" si="15"/>
        <v>0.16529888822158653</v>
      </c>
      <c r="AB18">
        <f t="shared" ca="1" si="16"/>
        <v>0.14956861922263504</v>
      </c>
      <c r="AC18">
        <f t="shared" ca="1" si="17"/>
        <v>0.1353352832366127</v>
      </c>
      <c r="AD18">
        <f t="shared" ca="1" si="18"/>
        <v>0.12245642825298191</v>
      </c>
      <c r="AE18">
        <f t="shared" ca="1" si="19"/>
        <v>0.11080315836233387</v>
      </c>
      <c r="AF18">
        <f t="shared" ca="1" si="20"/>
        <v>0.10025884372280371</v>
      </c>
      <c r="AG18">
        <f t="shared" ca="1" si="21"/>
        <v>9.071795328941247E-2</v>
      </c>
      <c r="AH18">
        <f t="shared" ca="1" si="22"/>
        <v>8.20849986238988E-2</v>
      </c>
      <c r="AI18">
        <f t="shared" ca="1" si="23"/>
        <v>7.4273578214333877E-2</v>
      </c>
      <c r="AJ18">
        <f t="shared" ca="1" si="24"/>
        <v>6.7205512739749756E-2</v>
      </c>
      <c r="AK18">
        <f t="shared" ca="1" si="25"/>
        <v>6.0810062625217952E-2</v>
      </c>
      <c r="AL18">
        <f t="shared" ca="1" si="26"/>
        <v>5.502322005640721E-2</v>
      </c>
      <c r="AM18">
        <f t="shared" ca="1" si="27"/>
        <v>4.9787068367863944E-2</v>
      </c>
      <c r="AN18">
        <f t="shared" ca="1" si="28"/>
        <v>4.5049202393557801E-2</v>
      </c>
      <c r="AO18">
        <f t="shared" ca="1" si="29"/>
        <v>4.0762203978366211E-2</v>
      </c>
      <c r="AP18">
        <f t="shared" ca="1" si="30"/>
        <v>3.6883167401239994E-2</v>
      </c>
      <c r="AQ18">
        <f t="shared" ca="1" si="31"/>
        <v>3.3373269960326066E-2</v>
      </c>
      <c r="AR18">
        <f t="shared" ca="1" si="32"/>
        <v>3.0197383422318501E-2</v>
      </c>
      <c r="AS18">
        <f t="shared" ca="1" si="33"/>
        <v>2.7323722447292559E-2</v>
      </c>
      <c r="AT18">
        <f t="shared" ca="1" si="34"/>
        <v>2.4723526470339388E-2</v>
      </c>
      <c r="AU18">
        <f t="shared" ca="1" si="35"/>
        <v>2.2370771856165591E-2</v>
      </c>
      <c r="AV18">
        <f t="shared" ca="1" si="36"/>
        <v>2.0241911445804381E-2</v>
      </c>
      <c r="AW18">
        <f t="shared" ca="1" si="37"/>
        <v>1.8315638888734179E-2</v>
      </c>
      <c r="AX18">
        <f t="shared" ca="1" si="38"/>
        <v>1.6572675401761237E-2</v>
      </c>
      <c r="AY18">
        <f t="shared" ca="1" si="39"/>
        <v>1.4995576820477703E-2</v>
      </c>
      <c r="AZ18">
        <f t="shared" ca="1" si="40"/>
        <v>1.3568559012200934E-2</v>
      </c>
    </row>
    <row r="19" spans="1:52" ht="15" thickBot="1" x14ac:dyDescent="0.4">
      <c r="A19">
        <v>0.2</v>
      </c>
      <c r="B19" s="9" t="s">
        <v>215</v>
      </c>
      <c r="C19">
        <f t="shared" ca="1" si="1"/>
        <v>0.49658530379140947</v>
      </c>
      <c r="D19">
        <f t="shared" ca="1" si="41"/>
        <v>0.54881163609402639</v>
      </c>
      <c r="E19">
        <f t="shared" ca="1" si="42"/>
        <v>0.60653065971263342</v>
      </c>
      <c r="F19">
        <f t="shared" ca="1" si="43"/>
        <v>0.67032004603563933</v>
      </c>
      <c r="G19">
        <f t="shared" ca="1" si="44"/>
        <v>0.74081822068171788</v>
      </c>
      <c r="H19">
        <f t="shared" ca="1" si="45"/>
        <v>0.81873075307798182</v>
      </c>
      <c r="I19">
        <f t="shared" ca="1" si="46"/>
        <v>0.90483741803595952</v>
      </c>
      <c r="J19">
        <f t="shared" ca="1" si="47"/>
        <v>1</v>
      </c>
      <c r="K19">
        <f t="shared" ca="1" si="48"/>
        <v>0.90483741803595952</v>
      </c>
      <c r="L19">
        <f t="shared" ca="1" si="49"/>
        <v>0.81873075307798182</v>
      </c>
      <c r="M19">
        <f t="shared" ca="1" si="50"/>
        <v>0.74081822068171788</v>
      </c>
      <c r="N19">
        <f t="shared" ca="1" si="2"/>
        <v>0.67032004603563933</v>
      </c>
      <c r="O19">
        <f t="shared" ca="1" si="3"/>
        <v>0.60653065971263342</v>
      </c>
      <c r="P19">
        <f t="shared" ca="1" si="4"/>
        <v>0.54881163609402639</v>
      </c>
      <c r="Q19">
        <f t="shared" ca="1" si="5"/>
        <v>0.49658530379140947</v>
      </c>
      <c r="R19">
        <f t="shared" ca="1" si="6"/>
        <v>0.44932896411722156</v>
      </c>
      <c r="S19">
        <f t="shared" ca="1" si="7"/>
        <v>0.40656965974059911</v>
      </c>
      <c r="T19">
        <f t="shared" ca="1" si="8"/>
        <v>0.36787944117144233</v>
      </c>
      <c r="U19">
        <f t="shared" ca="1" si="9"/>
        <v>0.33287108369807955</v>
      </c>
      <c r="V19">
        <f t="shared" ca="1" si="10"/>
        <v>0.30119421191220203</v>
      </c>
      <c r="W19">
        <f t="shared" ca="1" si="11"/>
        <v>0.27253179303401259</v>
      </c>
      <c r="X19">
        <f t="shared" ca="1" si="12"/>
        <v>0.24659696394160643</v>
      </c>
      <c r="Y19">
        <f t="shared" ca="1" si="13"/>
        <v>0.22313016014842982</v>
      </c>
      <c r="Z19">
        <f t="shared" ca="1" si="14"/>
        <v>0.20189651799465538</v>
      </c>
      <c r="AA19">
        <f t="shared" ca="1" si="15"/>
        <v>0.18268352405273461</v>
      </c>
      <c r="AB19">
        <f t="shared" ca="1" si="16"/>
        <v>0.16529888822158653</v>
      </c>
      <c r="AC19">
        <f t="shared" ca="1" si="17"/>
        <v>0.14956861922263504</v>
      </c>
      <c r="AD19">
        <f t="shared" ca="1" si="18"/>
        <v>0.1353352832366127</v>
      </c>
      <c r="AE19">
        <f t="shared" ca="1" si="19"/>
        <v>0.12245642825298191</v>
      </c>
      <c r="AF19">
        <f t="shared" ca="1" si="20"/>
        <v>0.11080315836233387</v>
      </c>
      <c r="AG19">
        <f t="shared" ca="1" si="21"/>
        <v>0.10025884372280371</v>
      </c>
      <c r="AH19">
        <f t="shared" ca="1" si="22"/>
        <v>9.071795328941247E-2</v>
      </c>
      <c r="AI19">
        <f t="shared" ca="1" si="23"/>
        <v>8.20849986238988E-2</v>
      </c>
      <c r="AJ19">
        <f t="shared" ca="1" si="24"/>
        <v>7.4273578214333877E-2</v>
      </c>
      <c r="AK19">
        <f t="shared" ca="1" si="25"/>
        <v>6.7205512739749756E-2</v>
      </c>
      <c r="AL19">
        <f t="shared" ca="1" si="26"/>
        <v>6.0810062625217952E-2</v>
      </c>
      <c r="AM19">
        <f t="shared" ca="1" si="27"/>
        <v>5.502322005640721E-2</v>
      </c>
      <c r="AN19">
        <f t="shared" ca="1" si="28"/>
        <v>4.9787068367863944E-2</v>
      </c>
      <c r="AO19">
        <f t="shared" ca="1" si="29"/>
        <v>4.5049202393557801E-2</v>
      </c>
      <c r="AP19">
        <f t="shared" ca="1" si="30"/>
        <v>4.0762203978366211E-2</v>
      </c>
      <c r="AQ19">
        <f t="shared" ca="1" si="31"/>
        <v>3.6883167401239994E-2</v>
      </c>
      <c r="AR19">
        <f t="shared" ca="1" si="32"/>
        <v>3.3373269960326066E-2</v>
      </c>
      <c r="AS19">
        <f t="shared" ca="1" si="33"/>
        <v>3.0197383422318501E-2</v>
      </c>
      <c r="AT19">
        <f t="shared" ca="1" si="34"/>
        <v>2.7323722447292559E-2</v>
      </c>
      <c r="AU19">
        <f t="shared" ca="1" si="35"/>
        <v>2.4723526470339388E-2</v>
      </c>
      <c r="AV19">
        <f t="shared" ca="1" si="36"/>
        <v>2.2370771856165591E-2</v>
      </c>
      <c r="AW19">
        <f t="shared" ca="1" si="37"/>
        <v>2.0241911445804381E-2</v>
      </c>
      <c r="AX19">
        <f t="shared" ca="1" si="38"/>
        <v>1.8315638888734179E-2</v>
      </c>
      <c r="AY19">
        <f t="shared" ca="1" si="39"/>
        <v>1.6572675401761237E-2</v>
      </c>
      <c r="AZ19">
        <f t="shared" ca="1" si="40"/>
        <v>1.4995576820477703E-2</v>
      </c>
    </row>
    <row r="20" spans="1:52" ht="15" thickBot="1" x14ac:dyDescent="0.4">
      <c r="A20">
        <v>0.2</v>
      </c>
      <c r="B20" s="9" t="s">
        <v>216</v>
      </c>
      <c r="C20">
        <f t="shared" ca="1" si="1"/>
        <v>0.44932896411722156</v>
      </c>
      <c r="D20">
        <f t="shared" ca="1" si="41"/>
        <v>0.49658530379140947</v>
      </c>
      <c r="E20">
        <f t="shared" ca="1" si="42"/>
        <v>0.54881163609402639</v>
      </c>
      <c r="F20">
        <f t="shared" ca="1" si="43"/>
        <v>0.60653065971263342</v>
      </c>
      <c r="G20">
        <f t="shared" ca="1" si="44"/>
        <v>0.67032004603563933</v>
      </c>
      <c r="H20">
        <f t="shared" ca="1" si="45"/>
        <v>0.74081822068171788</v>
      </c>
      <c r="I20">
        <f t="shared" ca="1" si="46"/>
        <v>0.81873075307798182</v>
      </c>
      <c r="J20">
        <f t="shared" ca="1" si="47"/>
        <v>0.90483741803595952</v>
      </c>
      <c r="K20">
        <f t="shared" ca="1" si="48"/>
        <v>1</v>
      </c>
      <c r="L20">
        <f t="shared" ca="1" si="49"/>
        <v>0.90483741803595952</v>
      </c>
      <c r="M20">
        <f t="shared" ca="1" si="50"/>
        <v>0.81873075307798182</v>
      </c>
      <c r="N20">
        <f t="shared" ca="1" si="2"/>
        <v>0.74081822068171788</v>
      </c>
      <c r="O20">
        <f t="shared" ca="1" si="3"/>
        <v>0.67032004603563933</v>
      </c>
      <c r="P20">
        <f t="shared" ca="1" si="4"/>
        <v>0.60653065971263342</v>
      </c>
      <c r="Q20">
        <f t="shared" ca="1" si="5"/>
        <v>0.54881163609402639</v>
      </c>
      <c r="R20">
        <f t="shared" ca="1" si="6"/>
        <v>0.49658530379140947</v>
      </c>
      <c r="S20">
        <f t="shared" ca="1" si="7"/>
        <v>0.44932896411722156</v>
      </c>
      <c r="T20">
        <f t="shared" ca="1" si="8"/>
        <v>0.40656965974059911</v>
      </c>
      <c r="U20">
        <f t="shared" ca="1" si="9"/>
        <v>0.36787944117144233</v>
      </c>
      <c r="V20">
        <f t="shared" ca="1" si="10"/>
        <v>0.33287108369807955</v>
      </c>
      <c r="W20">
        <f t="shared" ca="1" si="11"/>
        <v>0.30119421191220203</v>
      </c>
      <c r="X20">
        <f t="shared" ca="1" si="12"/>
        <v>0.27253179303401259</v>
      </c>
      <c r="Y20">
        <f t="shared" ca="1" si="13"/>
        <v>0.24659696394160643</v>
      </c>
      <c r="Z20">
        <f t="shared" ca="1" si="14"/>
        <v>0.22313016014842982</v>
      </c>
      <c r="AA20">
        <f t="shared" ca="1" si="15"/>
        <v>0.20189651799465538</v>
      </c>
      <c r="AB20">
        <f t="shared" ca="1" si="16"/>
        <v>0.18268352405273461</v>
      </c>
      <c r="AC20">
        <f t="shared" ca="1" si="17"/>
        <v>0.16529888822158653</v>
      </c>
      <c r="AD20">
        <f t="shared" ca="1" si="18"/>
        <v>0.14956861922263504</v>
      </c>
      <c r="AE20">
        <f t="shared" ca="1" si="19"/>
        <v>0.1353352832366127</v>
      </c>
      <c r="AF20">
        <f t="shared" ca="1" si="20"/>
        <v>0.12245642825298191</v>
      </c>
      <c r="AG20">
        <f t="shared" ca="1" si="21"/>
        <v>0.11080315836233387</v>
      </c>
      <c r="AH20">
        <f t="shared" ca="1" si="22"/>
        <v>0.10025884372280371</v>
      </c>
      <c r="AI20">
        <f t="shared" ca="1" si="23"/>
        <v>9.071795328941247E-2</v>
      </c>
      <c r="AJ20">
        <f t="shared" ca="1" si="24"/>
        <v>8.20849986238988E-2</v>
      </c>
      <c r="AK20">
        <f t="shared" ca="1" si="25"/>
        <v>7.4273578214333877E-2</v>
      </c>
      <c r="AL20">
        <f t="shared" ca="1" si="26"/>
        <v>6.7205512739749756E-2</v>
      </c>
      <c r="AM20">
        <f t="shared" ca="1" si="27"/>
        <v>6.0810062625217952E-2</v>
      </c>
      <c r="AN20">
        <f t="shared" ca="1" si="28"/>
        <v>5.502322005640721E-2</v>
      </c>
      <c r="AO20">
        <f t="shared" ca="1" si="29"/>
        <v>4.9787068367863944E-2</v>
      </c>
      <c r="AP20">
        <f t="shared" ca="1" si="30"/>
        <v>4.5049202393557801E-2</v>
      </c>
      <c r="AQ20">
        <f t="shared" ca="1" si="31"/>
        <v>4.0762203978366211E-2</v>
      </c>
      <c r="AR20">
        <f t="shared" ca="1" si="32"/>
        <v>3.6883167401239994E-2</v>
      </c>
      <c r="AS20">
        <f t="shared" ca="1" si="33"/>
        <v>3.3373269960326066E-2</v>
      </c>
      <c r="AT20">
        <f t="shared" ca="1" si="34"/>
        <v>3.0197383422318501E-2</v>
      </c>
      <c r="AU20">
        <f t="shared" ca="1" si="35"/>
        <v>2.7323722447292559E-2</v>
      </c>
      <c r="AV20">
        <f t="shared" ca="1" si="36"/>
        <v>2.4723526470339388E-2</v>
      </c>
      <c r="AW20">
        <f t="shared" ca="1" si="37"/>
        <v>2.2370771856165591E-2</v>
      </c>
      <c r="AX20">
        <f t="shared" ca="1" si="38"/>
        <v>2.0241911445804381E-2</v>
      </c>
      <c r="AY20">
        <f t="shared" ca="1" si="39"/>
        <v>1.8315638888734179E-2</v>
      </c>
      <c r="AZ20">
        <f t="shared" ca="1" si="40"/>
        <v>1.6572675401761237E-2</v>
      </c>
    </row>
    <row r="21" spans="1:52" ht="15" thickBot="1" x14ac:dyDescent="0.4">
      <c r="A21">
        <v>0.2</v>
      </c>
      <c r="B21" s="9" t="s">
        <v>217</v>
      </c>
      <c r="C21">
        <f t="shared" ca="1" si="1"/>
        <v>0.40656965974059911</v>
      </c>
      <c r="D21">
        <f t="shared" ca="1" si="41"/>
        <v>0.44932896411722156</v>
      </c>
      <c r="E21">
        <f t="shared" ca="1" si="42"/>
        <v>0.49658530379140947</v>
      </c>
      <c r="F21">
        <f t="shared" ca="1" si="43"/>
        <v>0.54881163609402639</v>
      </c>
      <c r="G21">
        <f t="shared" ca="1" si="44"/>
        <v>0.60653065971263342</v>
      </c>
      <c r="H21">
        <f t="shared" ca="1" si="45"/>
        <v>0.67032004603563933</v>
      </c>
      <c r="I21">
        <f t="shared" ca="1" si="46"/>
        <v>0.74081822068171788</v>
      </c>
      <c r="J21">
        <f t="shared" ca="1" si="47"/>
        <v>0.81873075307798182</v>
      </c>
      <c r="K21">
        <f t="shared" ca="1" si="48"/>
        <v>0.90483741803595952</v>
      </c>
      <c r="L21">
        <f t="shared" ca="1" si="49"/>
        <v>1</v>
      </c>
      <c r="M21">
        <f t="shared" ca="1" si="50"/>
        <v>0.90483741803595952</v>
      </c>
      <c r="N21">
        <f t="shared" ca="1" si="2"/>
        <v>0.81873075307798182</v>
      </c>
      <c r="O21">
        <f t="shared" ca="1" si="3"/>
        <v>0.74081822068171788</v>
      </c>
      <c r="P21">
        <f t="shared" ca="1" si="4"/>
        <v>0.67032004603563933</v>
      </c>
      <c r="Q21">
        <f t="shared" ca="1" si="5"/>
        <v>0.60653065971263342</v>
      </c>
      <c r="R21">
        <f t="shared" ca="1" si="6"/>
        <v>0.54881163609402639</v>
      </c>
      <c r="S21">
        <f t="shared" ca="1" si="7"/>
        <v>0.49658530379140947</v>
      </c>
      <c r="T21">
        <f t="shared" ca="1" si="8"/>
        <v>0.44932896411722156</v>
      </c>
      <c r="U21">
        <f t="shared" ca="1" si="9"/>
        <v>0.40656965974059911</v>
      </c>
      <c r="V21">
        <f t="shared" ca="1" si="10"/>
        <v>0.36787944117144233</v>
      </c>
      <c r="W21">
        <f t="shared" ca="1" si="11"/>
        <v>0.33287108369807955</v>
      </c>
      <c r="X21">
        <f t="shared" ca="1" si="12"/>
        <v>0.30119421191220203</v>
      </c>
      <c r="Y21">
        <f t="shared" ca="1" si="13"/>
        <v>0.27253179303401259</v>
      </c>
      <c r="Z21">
        <f t="shared" ca="1" si="14"/>
        <v>0.24659696394160643</v>
      </c>
      <c r="AA21">
        <f t="shared" ca="1" si="15"/>
        <v>0.22313016014842982</v>
      </c>
      <c r="AB21">
        <f t="shared" ca="1" si="16"/>
        <v>0.20189651799465538</v>
      </c>
      <c r="AC21">
        <f t="shared" ca="1" si="17"/>
        <v>0.18268352405273461</v>
      </c>
      <c r="AD21">
        <f t="shared" ca="1" si="18"/>
        <v>0.16529888822158653</v>
      </c>
      <c r="AE21">
        <f t="shared" ca="1" si="19"/>
        <v>0.14956861922263504</v>
      </c>
      <c r="AF21">
        <f t="shared" ca="1" si="20"/>
        <v>0.1353352832366127</v>
      </c>
      <c r="AG21">
        <f t="shared" ca="1" si="21"/>
        <v>0.12245642825298191</v>
      </c>
      <c r="AH21">
        <f t="shared" ca="1" si="22"/>
        <v>0.11080315836233387</v>
      </c>
      <c r="AI21">
        <f t="shared" ca="1" si="23"/>
        <v>0.10025884372280371</v>
      </c>
      <c r="AJ21">
        <f t="shared" ca="1" si="24"/>
        <v>9.071795328941247E-2</v>
      </c>
      <c r="AK21">
        <f t="shared" ca="1" si="25"/>
        <v>8.20849986238988E-2</v>
      </c>
      <c r="AL21">
        <f t="shared" ca="1" si="26"/>
        <v>7.4273578214333877E-2</v>
      </c>
      <c r="AM21">
        <f t="shared" ca="1" si="27"/>
        <v>6.7205512739749756E-2</v>
      </c>
      <c r="AN21">
        <f t="shared" ca="1" si="28"/>
        <v>6.0810062625217952E-2</v>
      </c>
      <c r="AO21">
        <f t="shared" ca="1" si="29"/>
        <v>5.502322005640721E-2</v>
      </c>
      <c r="AP21">
        <f t="shared" ca="1" si="30"/>
        <v>4.9787068367863944E-2</v>
      </c>
      <c r="AQ21">
        <f t="shared" ca="1" si="31"/>
        <v>4.5049202393557801E-2</v>
      </c>
      <c r="AR21">
        <f t="shared" ca="1" si="32"/>
        <v>4.0762203978366211E-2</v>
      </c>
      <c r="AS21">
        <f t="shared" ca="1" si="33"/>
        <v>3.6883167401239994E-2</v>
      </c>
      <c r="AT21">
        <f t="shared" ca="1" si="34"/>
        <v>3.3373269960326066E-2</v>
      </c>
      <c r="AU21">
        <f t="shared" ca="1" si="35"/>
        <v>3.0197383422318501E-2</v>
      </c>
      <c r="AV21">
        <f t="shared" ca="1" si="36"/>
        <v>2.7323722447292559E-2</v>
      </c>
      <c r="AW21">
        <f t="shared" ca="1" si="37"/>
        <v>2.4723526470339388E-2</v>
      </c>
      <c r="AX21">
        <f t="shared" ca="1" si="38"/>
        <v>2.2370771856165591E-2</v>
      </c>
      <c r="AY21">
        <f t="shared" ca="1" si="39"/>
        <v>2.0241911445804381E-2</v>
      </c>
      <c r="AZ21">
        <f t="shared" ca="1" si="40"/>
        <v>1.8315638888734179E-2</v>
      </c>
    </row>
    <row r="22" spans="1:52" ht="15" thickBot="1" x14ac:dyDescent="0.4">
      <c r="A22">
        <v>0.2</v>
      </c>
      <c r="B22" s="9" t="s">
        <v>218</v>
      </c>
      <c r="C22">
        <f t="shared" ca="1" si="1"/>
        <v>0.36787944117144233</v>
      </c>
      <c r="D22">
        <f t="shared" ca="1" si="41"/>
        <v>0.40656965974059911</v>
      </c>
      <c r="E22">
        <f t="shared" ca="1" si="42"/>
        <v>0.44932896411722156</v>
      </c>
      <c r="F22">
        <f t="shared" ca="1" si="43"/>
        <v>0.49658530379140947</v>
      </c>
      <c r="G22">
        <f t="shared" ca="1" si="44"/>
        <v>0.54881163609402639</v>
      </c>
      <c r="H22">
        <f t="shared" ca="1" si="45"/>
        <v>0.60653065971263342</v>
      </c>
      <c r="I22">
        <f t="shared" ca="1" si="46"/>
        <v>0.67032004603563933</v>
      </c>
      <c r="J22">
        <f t="shared" ca="1" si="47"/>
        <v>0.74081822068171788</v>
      </c>
      <c r="K22">
        <f t="shared" ca="1" si="48"/>
        <v>0.81873075307798182</v>
      </c>
      <c r="L22">
        <f t="shared" ca="1" si="49"/>
        <v>0.90483741803595952</v>
      </c>
      <c r="M22">
        <f t="shared" ca="1" si="50"/>
        <v>1</v>
      </c>
      <c r="N22">
        <f t="shared" ca="1" si="2"/>
        <v>0.90483741803595952</v>
      </c>
      <c r="O22">
        <f t="shared" ca="1" si="3"/>
        <v>0.81873075307798182</v>
      </c>
      <c r="P22">
        <f t="shared" ca="1" si="4"/>
        <v>0.74081822068171788</v>
      </c>
      <c r="Q22">
        <f t="shared" ca="1" si="5"/>
        <v>0.67032004603563933</v>
      </c>
      <c r="R22">
        <f t="shared" ca="1" si="6"/>
        <v>0.60653065971263342</v>
      </c>
      <c r="S22">
        <f t="shared" ca="1" si="7"/>
        <v>0.54881163609402639</v>
      </c>
      <c r="T22">
        <f t="shared" ca="1" si="8"/>
        <v>0.49658530379140947</v>
      </c>
      <c r="U22">
        <f t="shared" ca="1" si="9"/>
        <v>0.44932896411722156</v>
      </c>
      <c r="V22">
        <f t="shared" ca="1" si="10"/>
        <v>0.40656965974059911</v>
      </c>
      <c r="W22">
        <f t="shared" ca="1" si="11"/>
        <v>0.36787944117144233</v>
      </c>
      <c r="X22">
        <f t="shared" ca="1" si="12"/>
        <v>0.33287108369807955</v>
      </c>
      <c r="Y22">
        <f t="shared" ca="1" si="13"/>
        <v>0.30119421191220203</v>
      </c>
      <c r="Z22">
        <f t="shared" ca="1" si="14"/>
        <v>0.27253179303401259</v>
      </c>
      <c r="AA22">
        <f t="shared" ca="1" si="15"/>
        <v>0.24659696394160643</v>
      </c>
      <c r="AB22">
        <f t="shared" ca="1" si="16"/>
        <v>0.22313016014842982</v>
      </c>
      <c r="AC22">
        <f t="shared" ca="1" si="17"/>
        <v>0.20189651799465538</v>
      </c>
      <c r="AD22">
        <f t="shared" ca="1" si="18"/>
        <v>0.18268352405273461</v>
      </c>
      <c r="AE22">
        <f t="shared" ca="1" si="19"/>
        <v>0.16529888822158653</v>
      </c>
      <c r="AF22">
        <f t="shared" ca="1" si="20"/>
        <v>0.14956861922263504</v>
      </c>
      <c r="AG22">
        <f t="shared" ca="1" si="21"/>
        <v>0.1353352832366127</v>
      </c>
      <c r="AH22">
        <f t="shared" ca="1" si="22"/>
        <v>0.12245642825298191</v>
      </c>
      <c r="AI22">
        <f t="shared" ca="1" si="23"/>
        <v>0.11080315836233387</v>
      </c>
      <c r="AJ22">
        <f t="shared" ca="1" si="24"/>
        <v>0.10025884372280371</v>
      </c>
      <c r="AK22">
        <f t="shared" ca="1" si="25"/>
        <v>9.071795328941247E-2</v>
      </c>
      <c r="AL22">
        <f t="shared" ca="1" si="26"/>
        <v>8.20849986238988E-2</v>
      </c>
      <c r="AM22">
        <f t="shared" ca="1" si="27"/>
        <v>7.4273578214333877E-2</v>
      </c>
      <c r="AN22">
        <f t="shared" ca="1" si="28"/>
        <v>6.7205512739749756E-2</v>
      </c>
      <c r="AO22">
        <f t="shared" ca="1" si="29"/>
        <v>6.0810062625217952E-2</v>
      </c>
      <c r="AP22">
        <f t="shared" ca="1" si="30"/>
        <v>5.502322005640721E-2</v>
      </c>
      <c r="AQ22">
        <f t="shared" ca="1" si="31"/>
        <v>4.9787068367863944E-2</v>
      </c>
      <c r="AR22">
        <f t="shared" ca="1" si="32"/>
        <v>4.5049202393557801E-2</v>
      </c>
      <c r="AS22">
        <f t="shared" ca="1" si="33"/>
        <v>4.0762203978366211E-2</v>
      </c>
      <c r="AT22">
        <f t="shared" ca="1" si="34"/>
        <v>3.6883167401239994E-2</v>
      </c>
      <c r="AU22">
        <f t="shared" ca="1" si="35"/>
        <v>3.3373269960326066E-2</v>
      </c>
      <c r="AV22">
        <f t="shared" ca="1" si="36"/>
        <v>3.0197383422318501E-2</v>
      </c>
      <c r="AW22">
        <f t="shared" ca="1" si="37"/>
        <v>2.7323722447292559E-2</v>
      </c>
      <c r="AX22">
        <f t="shared" ca="1" si="38"/>
        <v>2.4723526470339388E-2</v>
      </c>
      <c r="AY22">
        <f t="shared" ca="1" si="39"/>
        <v>2.2370771856165591E-2</v>
      </c>
      <c r="AZ22">
        <f t="shared" ca="1" si="40"/>
        <v>2.0241911445804381E-2</v>
      </c>
    </row>
    <row r="23" spans="1:52" ht="15" thickBot="1" x14ac:dyDescent="0.4">
      <c r="A23">
        <v>0.2</v>
      </c>
      <c r="B23" s="9" t="s">
        <v>219</v>
      </c>
      <c r="C23">
        <f t="shared" ca="1" si="1"/>
        <v>0.33287108369807955</v>
      </c>
      <c r="D23">
        <f t="shared" ca="1" si="41"/>
        <v>0.36787944117144233</v>
      </c>
      <c r="E23">
        <f t="shared" ca="1" si="42"/>
        <v>0.40656965974059911</v>
      </c>
      <c r="F23">
        <f t="shared" ca="1" si="43"/>
        <v>0.44932896411722156</v>
      </c>
      <c r="G23">
        <f t="shared" ca="1" si="44"/>
        <v>0.49658530379140947</v>
      </c>
      <c r="H23">
        <f t="shared" ca="1" si="45"/>
        <v>0.54881163609402639</v>
      </c>
      <c r="I23">
        <f t="shared" ca="1" si="46"/>
        <v>0.60653065971263342</v>
      </c>
      <c r="J23">
        <f t="shared" ca="1" si="47"/>
        <v>0.67032004603563933</v>
      </c>
      <c r="K23">
        <f t="shared" ca="1" si="48"/>
        <v>0.74081822068171788</v>
      </c>
      <c r="L23">
        <f t="shared" ca="1" si="49"/>
        <v>0.81873075307798182</v>
      </c>
      <c r="M23">
        <f t="shared" ca="1" si="50"/>
        <v>0.90483741803595952</v>
      </c>
      <c r="N23">
        <f t="shared" ca="1" si="2"/>
        <v>1</v>
      </c>
      <c r="O23">
        <f t="shared" ca="1" si="3"/>
        <v>0.90483741803595952</v>
      </c>
      <c r="P23">
        <f t="shared" ca="1" si="4"/>
        <v>0.81873075307798182</v>
      </c>
      <c r="Q23">
        <f t="shared" ca="1" si="5"/>
        <v>0.74081822068171788</v>
      </c>
      <c r="R23">
        <f t="shared" ca="1" si="6"/>
        <v>0.67032004603563933</v>
      </c>
      <c r="S23">
        <f t="shared" ca="1" si="7"/>
        <v>0.60653065971263342</v>
      </c>
      <c r="T23">
        <f t="shared" ca="1" si="8"/>
        <v>0.54881163609402639</v>
      </c>
      <c r="U23">
        <f t="shared" ca="1" si="9"/>
        <v>0.49658530379140947</v>
      </c>
      <c r="V23">
        <f t="shared" ca="1" si="10"/>
        <v>0.44932896411722156</v>
      </c>
      <c r="W23">
        <f t="shared" ca="1" si="11"/>
        <v>0.40656965974059911</v>
      </c>
      <c r="X23">
        <f t="shared" ca="1" si="12"/>
        <v>0.36787944117144233</v>
      </c>
      <c r="Y23">
        <f t="shared" ca="1" si="13"/>
        <v>0.33287108369807955</v>
      </c>
      <c r="Z23">
        <f t="shared" ca="1" si="14"/>
        <v>0.30119421191220203</v>
      </c>
      <c r="AA23">
        <f t="shared" ca="1" si="15"/>
        <v>0.27253179303401259</v>
      </c>
      <c r="AB23">
        <f t="shared" ca="1" si="16"/>
        <v>0.24659696394160643</v>
      </c>
      <c r="AC23">
        <f t="shared" ca="1" si="17"/>
        <v>0.22313016014842982</v>
      </c>
      <c r="AD23">
        <f t="shared" ca="1" si="18"/>
        <v>0.20189651799465538</v>
      </c>
      <c r="AE23">
        <f t="shared" ca="1" si="19"/>
        <v>0.18268352405273461</v>
      </c>
      <c r="AF23">
        <f t="shared" ca="1" si="20"/>
        <v>0.16529888822158653</v>
      </c>
      <c r="AG23">
        <f t="shared" ca="1" si="21"/>
        <v>0.14956861922263504</v>
      </c>
      <c r="AH23">
        <f t="shared" ca="1" si="22"/>
        <v>0.1353352832366127</v>
      </c>
      <c r="AI23">
        <f t="shared" ca="1" si="23"/>
        <v>0.12245642825298191</v>
      </c>
      <c r="AJ23">
        <f t="shared" ca="1" si="24"/>
        <v>0.11080315836233387</v>
      </c>
      <c r="AK23">
        <f t="shared" ca="1" si="25"/>
        <v>0.10025884372280371</v>
      </c>
      <c r="AL23">
        <f t="shared" ca="1" si="26"/>
        <v>9.071795328941247E-2</v>
      </c>
      <c r="AM23">
        <f t="shared" ca="1" si="27"/>
        <v>8.20849986238988E-2</v>
      </c>
      <c r="AN23">
        <f t="shared" ca="1" si="28"/>
        <v>7.4273578214333877E-2</v>
      </c>
      <c r="AO23">
        <f t="shared" ca="1" si="29"/>
        <v>6.7205512739749756E-2</v>
      </c>
      <c r="AP23">
        <f t="shared" ca="1" si="30"/>
        <v>6.0810062625217952E-2</v>
      </c>
      <c r="AQ23">
        <f t="shared" ca="1" si="31"/>
        <v>5.502322005640721E-2</v>
      </c>
      <c r="AR23">
        <f t="shared" ca="1" si="32"/>
        <v>4.9787068367863944E-2</v>
      </c>
      <c r="AS23">
        <f t="shared" ca="1" si="33"/>
        <v>4.5049202393557801E-2</v>
      </c>
      <c r="AT23">
        <f t="shared" ca="1" si="34"/>
        <v>4.0762203978366211E-2</v>
      </c>
      <c r="AU23">
        <f t="shared" ca="1" si="35"/>
        <v>3.6883167401239994E-2</v>
      </c>
      <c r="AV23">
        <f t="shared" ca="1" si="36"/>
        <v>3.3373269960326066E-2</v>
      </c>
      <c r="AW23">
        <f t="shared" ca="1" si="37"/>
        <v>3.0197383422318501E-2</v>
      </c>
      <c r="AX23">
        <f t="shared" ca="1" si="38"/>
        <v>2.7323722447292559E-2</v>
      </c>
      <c r="AY23">
        <f t="shared" ca="1" si="39"/>
        <v>2.4723526470339388E-2</v>
      </c>
      <c r="AZ23">
        <f t="shared" ca="1" si="40"/>
        <v>2.2370771856165591E-2</v>
      </c>
    </row>
    <row r="24" spans="1:52" ht="15" thickBot="1" x14ac:dyDescent="0.4">
      <c r="A24">
        <v>0.2</v>
      </c>
      <c r="B24" s="9" t="s">
        <v>220</v>
      </c>
      <c r="C24">
        <f t="shared" ca="1" si="1"/>
        <v>0.30119421191220203</v>
      </c>
      <c r="D24">
        <f t="shared" ca="1" si="41"/>
        <v>0.33287108369807955</v>
      </c>
      <c r="E24">
        <f t="shared" ca="1" si="42"/>
        <v>0.36787944117144233</v>
      </c>
      <c r="F24">
        <f t="shared" ca="1" si="43"/>
        <v>0.40656965974059911</v>
      </c>
      <c r="G24">
        <f t="shared" ca="1" si="44"/>
        <v>0.44932896411722156</v>
      </c>
      <c r="H24">
        <f t="shared" ca="1" si="45"/>
        <v>0.49658530379140947</v>
      </c>
      <c r="I24">
        <f t="shared" ca="1" si="46"/>
        <v>0.54881163609402639</v>
      </c>
      <c r="J24">
        <f t="shared" ca="1" si="47"/>
        <v>0.60653065971263342</v>
      </c>
      <c r="K24">
        <f t="shared" ca="1" si="48"/>
        <v>0.67032004603563933</v>
      </c>
      <c r="L24">
        <f t="shared" ca="1" si="49"/>
        <v>0.74081822068171788</v>
      </c>
      <c r="M24">
        <f t="shared" ca="1" si="50"/>
        <v>0.81873075307798182</v>
      </c>
      <c r="N24">
        <f t="shared" ca="1" si="2"/>
        <v>0.90483741803595952</v>
      </c>
      <c r="O24">
        <f t="shared" ca="1" si="3"/>
        <v>1</v>
      </c>
      <c r="P24">
        <f t="shared" ca="1" si="4"/>
        <v>0.90483741803595952</v>
      </c>
      <c r="Q24">
        <f t="shared" ca="1" si="5"/>
        <v>0.81873075307798182</v>
      </c>
      <c r="R24">
        <f t="shared" ca="1" si="6"/>
        <v>0.74081822068171788</v>
      </c>
      <c r="S24">
        <f t="shared" ca="1" si="7"/>
        <v>0.67032004603563933</v>
      </c>
      <c r="T24">
        <f t="shared" ca="1" si="8"/>
        <v>0.60653065971263342</v>
      </c>
      <c r="U24">
        <f t="shared" ca="1" si="9"/>
        <v>0.54881163609402639</v>
      </c>
      <c r="V24">
        <f t="shared" ca="1" si="10"/>
        <v>0.49658530379140947</v>
      </c>
      <c r="W24">
        <f t="shared" ca="1" si="11"/>
        <v>0.44932896411722156</v>
      </c>
      <c r="X24">
        <f t="shared" ca="1" si="12"/>
        <v>0.40656965974059911</v>
      </c>
      <c r="Y24">
        <f t="shared" ca="1" si="13"/>
        <v>0.36787944117144233</v>
      </c>
      <c r="Z24">
        <f t="shared" ca="1" si="14"/>
        <v>0.33287108369807955</v>
      </c>
      <c r="AA24">
        <f t="shared" ca="1" si="15"/>
        <v>0.30119421191220203</v>
      </c>
      <c r="AB24">
        <f t="shared" ca="1" si="16"/>
        <v>0.27253179303401259</v>
      </c>
      <c r="AC24">
        <f t="shared" ca="1" si="17"/>
        <v>0.24659696394160643</v>
      </c>
      <c r="AD24">
        <f t="shared" ca="1" si="18"/>
        <v>0.22313016014842982</v>
      </c>
      <c r="AE24">
        <f t="shared" ca="1" si="19"/>
        <v>0.20189651799465538</v>
      </c>
      <c r="AF24">
        <f t="shared" ca="1" si="20"/>
        <v>0.18268352405273461</v>
      </c>
      <c r="AG24">
        <f t="shared" ca="1" si="21"/>
        <v>0.16529888822158653</v>
      </c>
      <c r="AH24">
        <f t="shared" ca="1" si="22"/>
        <v>0.14956861922263504</v>
      </c>
      <c r="AI24">
        <f t="shared" ca="1" si="23"/>
        <v>0.1353352832366127</v>
      </c>
      <c r="AJ24">
        <f t="shared" ca="1" si="24"/>
        <v>0.12245642825298191</v>
      </c>
      <c r="AK24">
        <f t="shared" ca="1" si="25"/>
        <v>0.11080315836233387</v>
      </c>
      <c r="AL24">
        <f t="shared" ca="1" si="26"/>
        <v>0.10025884372280371</v>
      </c>
      <c r="AM24">
        <f t="shared" ca="1" si="27"/>
        <v>9.071795328941247E-2</v>
      </c>
      <c r="AN24">
        <f t="shared" ca="1" si="28"/>
        <v>8.20849986238988E-2</v>
      </c>
      <c r="AO24">
        <f t="shared" ca="1" si="29"/>
        <v>7.4273578214333877E-2</v>
      </c>
      <c r="AP24">
        <f t="shared" ca="1" si="30"/>
        <v>6.7205512739749756E-2</v>
      </c>
      <c r="AQ24">
        <f t="shared" ca="1" si="31"/>
        <v>6.0810062625217952E-2</v>
      </c>
      <c r="AR24">
        <f t="shared" ca="1" si="32"/>
        <v>5.502322005640721E-2</v>
      </c>
      <c r="AS24">
        <f t="shared" ca="1" si="33"/>
        <v>4.9787068367863944E-2</v>
      </c>
      <c r="AT24">
        <f t="shared" ca="1" si="34"/>
        <v>4.5049202393557801E-2</v>
      </c>
      <c r="AU24">
        <f t="shared" ca="1" si="35"/>
        <v>4.0762203978366211E-2</v>
      </c>
      <c r="AV24">
        <f t="shared" ca="1" si="36"/>
        <v>3.6883167401239994E-2</v>
      </c>
      <c r="AW24">
        <f t="shared" ca="1" si="37"/>
        <v>3.3373269960326066E-2</v>
      </c>
      <c r="AX24">
        <f t="shared" ca="1" si="38"/>
        <v>3.0197383422318501E-2</v>
      </c>
      <c r="AY24">
        <f t="shared" ca="1" si="39"/>
        <v>2.7323722447292559E-2</v>
      </c>
      <c r="AZ24">
        <f t="shared" ca="1" si="40"/>
        <v>2.4723526470339388E-2</v>
      </c>
    </row>
    <row r="25" spans="1:52" ht="15" thickBot="1" x14ac:dyDescent="0.4">
      <c r="A25">
        <v>0.2</v>
      </c>
      <c r="B25" s="9" t="s">
        <v>221</v>
      </c>
      <c r="C25">
        <f t="shared" ca="1" si="1"/>
        <v>0.27253179303401259</v>
      </c>
      <c r="D25">
        <f t="shared" ca="1" si="41"/>
        <v>0.30119421191220203</v>
      </c>
      <c r="E25">
        <f t="shared" ca="1" si="42"/>
        <v>0.33287108369807955</v>
      </c>
      <c r="F25">
        <f t="shared" ca="1" si="43"/>
        <v>0.36787944117144233</v>
      </c>
      <c r="G25">
        <f t="shared" ca="1" si="44"/>
        <v>0.40656965974059911</v>
      </c>
      <c r="H25">
        <f t="shared" ca="1" si="45"/>
        <v>0.44932896411722156</v>
      </c>
      <c r="I25">
        <f t="shared" ca="1" si="46"/>
        <v>0.49658530379140947</v>
      </c>
      <c r="J25">
        <f t="shared" ca="1" si="47"/>
        <v>0.54881163609402639</v>
      </c>
      <c r="K25">
        <f t="shared" ca="1" si="48"/>
        <v>0.60653065971263342</v>
      </c>
      <c r="L25">
        <f t="shared" ca="1" si="49"/>
        <v>0.67032004603563933</v>
      </c>
      <c r="M25">
        <f t="shared" ca="1" si="50"/>
        <v>0.74081822068171788</v>
      </c>
      <c r="N25">
        <f t="shared" ca="1" si="2"/>
        <v>0.81873075307798182</v>
      </c>
      <c r="O25">
        <f t="shared" ca="1" si="3"/>
        <v>0.90483741803595952</v>
      </c>
      <c r="P25">
        <f t="shared" ca="1" si="4"/>
        <v>1</v>
      </c>
      <c r="Q25">
        <f t="shared" ca="1" si="5"/>
        <v>0.90483741803595952</v>
      </c>
      <c r="R25">
        <f t="shared" ca="1" si="6"/>
        <v>0.81873075307798182</v>
      </c>
      <c r="S25">
        <f t="shared" ca="1" si="7"/>
        <v>0.74081822068171788</v>
      </c>
      <c r="T25">
        <f t="shared" ca="1" si="8"/>
        <v>0.67032004603563933</v>
      </c>
      <c r="U25">
        <f t="shared" ca="1" si="9"/>
        <v>0.60653065971263342</v>
      </c>
      <c r="V25">
        <f t="shared" ca="1" si="10"/>
        <v>0.54881163609402639</v>
      </c>
      <c r="W25">
        <f t="shared" ca="1" si="11"/>
        <v>0.49658530379140947</v>
      </c>
      <c r="X25">
        <f t="shared" ca="1" si="12"/>
        <v>0.44932896411722156</v>
      </c>
      <c r="Y25">
        <f t="shared" ca="1" si="13"/>
        <v>0.40656965974059911</v>
      </c>
      <c r="Z25">
        <f t="shared" ca="1" si="14"/>
        <v>0.36787944117144233</v>
      </c>
      <c r="AA25">
        <f t="shared" ca="1" si="15"/>
        <v>0.33287108369807955</v>
      </c>
      <c r="AB25">
        <f t="shared" ca="1" si="16"/>
        <v>0.30119421191220203</v>
      </c>
      <c r="AC25">
        <f t="shared" ca="1" si="17"/>
        <v>0.27253179303401259</v>
      </c>
      <c r="AD25">
        <f t="shared" ca="1" si="18"/>
        <v>0.24659696394160643</v>
      </c>
      <c r="AE25">
        <f t="shared" ca="1" si="19"/>
        <v>0.22313016014842982</v>
      </c>
      <c r="AF25">
        <f t="shared" ca="1" si="20"/>
        <v>0.20189651799465538</v>
      </c>
      <c r="AG25">
        <f t="shared" ca="1" si="21"/>
        <v>0.18268352405273461</v>
      </c>
      <c r="AH25">
        <f t="shared" ca="1" si="22"/>
        <v>0.16529888822158653</v>
      </c>
      <c r="AI25">
        <f t="shared" ca="1" si="23"/>
        <v>0.14956861922263504</v>
      </c>
      <c r="AJ25">
        <f t="shared" ca="1" si="24"/>
        <v>0.1353352832366127</v>
      </c>
      <c r="AK25">
        <f t="shared" ca="1" si="25"/>
        <v>0.12245642825298191</v>
      </c>
      <c r="AL25">
        <f t="shared" ca="1" si="26"/>
        <v>0.11080315836233387</v>
      </c>
      <c r="AM25">
        <f t="shared" ca="1" si="27"/>
        <v>0.10025884372280371</v>
      </c>
      <c r="AN25">
        <f t="shared" ca="1" si="28"/>
        <v>9.071795328941247E-2</v>
      </c>
      <c r="AO25">
        <f t="shared" ca="1" si="29"/>
        <v>8.20849986238988E-2</v>
      </c>
      <c r="AP25">
        <f t="shared" ca="1" si="30"/>
        <v>7.4273578214333877E-2</v>
      </c>
      <c r="AQ25">
        <f t="shared" ca="1" si="31"/>
        <v>6.7205512739749756E-2</v>
      </c>
      <c r="AR25">
        <f t="shared" ca="1" si="32"/>
        <v>6.0810062625217952E-2</v>
      </c>
      <c r="AS25">
        <f t="shared" ca="1" si="33"/>
        <v>5.502322005640721E-2</v>
      </c>
      <c r="AT25">
        <f t="shared" ca="1" si="34"/>
        <v>4.9787068367863944E-2</v>
      </c>
      <c r="AU25">
        <f t="shared" ca="1" si="35"/>
        <v>4.5049202393557801E-2</v>
      </c>
      <c r="AV25">
        <f t="shared" ca="1" si="36"/>
        <v>4.0762203978366211E-2</v>
      </c>
      <c r="AW25">
        <f t="shared" ca="1" si="37"/>
        <v>3.6883167401239994E-2</v>
      </c>
      <c r="AX25">
        <f t="shared" ca="1" si="38"/>
        <v>3.3373269960326066E-2</v>
      </c>
      <c r="AY25">
        <f t="shared" ca="1" si="39"/>
        <v>3.0197383422318501E-2</v>
      </c>
      <c r="AZ25">
        <f t="shared" ca="1" si="40"/>
        <v>2.7323722447292559E-2</v>
      </c>
    </row>
    <row r="26" spans="1:52" ht="15" thickBot="1" x14ac:dyDescent="0.4">
      <c r="A26">
        <v>0.2</v>
      </c>
      <c r="B26" s="9" t="s">
        <v>222</v>
      </c>
      <c r="C26">
        <f t="shared" ca="1" si="1"/>
        <v>0.24659696394160643</v>
      </c>
      <c r="D26">
        <f t="shared" ca="1" si="41"/>
        <v>0.27253179303401259</v>
      </c>
      <c r="E26">
        <f t="shared" ca="1" si="42"/>
        <v>0.30119421191220203</v>
      </c>
      <c r="F26">
        <f t="shared" ca="1" si="43"/>
        <v>0.33287108369807955</v>
      </c>
      <c r="G26">
        <f t="shared" ca="1" si="44"/>
        <v>0.36787944117144233</v>
      </c>
      <c r="H26">
        <f t="shared" ca="1" si="45"/>
        <v>0.40656965974059911</v>
      </c>
      <c r="I26">
        <f t="shared" ca="1" si="46"/>
        <v>0.44932896411722156</v>
      </c>
      <c r="J26">
        <f t="shared" ca="1" si="47"/>
        <v>0.49658530379140947</v>
      </c>
      <c r="K26">
        <f t="shared" ca="1" si="48"/>
        <v>0.54881163609402639</v>
      </c>
      <c r="L26">
        <f t="shared" ca="1" si="49"/>
        <v>0.60653065971263342</v>
      </c>
      <c r="M26">
        <f t="shared" ca="1" si="50"/>
        <v>0.67032004603563933</v>
      </c>
      <c r="N26">
        <f t="shared" ca="1" si="2"/>
        <v>0.74081822068171788</v>
      </c>
      <c r="O26">
        <f t="shared" ca="1" si="3"/>
        <v>0.81873075307798182</v>
      </c>
      <c r="P26">
        <f t="shared" ca="1" si="4"/>
        <v>0.90483741803595952</v>
      </c>
      <c r="Q26">
        <f t="shared" ca="1" si="5"/>
        <v>1</v>
      </c>
      <c r="R26">
        <f t="shared" ca="1" si="6"/>
        <v>0.90483741803595952</v>
      </c>
      <c r="S26">
        <f t="shared" ca="1" si="7"/>
        <v>0.81873075307798182</v>
      </c>
      <c r="T26">
        <f t="shared" ca="1" si="8"/>
        <v>0.74081822068171788</v>
      </c>
      <c r="U26">
        <f t="shared" ca="1" si="9"/>
        <v>0.67032004603563933</v>
      </c>
      <c r="V26">
        <f t="shared" ca="1" si="10"/>
        <v>0.60653065971263342</v>
      </c>
      <c r="W26">
        <f t="shared" ca="1" si="11"/>
        <v>0.54881163609402639</v>
      </c>
      <c r="X26">
        <f t="shared" ca="1" si="12"/>
        <v>0.49658530379140947</v>
      </c>
      <c r="Y26">
        <f t="shared" ca="1" si="13"/>
        <v>0.44932896411722156</v>
      </c>
      <c r="Z26">
        <f t="shared" ca="1" si="14"/>
        <v>0.40656965974059911</v>
      </c>
      <c r="AA26">
        <f t="shared" ca="1" si="15"/>
        <v>0.36787944117144233</v>
      </c>
      <c r="AB26">
        <f t="shared" ca="1" si="16"/>
        <v>0.33287108369807955</v>
      </c>
      <c r="AC26">
        <f t="shared" ca="1" si="17"/>
        <v>0.30119421191220203</v>
      </c>
      <c r="AD26">
        <f t="shared" ca="1" si="18"/>
        <v>0.27253179303401259</v>
      </c>
      <c r="AE26">
        <f t="shared" ca="1" si="19"/>
        <v>0.24659696394160643</v>
      </c>
      <c r="AF26">
        <f t="shared" ca="1" si="20"/>
        <v>0.22313016014842982</v>
      </c>
      <c r="AG26">
        <f t="shared" ca="1" si="21"/>
        <v>0.20189651799465538</v>
      </c>
      <c r="AH26">
        <f t="shared" ca="1" si="22"/>
        <v>0.18268352405273461</v>
      </c>
      <c r="AI26">
        <f t="shared" ca="1" si="23"/>
        <v>0.16529888822158653</v>
      </c>
      <c r="AJ26">
        <f t="shared" ca="1" si="24"/>
        <v>0.14956861922263504</v>
      </c>
      <c r="AK26">
        <f t="shared" ca="1" si="25"/>
        <v>0.1353352832366127</v>
      </c>
      <c r="AL26">
        <f t="shared" ca="1" si="26"/>
        <v>0.12245642825298191</v>
      </c>
      <c r="AM26">
        <f t="shared" ca="1" si="27"/>
        <v>0.11080315836233387</v>
      </c>
      <c r="AN26">
        <f t="shared" ca="1" si="28"/>
        <v>0.10025884372280371</v>
      </c>
      <c r="AO26">
        <f t="shared" ca="1" si="29"/>
        <v>9.071795328941247E-2</v>
      </c>
      <c r="AP26">
        <f t="shared" ca="1" si="30"/>
        <v>8.20849986238988E-2</v>
      </c>
      <c r="AQ26">
        <f t="shared" ca="1" si="31"/>
        <v>7.4273578214333877E-2</v>
      </c>
      <c r="AR26">
        <f t="shared" ca="1" si="32"/>
        <v>6.7205512739749756E-2</v>
      </c>
      <c r="AS26">
        <f t="shared" ca="1" si="33"/>
        <v>6.0810062625217952E-2</v>
      </c>
      <c r="AT26">
        <f t="shared" ca="1" si="34"/>
        <v>5.502322005640721E-2</v>
      </c>
      <c r="AU26">
        <f t="shared" ca="1" si="35"/>
        <v>4.9787068367863944E-2</v>
      </c>
      <c r="AV26">
        <f t="shared" ca="1" si="36"/>
        <v>4.5049202393557801E-2</v>
      </c>
      <c r="AW26">
        <f t="shared" ca="1" si="37"/>
        <v>4.0762203978366211E-2</v>
      </c>
      <c r="AX26">
        <f t="shared" ca="1" si="38"/>
        <v>3.6883167401239994E-2</v>
      </c>
      <c r="AY26">
        <f t="shared" ca="1" si="39"/>
        <v>3.3373269960326066E-2</v>
      </c>
      <c r="AZ26">
        <f t="shared" ca="1" si="40"/>
        <v>3.0197383422318501E-2</v>
      </c>
    </row>
    <row r="27" spans="1:52" ht="15" thickBot="1" x14ac:dyDescent="0.4">
      <c r="A27">
        <v>0.2</v>
      </c>
      <c r="B27" s="9" t="s">
        <v>223</v>
      </c>
      <c r="C27">
        <f t="shared" ca="1" si="1"/>
        <v>0.22313016014842982</v>
      </c>
      <c r="D27">
        <f t="shared" ca="1" si="41"/>
        <v>0.24659696394160643</v>
      </c>
      <c r="E27">
        <f t="shared" ca="1" si="42"/>
        <v>0.27253179303401259</v>
      </c>
      <c r="F27">
        <f t="shared" ca="1" si="43"/>
        <v>0.30119421191220203</v>
      </c>
      <c r="G27">
        <f t="shared" ca="1" si="44"/>
        <v>0.33287108369807955</v>
      </c>
      <c r="H27">
        <f t="shared" ca="1" si="45"/>
        <v>0.36787944117144233</v>
      </c>
      <c r="I27">
        <f t="shared" ca="1" si="46"/>
        <v>0.40656965974059911</v>
      </c>
      <c r="J27">
        <f t="shared" ca="1" si="47"/>
        <v>0.44932896411722156</v>
      </c>
      <c r="K27">
        <f t="shared" ca="1" si="48"/>
        <v>0.49658530379140947</v>
      </c>
      <c r="L27">
        <f t="shared" ca="1" si="49"/>
        <v>0.54881163609402639</v>
      </c>
      <c r="M27">
        <f t="shared" ca="1" si="50"/>
        <v>0.60653065971263342</v>
      </c>
      <c r="N27">
        <f t="shared" ca="1" si="2"/>
        <v>0.67032004603563933</v>
      </c>
      <c r="O27">
        <f t="shared" ca="1" si="3"/>
        <v>0.74081822068171788</v>
      </c>
      <c r="P27">
        <f t="shared" ca="1" si="4"/>
        <v>0.81873075307798182</v>
      </c>
      <c r="Q27">
        <f t="shared" ca="1" si="5"/>
        <v>0.90483741803595952</v>
      </c>
      <c r="R27">
        <f t="shared" ca="1" si="6"/>
        <v>1</v>
      </c>
      <c r="S27">
        <f t="shared" ca="1" si="7"/>
        <v>0.90483741803595952</v>
      </c>
      <c r="T27">
        <f t="shared" ca="1" si="8"/>
        <v>0.81873075307798182</v>
      </c>
      <c r="U27">
        <f t="shared" ca="1" si="9"/>
        <v>0.74081822068171788</v>
      </c>
      <c r="V27">
        <f t="shared" ca="1" si="10"/>
        <v>0.67032004603563933</v>
      </c>
      <c r="W27">
        <f t="shared" ca="1" si="11"/>
        <v>0.60653065971263342</v>
      </c>
      <c r="X27">
        <f t="shared" ca="1" si="12"/>
        <v>0.54881163609402639</v>
      </c>
      <c r="Y27">
        <f t="shared" ca="1" si="13"/>
        <v>0.49658530379140947</v>
      </c>
      <c r="Z27">
        <f t="shared" ca="1" si="14"/>
        <v>0.44932896411722156</v>
      </c>
      <c r="AA27">
        <f t="shared" ca="1" si="15"/>
        <v>0.40656965974059911</v>
      </c>
      <c r="AB27">
        <f t="shared" ca="1" si="16"/>
        <v>0.36787944117144233</v>
      </c>
      <c r="AC27">
        <f t="shared" ca="1" si="17"/>
        <v>0.33287108369807955</v>
      </c>
      <c r="AD27">
        <f t="shared" ca="1" si="18"/>
        <v>0.30119421191220203</v>
      </c>
      <c r="AE27">
        <f t="shared" ca="1" si="19"/>
        <v>0.27253179303401259</v>
      </c>
      <c r="AF27">
        <f t="shared" ca="1" si="20"/>
        <v>0.24659696394160643</v>
      </c>
      <c r="AG27">
        <f t="shared" ca="1" si="21"/>
        <v>0.22313016014842982</v>
      </c>
      <c r="AH27">
        <f t="shared" ca="1" si="22"/>
        <v>0.20189651799465538</v>
      </c>
      <c r="AI27">
        <f t="shared" ca="1" si="23"/>
        <v>0.18268352405273461</v>
      </c>
      <c r="AJ27">
        <f t="shared" ca="1" si="24"/>
        <v>0.16529888822158653</v>
      </c>
      <c r="AK27">
        <f t="shared" ca="1" si="25"/>
        <v>0.14956861922263504</v>
      </c>
      <c r="AL27">
        <f t="shared" ca="1" si="26"/>
        <v>0.1353352832366127</v>
      </c>
      <c r="AM27">
        <f t="shared" ca="1" si="27"/>
        <v>0.12245642825298191</v>
      </c>
      <c r="AN27">
        <f t="shared" ca="1" si="28"/>
        <v>0.11080315836233387</v>
      </c>
      <c r="AO27">
        <f t="shared" ca="1" si="29"/>
        <v>0.10025884372280371</v>
      </c>
      <c r="AP27">
        <f t="shared" ca="1" si="30"/>
        <v>9.071795328941247E-2</v>
      </c>
      <c r="AQ27">
        <f t="shared" ca="1" si="31"/>
        <v>8.20849986238988E-2</v>
      </c>
      <c r="AR27">
        <f t="shared" ca="1" si="32"/>
        <v>7.4273578214333877E-2</v>
      </c>
      <c r="AS27">
        <f t="shared" ca="1" si="33"/>
        <v>6.7205512739749756E-2</v>
      </c>
      <c r="AT27">
        <f t="shared" ca="1" si="34"/>
        <v>6.0810062625217952E-2</v>
      </c>
      <c r="AU27">
        <f t="shared" ca="1" si="35"/>
        <v>5.502322005640721E-2</v>
      </c>
      <c r="AV27">
        <f t="shared" ca="1" si="36"/>
        <v>4.9787068367863944E-2</v>
      </c>
      <c r="AW27">
        <f t="shared" ca="1" si="37"/>
        <v>4.5049202393557801E-2</v>
      </c>
      <c r="AX27">
        <f t="shared" ca="1" si="38"/>
        <v>4.0762203978366211E-2</v>
      </c>
      <c r="AY27">
        <f t="shared" ca="1" si="39"/>
        <v>3.6883167401239994E-2</v>
      </c>
      <c r="AZ27">
        <f t="shared" ca="1" si="40"/>
        <v>3.3373269960326066E-2</v>
      </c>
    </row>
    <row r="28" spans="1:52" ht="15" thickBot="1" x14ac:dyDescent="0.4">
      <c r="A28">
        <v>0.2</v>
      </c>
      <c r="B28" s="9" t="s">
        <v>224</v>
      </c>
      <c r="C28">
        <f t="shared" ca="1" si="1"/>
        <v>0.20189651799465538</v>
      </c>
      <c r="D28">
        <f t="shared" ca="1" si="41"/>
        <v>0.22313016014842982</v>
      </c>
      <c r="E28">
        <f t="shared" ca="1" si="42"/>
        <v>0.24659696394160643</v>
      </c>
      <c r="F28">
        <f t="shared" ca="1" si="43"/>
        <v>0.27253179303401259</v>
      </c>
      <c r="G28">
        <f t="shared" ca="1" si="44"/>
        <v>0.30119421191220203</v>
      </c>
      <c r="H28">
        <f t="shared" ca="1" si="45"/>
        <v>0.33287108369807955</v>
      </c>
      <c r="I28">
        <f t="shared" ca="1" si="46"/>
        <v>0.36787944117144233</v>
      </c>
      <c r="J28">
        <f t="shared" ca="1" si="47"/>
        <v>0.40656965974059911</v>
      </c>
      <c r="K28">
        <f t="shared" ca="1" si="48"/>
        <v>0.44932896411722156</v>
      </c>
      <c r="L28">
        <f t="shared" ca="1" si="49"/>
        <v>0.49658530379140947</v>
      </c>
      <c r="M28">
        <f t="shared" ca="1" si="50"/>
        <v>0.54881163609402639</v>
      </c>
      <c r="N28">
        <f t="shared" ca="1" si="2"/>
        <v>0.60653065971263342</v>
      </c>
      <c r="O28">
        <f t="shared" ca="1" si="3"/>
        <v>0.67032004603563933</v>
      </c>
      <c r="P28">
        <f t="shared" ca="1" si="4"/>
        <v>0.74081822068171788</v>
      </c>
      <c r="Q28">
        <f t="shared" ca="1" si="5"/>
        <v>0.81873075307798182</v>
      </c>
      <c r="R28">
        <f t="shared" ca="1" si="6"/>
        <v>0.90483741803595952</v>
      </c>
      <c r="S28">
        <f t="shared" ca="1" si="7"/>
        <v>1</v>
      </c>
      <c r="T28">
        <f t="shared" ca="1" si="8"/>
        <v>0.90483741803595952</v>
      </c>
      <c r="U28">
        <f t="shared" ca="1" si="9"/>
        <v>0.81873075307798182</v>
      </c>
      <c r="V28">
        <f t="shared" ca="1" si="10"/>
        <v>0.74081822068171788</v>
      </c>
      <c r="W28">
        <f t="shared" ca="1" si="11"/>
        <v>0.67032004603563933</v>
      </c>
      <c r="X28">
        <f t="shared" ca="1" si="12"/>
        <v>0.60653065971263342</v>
      </c>
      <c r="Y28">
        <f t="shared" ca="1" si="13"/>
        <v>0.54881163609402639</v>
      </c>
      <c r="Z28">
        <f t="shared" ca="1" si="14"/>
        <v>0.49658530379140947</v>
      </c>
      <c r="AA28">
        <f t="shared" ca="1" si="15"/>
        <v>0.44932896411722156</v>
      </c>
      <c r="AB28">
        <f t="shared" ca="1" si="16"/>
        <v>0.40656965974059911</v>
      </c>
      <c r="AC28">
        <f t="shared" ca="1" si="17"/>
        <v>0.36787944117144233</v>
      </c>
      <c r="AD28">
        <f t="shared" ca="1" si="18"/>
        <v>0.33287108369807955</v>
      </c>
      <c r="AE28">
        <f t="shared" ca="1" si="19"/>
        <v>0.30119421191220203</v>
      </c>
      <c r="AF28">
        <f t="shared" ca="1" si="20"/>
        <v>0.27253179303401259</v>
      </c>
      <c r="AG28">
        <f t="shared" ca="1" si="21"/>
        <v>0.24659696394160643</v>
      </c>
      <c r="AH28">
        <f t="shared" ca="1" si="22"/>
        <v>0.22313016014842982</v>
      </c>
      <c r="AI28">
        <f t="shared" ca="1" si="23"/>
        <v>0.20189651799465538</v>
      </c>
      <c r="AJ28">
        <f t="shared" ca="1" si="24"/>
        <v>0.18268352405273461</v>
      </c>
      <c r="AK28">
        <f t="shared" ca="1" si="25"/>
        <v>0.16529888822158653</v>
      </c>
      <c r="AL28">
        <f t="shared" ca="1" si="26"/>
        <v>0.14956861922263504</v>
      </c>
      <c r="AM28">
        <f t="shared" ca="1" si="27"/>
        <v>0.1353352832366127</v>
      </c>
      <c r="AN28">
        <f t="shared" ca="1" si="28"/>
        <v>0.12245642825298191</v>
      </c>
      <c r="AO28">
        <f t="shared" ca="1" si="29"/>
        <v>0.11080315836233387</v>
      </c>
      <c r="AP28">
        <f t="shared" ca="1" si="30"/>
        <v>0.10025884372280371</v>
      </c>
      <c r="AQ28">
        <f t="shared" ca="1" si="31"/>
        <v>9.071795328941247E-2</v>
      </c>
      <c r="AR28">
        <f t="shared" ca="1" si="32"/>
        <v>8.20849986238988E-2</v>
      </c>
      <c r="AS28">
        <f t="shared" ca="1" si="33"/>
        <v>7.4273578214333877E-2</v>
      </c>
      <c r="AT28">
        <f t="shared" ca="1" si="34"/>
        <v>6.7205512739749756E-2</v>
      </c>
      <c r="AU28">
        <f t="shared" ca="1" si="35"/>
        <v>6.0810062625217952E-2</v>
      </c>
      <c r="AV28">
        <f t="shared" ca="1" si="36"/>
        <v>5.502322005640721E-2</v>
      </c>
      <c r="AW28">
        <f t="shared" ca="1" si="37"/>
        <v>4.9787068367863944E-2</v>
      </c>
      <c r="AX28">
        <f t="shared" ca="1" si="38"/>
        <v>4.5049202393557801E-2</v>
      </c>
      <c r="AY28">
        <f t="shared" ca="1" si="39"/>
        <v>4.0762203978366211E-2</v>
      </c>
      <c r="AZ28">
        <f t="shared" ca="1" si="40"/>
        <v>3.6883167401239994E-2</v>
      </c>
    </row>
    <row r="29" spans="1:52" ht="15" thickBot="1" x14ac:dyDescent="0.4">
      <c r="A29">
        <v>0.2</v>
      </c>
      <c r="B29" s="9" t="s">
        <v>225</v>
      </c>
      <c r="C29">
        <f t="shared" ca="1" si="1"/>
        <v>0.18268352405273461</v>
      </c>
      <c r="D29">
        <f t="shared" ca="1" si="41"/>
        <v>0.20189651799465538</v>
      </c>
      <c r="E29">
        <f t="shared" ca="1" si="42"/>
        <v>0.22313016014842982</v>
      </c>
      <c r="F29">
        <f t="shared" ca="1" si="43"/>
        <v>0.24659696394160643</v>
      </c>
      <c r="G29">
        <f t="shared" ca="1" si="44"/>
        <v>0.27253179303401259</v>
      </c>
      <c r="H29">
        <f t="shared" ca="1" si="45"/>
        <v>0.30119421191220203</v>
      </c>
      <c r="I29">
        <f t="shared" ca="1" si="46"/>
        <v>0.33287108369807955</v>
      </c>
      <c r="J29">
        <f t="shared" ca="1" si="47"/>
        <v>0.36787944117144233</v>
      </c>
      <c r="K29">
        <f t="shared" ca="1" si="48"/>
        <v>0.40656965974059911</v>
      </c>
      <c r="L29">
        <f t="shared" ca="1" si="49"/>
        <v>0.44932896411722156</v>
      </c>
      <c r="M29">
        <f t="shared" ca="1" si="50"/>
        <v>0.49658530379140947</v>
      </c>
      <c r="N29">
        <f t="shared" ca="1" si="2"/>
        <v>0.54881163609402639</v>
      </c>
      <c r="O29">
        <f t="shared" ca="1" si="3"/>
        <v>0.60653065971263342</v>
      </c>
      <c r="P29">
        <f t="shared" ca="1" si="4"/>
        <v>0.67032004603563933</v>
      </c>
      <c r="Q29">
        <f t="shared" ca="1" si="5"/>
        <v>0.74081822068171788</v>
      </c>
      <c r="R29">
        <f t="shared" ca="1" si="6"/>
        <v>0.81873075307798182</v>
      </c>
      <c r="S29">
        <f t="shared" ca="1" si="7"/>
        <v>0.90483741803595952</v>
      </c>
      <c r="T29">
        <f t="shared" ca="1" si="8"/>
        <v>1</v>
      </c>
      <c r="U29">
        <f t="shared" ca="1" si="9"/>
        <v>0.90483741803595952</v>
      </c>
      <c r="V29">
        <f t="shared" ca="1" si="10"/>
        <v>0.81873075307798182</v>
      </c>
      <c r="W29">
        <f t="shared" ca="1" si="11"/>
        <v>0.74081822068171788</v>
      </c>
      <c r="X29">
        <f t="shared" ca="1" si="12"/>
        <v>0.67032004603563933</v>
      </c>
      <c r="Y29">
        <f t="shared" ca="1" si="13"/>
        <v>0.60653065971263342</v>
      </c>
      <c r="Z29">
        <f t="shared" ca="1" si="14"/>
        <v>0.54881163609402639</v>
      </c>
      <c r="AA29">
        <f t="shared" ca="1" si="15"/>
        <v>0.49658530379140947</v>
      </c>
      <c r="AB29">
        <f t="shared" ca="1" si="16"/>
        <v>0.44932896411722156</v>
      </c>
      <c r="AC29">
        <f t="shared" ca="1" si="17"/>
        <v>0.40656965974059911</v>
      </c>
      <c r="AD29">
        <f t="shared" ca="1" si="18"/>
        <v>0.36787944117144233</v>
      </c>
      <c r="AE29">
        <f t="shared" ca="1" si="19"/>
        <v>0.33287108369807955</v>
      </c>
      <c r="AF29">
        <f t="shared" ca="1" si="20"/>
        <v>0.30119421191220203</v>
      </c>
      <c r="AG29">
        <f t="shared" ca="1" si="21"/>
        <v>0.27253179303401259</v>
      </c>
      <c r="AH29">
        <f t="shared" ca="1" si="22"/>
        <v>0.24659696394160643</v>
      </c>
      <c r="AI29">
        <f t="shared" ca="1" si="23"/>
        <v>0.22313016014842982</v>
      </c>
      <c r="AJ29">
        <f t="shared" ca="1" si="24"/>
        <v>0.20189651799465538</v>
      </c>
      <c r="AK29">
        <f t="shared" ca="1" si="25"/>
        <v>0.18268352405273461</v>
      </c>
      <c r="AL29">
        <f t="shared" ca="1" si="26"/>
        <v>0.16529888822158653</v>
      </c>
      <c r="AM29">
        <f t="shared" ca="1" si="27"/>
        <v>0.14956861922263504</v>
      </c>
      <c r="AN29">
        <f t="shared" ca="1" si="28"/>
        <v>0.1353352832366127</v>
      </c>
      <c r="AO29">
        <f t="shared" ca="1" si="29"/>
        <v>0.12245642825298191</v>
      </c>
      <c r="AP29">
        <f t="shared" ca="1" si="30"/>
        <v>0.11080315836233387</v>
      </c>
      <c r="AQ29">
        <f t="shared" ca="1" si="31"/>
        <v>0.10025884372280371</v>
      </c>
      <c r="AR29">
        <f t="shared" ca="1" si="32"/>
        <v>9.071795328941247E-2</v>
      </c>
      <c r="AS29">
        <f t="shared" ca="1" si="33"/>
        <v>8.20849986238988E-2</v>
      </c>
      <c r="AT29">
        <f t="shared" ca="1" si="34"/>
        <v>7.4273578214333877E-2</v>
      </c>
      <c r="AU29">
        <f t="shared" ca="1" si="35"/>
        <v>6.7205512739749756E-2</v>
      </c>
      <c r="AV29">
        <f t="shared" ca="1" si="36"/>
        <v>6.0810062625217952E-2</v>
      </c>
      <c r="AW29">
        <f t="shared" ca="1" si="37"/>
        <v>5.502322005640721E-2</v>
      </c>
      <c r="AX29">
        <f t="shared" ca="1" si="38"/>
        <v>4.9787068367863944E-2</v>
      </c>
      <c r="AY29">
        <f t="shared" ca="1" si="39"/>
        <v>4.5049202393557801E-2</v>
      </c>
      <c r="AZ29">
        <f t="shared" ca="1" si="40"/>
        <v>4.0762203978366211E-2</v>
      </c>
    </row>
    <row r="30" spans="1:52" ht="15" thickBot="1" x14ac:dyDescent="0.4">
      <c r="A30">
        <v>0.2</v>
      </c>
      <c r="B30" s="9" t="s">
        <v>226</v>
      </c>
      <c r="C30">
        <f t="shared" ca="1" si="1"/>
        <v>0.16529888822158653</v>
      </c>
      <c r="D30">
        <f t="shared" ca="1" si="41"/>
        <v>0.18268352405273461</v>
      </c>
      <c r="E30">
        <f t="shared" ca="1" si="42"/>
        <v>0.20189651799465538</v>
      </c>
      <c r="F30">
        <f t="shared" ca="1" si="43"/>
        <v>0.22313016014842982</v>
      </c>
      <c r="G30">
        <f t="shared" ca="1" si="44"/>
        <v>0.24659696394160643</v>
      </c>
      <c r="H30">
        <f t="shared" ca="1" si="45"/>
        <v>0.27253179303401259</v>
      </c>
      <c r="I30">
        <f t="shared" ca="1" si="46"/>
        <v>0.30119421191220203</v>
      </c>
      <c r="J30">
        <f t="shared" ca="1" si="47"/>
        <v>0.33287108369807955</v>
      </c>
      <c r="K30">
        <f t="shared" ca="1" si="48"/>
        <v>0.36787944117144233</v>
      </c>
      <c r="L30">
        <f t="shared" ca="1" si="49"/>
        <v>0.40656965974059911</v>
      </c>
      <c r="M30">
        <f t="shared" ca="1" si="50"/>
        <v>0.44932896411722156</v>
      </c>
      <c r="N30">
        <f t="shared" ca="1" si="2"/>
        <v>0.49658530379140947</v>
      </c>
      <c r="O30">
        <f t="shared" ca="1" si="3"/>
        <v>0.54881163609402639</v>
      </c>
      <c r="P30">
        <f t="shared" ca="1" si="4"/>
        <v>0.60653065971263342</v>
      </c>
      <c r="Q30">
        <f t="shared" ca="1" si="5"/>
        <v>0.67032004603563933</v>
      </c>
      <c r="R30">
        <f t="shared" ca="1" si="6"/>
        <v>0.74081822068171788</v>
      </c>
      <c r="S30">
        <f t="shared" ca="1" si="7"/>
        <v>0.81873075307798182</v>
      </c>
      <c r="T30">
        <f t="shared" ca="1" si="8"/>
        <v>0.90483741803595952</v>
      </c>
      <c r="U30">
        <f t="shared" ca="1" si="9"/>
        <v>1</v>
      </c>
      <c r="V30">
        <f t="shared" ca="1" si="10"/>
        <v>0.90483741803595952</v>
      </c>
      <c r="W30">
        <f t="shared" ca="1" si="11"/>
        <v>0.81873075307798182</v>
      </c>
      <c r="X30">
        <f t="shared" ca="1" si="12"/>
        <v>0.74081822068171788</v>
      </c>
      <c r="Y30">
        <f t="shared" ca="1" si="13"/>
        <v>0.67032004603563933</v>
      </c>
      <c r="Z30">
        <f t="shared" ca="1" si="14"/>
        <v>0.60653065971263342</v>
      </c>
      <c r="AA30">
        <f t="shared" ca="1" si="15"/>
        <v>0.54881163609402639</v>
      </c>
      <c r="AB30">
        <f t="shared" ca="1" si="16"/>
        <v>0.49658530379140947</v>
      </c>
      <c r="AC30">
        <f t="shared" ca="1" si="17"/>
        <v>0.44932896411722156</v>
      </c>
      <c r="AD30">
        <f t="shared" ca="1" si="18"/>
        <v>0.40656965974059911</v>
      </c>
      <c r="AE30">
        <f t="shared" ca="1" si="19"/>
        <v>0.36787944117144233</v>
      </c>
      <c r="AF30">
        <f t="shared" ca="1" si="20"/>
        <v>0.33287108369807955</v>
      </c>
      <c r="AG30">
        <f t="shared" ca="1" si="21"/>
        <v>0.30119421191220203</v>
      </c>
      <c r="AH30">
        <f t="shared" ca="1" si="22"/>
        <v>0.27253179303401259</v>
      </c>
      <c r="AI30">
        <f t="shared" ca="1" si="23"/>
        <v>0.24659696394160643</v>
      </c>
      <c r="AJ30">
        <f t="shared" ca="1" si="24"/>
        <v>0.22313016014842982</v>
      </c>
      <c r="AK30">
        <f t="shared" ca="1" si="25"/>
        <v>0.20189651799465538</v>
      </c>
      <c r="AL30">
        <f t="shared" ca="1" si="26"/>
        <v>0.18268352405273461</v>
      </c>
      <c r="AM30">
        <f t="shared" ca="1" si="27"/>
        <v>0.16529888822158653</v>
      </c>
      <c r="AN30">
        <f t="shared" ca="1" si="28"/>
        <v>0.14956861922263504</v>
      </c>
      <c r="AO30">
        <f t="shared" ca="1" si="29"/>
        <v>0.1353352832366127</v>
      </c>
      <c r="AP30">
        <f t="shared" ca="1" si="30"/>
        <v>0.12245642825298191</v>
      </c>
      <c r="AQ30">
        <f t="shared" ca="1" si="31"/>
        <v>0.11080315836233387</v>
      </c>
      <c r="AR30">
        <f t="shared" ca="1" si="32"/>
        <v>0.10025884372280371</v>
      </c>
      <c r="AS30">
        <f t="shared" ca="1" si="33"/>
        <v>9.071795328941247E-2</v>
      </c>
      <c r="AT30">
        <f t="shared" ca="1" si="34"/>
        <v>8.20849986238988E-2</v>
      </c>
      <c r="AU30">
        <f t="shared" ca="1" si="35"/>
        <v>7.4273578214333877E-2</v>
      </c>
      <c r="AV30">
        <f t="shared" ca="1" si="36"/>
        <v>6.7205512739749756E-2</v>
      </c>
      <c r="AW30">
        <f t="shared" ca="1" si="37"/>
        <v>6.0810062625217952E-2</v>
      </c>
      <c r="AX30">
        <f t="shared" ca="1" si="38"/>
        <v>5.502322005640721E-2</v>
      </c>
      <c r="AY30">
        <f t="shared" ca="1" si="39"/>
        <v>4.9787068367863944E-2</v>
      </c>
      <c r="AZ30">
        <f t="shared" ca="1" si="40"/>
        <v>4.5049202393557801E-2</v>
      </c>
    </row>
    <row r="31" spans="1:52" ht="15" thickBot="1" x14ac:dyDescent="0.4">
      <c r="A31">
        <v>0.2</v>
      </c>
      <c r="B31" s="9" t="s">
        <v>227</v>
      </c>
      <c r="C31">
        <f t="shared" ca="1" si="1"/>
        <v>0.14956861922263504</v>
      </c>
      <c r="D31">
        <f t="shared" ca="1" si="41"/>
        <v>0.16529888822158653</v>
      </c>
      <c r="E31">
        <f t="shared" ca="1" si="42"/>
        <v>0.18268352405273461</v>
      </c>
      <c r="F31">
        <f t="shared" ca="1" si="43"/>
        <v>0.20189651799465538</v>
      </c>
      <c r="G31">
        <f t="shared" ca="1" si="44"/>
        <v>0.22313016014842982</v>
      </c>
      <c r="H31">
        <f t="shared" ca="1" si="45"/>
        <v>0.24659696394160643</v>
      </c>
      <c r="I31">
        <f t="shared" ca="1" si="46"/>
        <v>0.27253179303401259</v>
      </c>
      <c r="J31">
        <f t="shared" ca="1" si="47"/>
        <v>0.30119421191220203</v>
      </c>
      <c r="K31">
        <f t="shared" ca="1" si="48"/>
        <v>0.33287108369807955</v>
      </c>
      <c r="L31">
        <f t="shared" ca="1" si="49"/>
        <v>0.36787944117144233</v>
      </c>
      <c r="M31">
        <f t="shared" ca="1" si="50"/>
        <v>0.40656965974059911</v>
      </c>
      <c r="N31">
        <f t="shared" ca="1" si="2"/>
        <v>0.44932896411722156</v>
      </c>
      <c r="O31">
        <f t="shared" ca="1" si="3"/>
        <v>0.49658530379140947</v>
      </c>
      <c r="P31">
        <f t="shared" ca="1" si="4"/>
        <v>0.54881163609402639</v>
      </c>
      <c r="Q31">
        <f t="shared" ca="1" si="5"/>
        <v>0.60653065971263342</v>
      </c>
      <c r="R31">
        <f t="shared" ca="1" si="6"/>
        <v>0.67032004603563933</v>
      </c>
      <c r="S31">
        <f t="shared" ca="1" si="7"/>
        <v>0.74081822068171788</v>
      </c>
      <c r="T31">
        <f t="shared" ca="1" si="8"/>
        <v>0.81873075307798182</v>
      </c>
      <c r="U31">
        <f t="shared" ca="1" si="9"/>
        <v>0.90483741803595952</v>
      </c>
      <c r="V31">
        <f t="shared" ca="1" si="10"/>
        <v>1</v>
      </c>
      <c r="W31">
        <f t="shared" ca="1" si="11"/>
        <v>0.90483741803595952</v>
      </c>
      <c r="X31">
        <f t="shared" ca="1" si="12"/>
        <v>0.81873075307798182</v>
      </c>
      <c r="Y31">
        <f t="shared" ca="1" si="13"/>
        <v>0.74081822068171788</v>
      </c>
      <c r="Z31">
        <f t="shared" ca="1" si="14"/>
        <v>0.67032004603563933</v>
      </c>
      <c r="AA31">
        <f t="shared" ca="1" si="15"/>
        <v>0.60653065971263342</v>
      </c>
      <c r="AB31">
        <f t="shared" ca="1" si="16"/>
        <v>0.54881163609402639</v>
      </c>
      <c r="AC31">
        <f t="shared" ca="1" si="17"/>
        <v>0.49658530379140947</v>
      </c>
      <c r="AD31">
        <f t="shared" ca="1" si="18"/>
        <v>0.44932896411722156</v>
      </c>
      <c r="AE31">
        <f t="shared" ca="1" si="19"/>
        <v>0.40656965974059911</v>
      </c>
      <c r="AF31">
        <f t="shared" ca="1" si="20"/>
        <v>0.36787944117144233</v>
      </c>
      <c r="AG31">
        <f t="shared" ca="1" si="21"/>
        <v>0.33287108369807955</v>
      </c>
      <c r="AH31">
        <f t="shared" ca="1" si="22"/>
        <v>0.30119421191220203</v>
      </c>
      <c r="AI31">
        <f t="shared" ca="1" si="23"/>
        <v>0.27253179303401259</v>
      </c>
      <c r="AJ31">
        <f t="shared" ca="1" si="24"/>
        <v>0.24659696394160643</v>
      </c>
      <c r="AK31">
        <f t="shared" ca="1" si="25"/>
        <v>0.22313016014842982</v>
      </c>
      <c r="AL31">
        <f t="shared" ca="1" si="26"/>
        <v>0.20189651799465538</v>
      </c>
      <c r="AM31">
        <f t="shared" ca="1" si="27"/>
        <v>0.18268352405273461</v>
      </c>
      <c r="AN31">
        <f t="shared" ca="1" si="28"/>
        <v>0.16529888822158653</v>
      </c>
      <c r="AO31">
        <f t="shared" ca="1" si="29"/>
        <v>0.14956861922263504</v>
      </c>
      <c r="AP31">
        <f t="shared" ca="1" si="30"/>
        <v>0.1353352832366127</v>
      </c>
      <c r="AQ31">
        <f t="shared" ca="1" si="31"/>
        <v>0.12245642825298191</v>
      </c>
      <c r="AR31">
        <f t="shared" ca="1" si="32"/>
        <v>0.11080315836233387</v>
      </c>
      <c r="AS31">
        <f t="shared" ca="1" si="33"/>
        <v>0.10025884372280371</v>
      </c>
      <c r="AT31">
        <f t="shared" ca="1" si="34"/>
        <v>9.071795328941247E-2</v>
      </c>
      <c r="AU31">
        <f t="shared" ca="1" si="35"/>
        <v>8.20849986238988E-2</v>
      </c>
      <c r="AV31">
        <f t="shared" ca="1" si="36"/>
        <v>7.4273578214333877E-2</v>
      </c>
      <c r="AW31">
        <f t="shared" ca="1" si="37"/>
        <v>6.7205512739749756E-2</v>
      </c>
      <c r="AX31">
        <f t="shared" ca="1" si="38"/>
        <v>6.0810062625217952E-2</v>
      </c>
      <c r="AY31">
        <f t="shared" ca="1" si="39"/>
        <v>5.502322005640721E-2</v>
      </c>
      <c r="AZ31">
        <f t="shared" ca="1" si="40"/>
        <v>4.9787068367863944E-2</v>
      </c>
    </row>
    <row r="32" spans="1:52" ht="15" thickBot="1" x14ac:dyDescent="0.4">
      <c r="A32">
        <v>0.2</v>
      </c>
      <c r="B32" s="9" t="s">
        <v>228</v>
      </c>
      <c r="C32">
        <f t="shared" ca="1" si="1"/>
        <v>0.1353352832366127</v>
      </c>
      <c r="D32">
        <f t="shared" ca="1" si="41"/>
        <v>0.14956861922263504</v>
      </c>
      <c r="E32">
        <f t="shared" ca="1" si="42"/>
        <v>0.16529888822158653</v>
      </c>
      <c r="F32">
        <f t="shared" ca="1" si="43"/>
        <v>0.18268352405273461</v>
      </c>
      <c r="G32">
        <f t="shared" ca="1" si="44"/>
        <v>0.20189651799465538</v>
      </c>
      <c r="H32">
        <f t="shared" ca="1" si="45"/>
        <v>0.22313016014842982</v>
      </c>
      <c r="I32">
        <f t="shared" ca="1" si="46"/>
        <v>0.24659696394160643</v>
      </c>
      <c r="J32">
        <f t="shared" ca="1" si="47"/>
        <v>0.27253179303401259</v>
      </c>
      <c r="K32">
        <f t="shared" ca="1" si="48"/>
        <v>0.30119421191220203</v>
      </c>
      <c r="L32">
        <f t="shared" ca="1" si="49"/>
        <v>0.33287108369807955</v>
      </c>
      <c r="M32">
        <f t="shared" ca="1" si="50"/>
        <v>0.36787944117144233</v>
      </c>
      <c r="N32">
        <f t="shared" ca="1" si="2"/>
        <v>0.40656965974059911</v>
      </c>
      <c r="O32">
        <f t="shared" ca="1" si="3"/>
        <v>0.44932896411722156</v>
      </c>
      <c r="P32">
        <f t="shared" ca="1" si="4"/>
        <v>0.49658530379140947</v>
      </c>
      <c r="Q32">
        <f t="shared" ca="1" si="5"/>
        <v>0.54881163609402639</v>
      </c>
      <c r="R32">
        <f t="shared" ca="1" si="6"/>
        <v>0.60653065971263342</v>
      </c>
      <c r="S32">
        <f t="shared" ca="1" si="7"/>
        <v>0.67032004603563933</v>
      </c>
      <c r="T32">
        <f t="shared" ca="1" si="8"/>
        <v>0.74081822068171788</v>
      </c>
      <c r="U32">
        <f t="shared" ca="1" si="9"/>
        <v>0.81873075307798182</v>
      </c>
      <c r="V32">
        <f t="shared" ca="1" si="10"/>
        <v>0.90483741803595952</v>
      </c>
      <c r="W32">
        <f t="shared" ca="1" si="11"/>
        <v>1</v>
      </c>
      <c r="X32">
        <f t="shared" ca="1" si="12"/>
        <v>0.90483741803595952</v>
      </c>
      <c r="Y32">
        <f t="shared" ca="1" si="13"/>
        <v>0.81873075307798182</v>
      </c>
      <c r="Z32">
        <f t="shared" ca="1" si="14"/>
        <v>0.74081822068171788</v>
      </c>
      <c r="AA32">
        <f t="shared" ca="1" si="15"/>
        <v>0.67032004603563933</v>
      </c>
      <c r="AB32">
        <f t="shared" ca="1" si="16"/>
        <v>0.60653065971263342</v>
      </c>
      <c r="AC32">
        <f t="shared" ca="1" si="17"/>
        <v>0.54881163609402639</v>
      </c>
      <c r="AD32">
        <f t="shared" ca="1" si="18"/>
        <v>0.49658530379140947</v>
      </c>
      <c r="AE32">
        <f t="shared" ca="1" si="19"/>
        <v>0.44932896411722156</v>
      </c>
      <c r="AF32">
        <f t="shared" ca="1" si="20"/>
        <v>0.40656965974059911</v>
      </c>
      <c r="AG32">
        <f t="shared" ca="1" si="21"/>
        <v>0.36787944117144233</v>
      </c>
      <c r="AH32">
        <f t="shared" ca="1" si="22"/>
        <v>0.33287108369807955</v>
      </c>
      <c r="AI32">
        <f t="shared" ca="1" si="23"/>
        <v>0.30119421191220203</v>
      </c>
      <c r="AJ32">
        <f t="shared" ca="1" si="24"/>
        <v>0.27253179303401259</v>
      </c>
      <c r="AK32">
        <f t="shared" ca="1" si="25"/>
        <v>0.24659696394160643</v>
      </c>
      <c r="AL32">
        <f t="shared" ca="1" si="26"/>
        <v>0.22313016014842982</v>
      </c>
      <c r="AM32">
        <f t="shared" ca="1" si="27"/>
        <v>0.20189651799465538</v>
      </c>
      <c r="AN32">
        <f t="shared" ca="1" si="28"/>
        <v>0.18268352405273461</v>
      </c>
      <c r="AO32">
        <f t="shared" ca="1" si="29"/>
        <v>0.16529888822158653</v>
      </c>
      <c r="AP32">
        <f t="shared" ca="1" si="30"/>
        <v>0.14956861922263504</v>
      </c>
      <c r="AQ32">
        <f t="shared" ca="1" si="31"/>
        <v>0.1353352832366127</v>
      </c>
      <c r="AR32">
        <f t="shared" ca="1" si="32"/>
        <v>0.12245642825298191</v>
      </c>
      <c r="AS32">
        <f t="shared" ca="1" si="33"/>
        <v>0.11080315836233387</v>
      </c>
      <c r="AT32">
        <f t="shared" ca="1" si="34"/>
        <v>0.10025884372280371</v>
      </c>
      <c r="AU32">
        <f t="shared" ca="1" si="35"/>
        <v>9.071795328941247E-2</v>
      </c>
      <c r="AV32">
        <f t="shared" ca="1" si="36"/>
        <v>8.20849986238988E-2</v>
      </c>
      <c r="AW32">
        <f t="shared" ca="1" si="37"/>
        <v>7.4273578214333877E-2</v>
      </c>
      <c r="AX32">
        <f t="shared" ca="1" si="38"/>
        <v>6.7205512739749756E-2</v>
      </c>
      <c r="AY32">
        <f t="shared" ca="1" si="39"/>
        <v>6.0810062625217952E-2</v>
      </c>
      <c r="AZ32">
        <f t="shared" ca="1" si="40"/>
        <v>5.502322005640721E-2</v>
      </c>
    </row>
    <row r="33" spans="1:52" ht="15" thickBot="1" x14ac:dyDescent="0.4">
      <c r="A33">
        <v>0.2</v>
      </c>
      <c r="B33" s="9" t="s">
        <v>229</v>
      </c>
      <c r="C33">
        <f t="shared" ca="1" si="1"/>
        <v>0.12245642825298191</v>
      </c>
      <c r="D33">
        <f t="shared" ca="1" si="41"/>
        <v>0.1353352832366127</v>
      </c>
      <c r="E33">
        <f t="shared" ca="1" si="42"/>
        <v>0.14956861922263504</v>
      </c>
      <c r="F33">
        <f t="shared" ca="1" si="43"/>
        <v>0.16529888822158653</v>
      </c>
      <c r="G33">
        <f t="shared" ca="1" si="44"/>
        <v>0.18268352405273461</v>
      </c>
      <c r="H33">
        <f t="shared" ca="1" si="45"/>
        <v>0.20189651799465538</v>
      </c>
      <c r="I33">
        <f t="shared" ca="1" si="46"/>
        <v>0.22313016014842982</v>
      </c>
      <c r="J33">
        <f t="shared" ca="1" si="47"/>
        <v>0.24659696394160643</v>
      </c>
      <c r="K33">
        <f t="shared" ca="1" si="48"/>
        <v>0.27253179303401259</v>
      </c>
      <c r="L33">
        <f t="shared" ca="1" si="49"/>
        <v>0.30119421191220203</v>
      </c>
      <c r="M33">
        <f t="shared" ca="1" si="50"/>
        <v>0.33287108369807955</v>
      </c>
      <c r="N33">
        <f t="shared" ca="1" si="2"/>
        <v>0.36787944117144233</v>
      </c>
      <c r="O33">
        <f t="shared" ca="1" si="3"/>
        <v>0.40656965974059911</v>
      </c>
      <c r="P33">
        <f t="shared" ca="1" si="4"/>
        <v>0.44932896411722156</v>
      </c>
      <c r="Q33">
        <f t="shared" ca="1" si="5"/>
        <v>0.49658530379140947</v>
      </c>
      <c r="R33">
        <f t="shared" ca="1" si="6"/>
        <v>0.54881163609402639</v>
      </c>
      <c r="S33">
        <f t="shared" ca="1" si="7"/>
        <v>0.60653065971263342</v>
      </c>
      <c r="T33">
        <f t="shared" ca="1" si="8"/>
        <v>0.67032004603563933</v>
      </c>
      <c r="U33">
        <f t="shared" ca="1" si="9"/>
        <v>0.74081822068171788</v>
      </c>
      <c r="V33">
        <f t="shared" ca="1" si="10"/>
        <v>0.81873075307798182</v>
      </c>
      <c r="W33">
        <f t="shared" ca="1" si="11"/>
        <v>0.90483741803595952</v>
      </c>
      <c r="X33">
        <f t="shared" ca="1" si="12"/>
        <v>1</v>
      </c>
      <c r="Y33">
        <f t="shared" ca="1" si="13"/>
        <v>0.90483741803595952</v>
      </c>
      <c r="Z33">
        <f t="shared" ca="1" si="14"/>
        <v>0.81873075307798182</v>
      </c>
      <c r="AA33">
        <f t="shared" ca="1" si="15"/>
        <v>0.74081822068171788</v>
      </c>
      <c r="AB33">
        <f t="shared" ca="1" si="16"/>
        <v>0.67032004603563933</v>
      </c>
      <c r="AC33">
        <f t="shared" ca="1" si="17"/>
        <v>0.60653065971263342</v>
      </c>
      <c r="AD33">
        <f t="shared" ca="1" si="18"/>
        <v>0.54881163609402639</v>
      </c>
      <c r="AE33">
        <f t="shared" ca="1" si="19"/>
        <v>0.49658530379140947</v>
      </c>
      <c r="AF33">
        <f t="shared" ca="1" si="20"/>
        <v>0.44932896411722156</v>
      </c>
      <c r="AG33">
        <f t="shared" ca="1" si="21"/>
        <v>0.40656965974059911</v>
      </c>
      <c r="AH33">
        <f t="shared" ca="1" si="22"/>
        <v>0.36787944117144233</v>
      </c>
      <c r="AI33">
        <f t="shared" ca="1" si="23"/>
        <v>0.33287108369807955</v>
      </c>
      <c r="AJ33">
        <f t="shared" ca="1" si="24"/>
        <v>0.30119421191220203</v>
      </c>
      <c r="AK33">
        <f t="shared" ca="1" si="25"/>
        <v>0.27253179303401259</v>
      </c>
      <c r="AL33">
        <f t="shared" ca="1" si="26"/>
        <v>0.24659696394160643</v>
      </c>
      <c r="AM33">
        <f t="shared" ca="1" si="27"/>
        <v>0.22313016014842982</v>
      </c>
      <c r="AN33">
        <f t="shared" ca="1" si="28"/>
        <v>0.20189651799465538</v>
      </c>
      <c r="AO33">
        <f t="shared" ca="1" si="29"/>
        <v>0.18268352405273461</v>
      </c>
      <c r="AP33">
        <f t="shared" ca="1" si="30"/>
        <v>0.16529888822158653</v>
      </c>
      <c r="AQ33">
        <f t="shared" ca="1" si="31"/>
        <v>0.14956861922263504</v>
      </c>
      <c r="AR33">
        <f t="shared" ca="1" si="32"/>
        <v>0.1353352832366127</v>
      </c>
      <c r="AS33">
        <f t="shared" ca="1" si="33"/>
        <v>0.12245642825298191</v>
      </c>
      <c r="AT33">
        <f t="shared" ca="1" si="34"/>
        <v>0.11080315836233387</v>
      </c>
      <c r="AU33">
        <f t="shared" ca="1" si="35"/>
        <v>0.10025884372280371</v>
      </c>
      <c r="AV33">
        <f t="shared" ca="1" si="36"/>
        <v>9.071795328941247E-2</v>
      </c>
      <c r="AW33">
        <f t="shared" ca="1" si="37"/>
        <v>8.20849986238988E-2</v>
      </c>
      <c r="AX33">
        <f t="shared" ca="1" si="38"/>
        <v>7.4273578214333877E-2</v>
      </c>
      <c r="AY33">
        <f t="shared" ca="1" si="39"/>
        <v>6.7205512739749756E-2</v>
      </c>
      <c r="AZ33">
        <f t="shared" ca="1" si="40"/>
        <v>6.0810062625217952E-2</v>
      </c>
    </row>
    <row r="34" spans="1:52" ht="15" thickBot="1" x14ac:dyDescent="0.4">
      <c r="A34">
        <v>0.2</v>
      </c>
      <c r="B34" s="9" t="s">
        <v>230</v>
      </c>
      <c r="C34">
        <f t="shared" ca="1" si="1"/>
        <v>0.11080315836233387</v>
      </c>
      <c r="D34">
        <f t="shared" ca="1" si="41"/>
        <v>0.12245642825298191</v>
      </c>
      <c r="E34">
        <f t="shared" ca="1" si="42"/>
        <v>0.1353352832366127</v>
      </c>
      <c r="F34">
        <f t="shared" ca="1" si="43"/>
        <v>0.14956861922263504</v>
      </c>
      <c r="G34">
        <f t="shared" ca="1" si="44"/>
        <v>0.16529888822158653</v>
      </c>
      <c r="H34">
        <f t="shared" ca="1" si="45"/>
        <v>0.18268352405273461</v>
      </c>
      <c r="I34">
        <f t="shared" ca="1" si="46"/>
        <v>0.20189651799465538</v>
      </c>
      <c r="J34">
        <f t="shared" ca="1" si="47"/>
        <v>0.22313016014842982</v>
      </c>
      <c r="K34">
        <f t="shared" ca="1" si="48"/>
        <v>0.24659696394160643</v>
      </c>
      <c r="L34">
        <f t="shared" ca="1" si="49"/>
        <v>0.27253179303401259</v>
      </c>
      <c r="M34">
        <f t="shared" ca="1" si="50"/>
        <v>0.30119421191220203</v>
      </c>
      <c r="N34">
        <f t="shared" ca="1" si="2"/>
        <v>0.33287108369807955</v>
      </c>
      <c r="O34">
        <f t="shared" ca="1" si="3"/>
        <v>0.36787944117144233</v>
      </c>
      <c r="P34">
        <f t="shared" ca="1" si="4"/>
        <v>0.40656965974059911</v>
      </c>
      <c r="Q34">
        <f t="shared" ca="1" si="5"/>
        <v>0.44932896411722156</v>
      </c>
      <c r="R34">
        <f t="shared" ca="1" si="6"/>
        <v>0.49658530379140947</v>
      </c>
      <c r="S34">
        <f t="shared" ca="1" si="7"/>
        <v>0.54881163609402639</v>
      </c>
      <c r="T34">
        <f t="shared" ca="1" si="8"/>
        <v>0.60653065971263342</v>
      </c>
      <c r="U34">
        <f t="shared" ca="1" si="9"/>
        <v>0.67032004603563933</v>
      </c>
      <c r="V34">
        <f t="shared" ca="1" si="10"/>
        <v>0.74081822068171788</v>
      </c>
      <c r="W34">
        <f t="shared" ca="1" si="11"/>
        <v>0.81873075307798182</v>
      </c>
      <c r="X34">
        <f t="shared" ca="1" si="12"/>
        <v>0.90483741803595952</v>
      </c>
      <c r="Y34">
        <f t="shared" ca="1" si="13"/>
        <v>1</v>
      </c>
      <c r="Z34">
        <f t="shared" ca="1" si="14"/>
        <v>0.90483741803595952</v>
      </c>
      <c r="AA34">
        <f t="shared" ca="1" si="15"/>
        <v>0.81873075307798182</v>
      </c>
      <c r="AB34">
        <f t="shared" ca="1" si="16"/>
        <v>0.74081822068171788</v>
      </c>
      <c r="AC34">
        <f t="shared" ca="1" si="17"/>
        <v>0.67032004603563933</v>
      </c>
      <c r="AD34">
        <f t="shared" ca="1" si="18"/>
        <v>0.60653065971263342</v>
      </c>
      <c r="AE34">
        <f t="shared" ca="1" si="19"/>
        <v>0.54881163609402639</v>
      </c>
      <c r="AF34">
        <f t="shared" ca="1" si="20"/>
        <v>0.49658530379140947</v>
      </c>
      <c r="AG34">
        <f t="shared" ca="1" si="21"/>
        <v>0.44932896411722156</v>
      </c>
      <c r="AH34">
        <f t="shared" ca="1" si="22"/>
        <v>0.40656965974059911</v>
      </c>
      <c r="AI34">
        <f t="shared" ca="1" si="23"/>
        <v>0.36787944117144233</v>
      </c>
      <c r="AJ34">
        <f t="shared" ca="1" si="24"/>
        <v>0.33287108369807955</v>
      </c>
      <c r="AK34">
        <f t="shared" ca="1" si="25"/>
        <v>0.30119421191220203</v>
      </c>
      <c r="AL34">
        <f t="shared" ca="1" si="26"/>
        <v>0.27253179303401259</v>
      </c>
      <c r="AM34">
        <f t="shared" ca="1" si="27"/>
        <v>0.24659696394160643</v>
      </c>
      <c r="AN34">
        <f t="shared" ca="1" si="28"/>
        <v>0.22313016014842982</v>
      </c>
      <c r="AO34">
        <f t="shared" ca="1" si="29"/>
        <v>0.20189651799465538</v>
      </c>
      <c r="AP34">
        <f t="shared" ca="1" si="30"/>
        <v>0.18268352405273461</v>
      </c>
      <c r="AQ34">
        <f t="shared" ca="1" si="31"/>
        <v>0.16529888822158653</v>
      </c>
      <c r="AR34">
        <f t="shared" ca="1" si="32"/>
        <v>0.14956861922263504</v>
      </c>
      <c r="AS34">
        <f t="shared" ca="1" si="33"/>
        <v>0.1353352832366127</v>
      </c>
      <c r="AT34">
        <f t="shared" ca="1" si="34"/>
        <v>0.12245642825298191</v>
      </c>
      <c r="AU34">
        <f t="shared" ca="1" si="35"/>
        <v>0.11080315836233387</v>
      </c>
      <c r="AV34">
        <f t="shared" ca="1" si="36"/>
        <v>0.10025884372280371</v>
      </c>
      <c r="AW34">
        <f t="shared" ca="1" si="37"/>
        <v>9.071795328941247E-2</v>
      </c>
      <c r="AX34">
        <f t="shared" ca="1" si="38"/>
        <v>8.20849986238988E-2</v>
      </c>
      <c r="AY34">
        <f t="shared" ca="1" si="39"/>
        <v>7.4273578214333877E-2</v>
      </c>
      <c r="AZ34">
        <f t="shared" ca="1" si="40"/>
        <v>6.7205512739749756E-2</v>
      </c>
    </row>
    <row r="35" spans="1:52" ht="15" thickBot="1" x14ac:dyDescent="0.4">
      <c r="A35">
        <v>0.2</v>
      </c>
      <c r="B35" s="9" t="s">
        <v>231</v>
      </c>
      <c r="C35">
        <f t="shared" ca="1" si="1"/>
        <v>0.10025884372280371</v>
      </c>
      <c r="D35">
        <f t="shared" ca="1" si="41"/>
        <v>0.11080315836233387</v>
      </c>
      <c r="E35">
        <f t="shared" ca="1" si="42"/>
        <v>0.12245642825298191</v>
      </c>
      <c r="F35">
        <f t="shared" ca="1" si="43"/>
        <v>0.1353352832366127</v>
      </c>
      <c r="G35">
        <f t="shared" ca="1" si="44"/>
        <v>0.14956861922263504</v>
      </c>
      <c r="H35">
        <f t="shared" ca="1" si="45"/>
        <v>0.16529888822158653</v>
      </c>
      <c r="I35">
        <f t="shared" ca="1" si="46"/>
        <v>0.18268352405273461</v>
      </c>
      <c r="J35">
        <f t="shared" ca="1" si="47"/>
        <v>0.20189651799465538</v>
      </c>
      <c r="K35">
        <f t="shared" ca="1" si="48"/>
        <v>0.22313016014842982</v>
      </c>
      <c r="L35">
        <f t="shared" ca="1" si="49"/>
        <v>0.24659696394160643</v>
      </c>
      <c r="M35">
        <f t="shared" ca="1" si="50"/>
        <v>0.27253179303401259</v>
      </c>
      <c r="N35">
        <f t="shared" ca="1" si="2"/>
        <v>0.30119421191220203</v>
      </c>
      <c r="O35">
        <f t="shared" ca="1" si="3"/>
        <v>0.33287108369807955</v>
      </c>
      <c r="P35">
        <f t="shared" ca="1" si="4"/>
        <v>0.36787944117144233</v>
      </c>
      <c r="Q35">
        <f t="shared" ca="1" si="5"/>
        <v>0.40656965974059911</v>
      </c>
      <c r="R35">
        <f t="shared" ca="1" si="6"/>
        <v>0.44932896411722156</v>
      </c>
      <c r="S35">
        <f t="shared" ca="1" si="7"/>
        <v>0.49658530379140947</v>
      </c>
      <c r="T35">
        <f t="shared" ca="1" si="8"/>
        <v>0.54881163609402639</v>
      </c>
      <c r="U35">
        <f t="shared" ca="1" si="9"/>
        <v>0.60653065971263342</v>
      </c>
      <c r="V35">
        <f t="shared" ca="1" si="10"/>
        <v>0.67032004603563933</v>
      </c>
      <c r="W35">
        <f t="shared" ca="1" si="11"/>
        <v>0.74081822068171788</v>
      </c>
      <c r="X35">
        <f t="shared" ca="1" si="12"/>
        <v>0.81873075307798182</v>
      </c>
      <c r="Y35">
        <f t="shared" ca="1" si="13"/>
        <v>0.90483741803595952</v>
      </c>
      <c r="Z35">
        <f t="shared" ca="1" si="14"/>
        <v>1</v>
      </c>
      <c r="AA35">
        <f t="shared" ca="1" si="15"/>
        <v>0.90483741803595952</v>
      </c>
      <c r="AB35">
        <f t="shared" ca="1" si="16"/>
        <v>0.81873075307798182</v>
      </c>
      <c r="AC35">
        <f t="shared" ca="1" si="17"/>
        <v>0.74081822068171788</v>
      </c>
      <c r="AD35">
        <f t="shared" ca="1" si="18"/>
        <v>0.67032004603563933</v>
      </c>
      <c r="AE35">
        <f t="shared" ca="1" si="19"/>
        <v>0.60653065971263342</v>
      </c>
      <c r="AF35">
        <f t="shared" ca="1" si="20"/>
        <v>0.54881163609402639</v>
      </c>
      <c r="AG35">
        <f t="shared" ca="1" si="21"/>
        <v>0.49658530379140947</v>
      </c>
      <c r="AH35">
        <f t="shared" ca="1" si="22"/>
        <v>0.44932896411722156</v>
      </c>
      <c r="AI35">
        <f t="shared" ca="1" si="23"/>
        <v>0.40656965974059911</v>
      </c>
      <c r="AJ35">
        <f t="shared" ca="1" si="24"/>
        <v>0.36787944117144233</v>
      </c>
      <c r="AK35">
        <f t="shared" ca="1" si="25"/>
        <v>0.33287108369807955</v>
      </c>
      <c r="AL35">
        <f t="shared" ca="1" si="26"/>
        <v>0.30119421191220203</v>
      </c>
      <c r="AM35">
        <f t="shared" ca="1" si="27"/>
        <v>0.27253179303401259</v>
      </c>
      <c r="AN35">
        <f t="shared" ca="1" si="28"/>
        <v>0.24659696394160643</v>
      </c>
      <c r="AO35">
        <f t="shared" ca="1" si="29"/>
        <v>0.22313016014842982</v>
      </c>
      <c r="AP35">
        <f t="shared" ca="1" si="30"/>
        <v>0.20189651799465538</v>
      </c>
      <c r="AQ35">
        <f t="shared" ca="1" si="31"/>
        <v>0.18268352405273461</v>
      </c>
      <c r="AR35">
        <f t="shared" ca="1" si="32"/>
        <v>0.16529888822158653</v>
      </c>
      <c r="AS35">
        <f t="shared" ca="1" si="33"/>
        <v>0.14956861922263504</v>
      </c>
      <c r="AT35">
        <f t="shared" ca="1" si="34"/>
        <v>0.1353352832366127</v>
      </c>
      <c r="AU35">
        <f t="shared" ca="1" si="35"/>
        <v>0.12245642825298191</v>
      </c>
      <c r="AV35">
        <f t="shared" ca="1" si="36"/>
        <v>0.11080315836233387</v>
      </c>
      <c r="AW35">
        <f t="shared" ca="1" si="37"/>
        <v>0.10025884372280371</v>
      </c>
      <c r="AX35">
        <f t="shared" ca="1" si="38"/>
        <v>9.071795328941247E-2</v>
      </c>
      <c r="AY35">
        <f t="shared" ca="1" si="39"/>
        <v>8.20849986238988E-2</v>
      </c>
      <c r="AZ35">
        <f t="shared" ca="1" si="40"/>
        <v>7.4273578214333877E-2</v>
      </c>
    </row>
    <row r="36" spans="1:52" ht="15" thickBot="1" x14ac:dyDescent="0.4">
      <c r="A36">
        <v>0.2</v>
      </c>
      <c r="B36" s="9" t="s">
        <v>232</v>
      </c>
      <c r="C36">
        <f t="shared" ca="1" si="1"/>
        <v>9.071795328941247E-2</v>
      </c>
      <c r="D36">
        <f t="shared" ca="1" si="41"/>
        <v>0.10025884372280371</v>
      </c>
      <c r="E36">
        <f t="shared" ca="1" si="42"/>
        <v>0.11080315836233387</v>
      </c>
      <c r="F36">
        <f t="shared" ca="1" si="43"/>
        <v>0.12245642825298191</v>
      </c>
      <c r="G36">
        <f t="shared" ca="1" si="44"/>
        <v>0.1353352832366127</v>
      </c>
      <c r="H36">
        <f t="shared" ca="1" si="45"/>
        <v>0.14956861922263504</v>
      </c>
      <c r="I36">
        <f t="shared" ca="1" si="46"/>
        <v>0.16529888822158653</v>
      </c>
      <c r="J36">
        <f t="shared" ca="1" si="47"/>
        <v>0.18268352405273461</v>
      </c>
      <c r="K36">
        <f t="shared" ca="1" si="48"/>
        <v>0.20189651799465538</v>
      </c>
      <c r="L36">
        <f t="shared" ca="1" si="49"/>
        <v>0.22313016014842982</v>
      </c>
      <c r="M36">
        <f t="shared" ca="1" si="50"/>
        <v>0.24659696394160643</v>
      </c>
      <c r="N36">
        <f t="shared" ca="1" si="2"/>
        <v>0.27253179303401259</v>
      </c>
      <c r="O36">
        <f t="shared" ca="1" si="3"/>
        <v>0.30119421191220203</v>
      </c>
      <c r="P36">
        <f t="shared" ca="1" si="4"/>
        <v>0.33287108369807955</v>
      </c>
      <c r="Q36">
        <f t="shared" ca="1" si="5"/>
        <v>0.36787944117144233</v>
      </c>
      <c r="R36">
        <f t="shared" ca="1" si="6"/>
        <v>0.40656965974059911</v>
      </c>
      <c r="S36">
        <f t="shared" ca="1" si="7"/>
        <v>0.44932896411722156</v>
      </c>
      <c r="T36">
        <f t="shared" ca="1" si="8"/>
        <v>0.49658530379140947</v>
      </c>
      <c r="U36">
        <f t="shared" ca="1" si="9"/>
        <v>0.54881163609402639</v>
      </c>
      <c r="V36">
        <f t="shared" ca="1" si="10"/>
        <v>0.60653065971263342</v>
      </c>
      <c r="W36">
        <f t="shared" ca="1" si="11"/>
        <v>0.67032004603563933</v>
      </c>
      <c r="X36">
        <f t="shared" ca="1" si="12"/>
        <v>0.74081822068171788</v>
      </c>
      <c r="Y36">
        <f t="shared" ca="1" si="13"/>
        <v>0.81873075307798182</v>
      </c>
      <c r="Z36">
        <f t="shared" ca="1" si="14"/>
        <v>0.90483741803595952</v>
      </c>
      <c r="AA36">
        <f t="shared" ca="1" si="15"/>
        <v>1</v>
      </c>
      <c r="AB36">
        <f t="shared" ca="1" si="16"/>
        <v>0.90483741803595952</v>
      </c>
      <c r="AC36">
        <f t="shared" ca="1" si="17"/>
        <v>0.81873075307798182</v>
      </c>
      <c r="AD36">
        <f t="shared" ca="1" si="18"/>
        <v>0.74081822068171788</v>
      </c>
      <c r="AE36">
        <f t="shared" ca="1" si="19"/>
        <v>0.67032004603563933</v>
      </c>
      <c r="AF36">
        <f t="shared" ca="1" si="20"/>
        <v>0.60653065971263342</v>
      </c>
      <c r="AG36">
        <f t="shared" ca="1" si="21"/>
        <v>0.54881163609402639</v>
      </c>
      <c r="AH36">
        <f t="shared" ca="1" si="22"/>
        <v>0.49658530379140947</v>
      </c>
      <c r="AI36">
        <f t="shared" ca="1" si="23"/>
        <v>0.44932896411722156</v>
      </c>
      <c r="AJ36">
        <f t="shared" ca="1" si="24"/>
        <v>0.40656965974059911</v>
      </c>
      <c r="AK36">
        <f t="shared" ca="1" si="25"/>
        <v>0.36787944117144233</v>
      </c>
      <c r="AL36">
        <f t="shared" ca="1" si="26"/>
        <v>0.33287108369807955</v>
      </c>
      <c r="AM36">
        <f t="shared" ca="1" si="27"/>
        <v>0.30119421191220203</v>
      </c>
      <c r="AN36">
        <f t="shared" ca="1" si="28"/>
        <v>0.27253179303401259</v>
      </c>
      <c r="AO36">
        <f t="shared" ca="1" si="29"/>
        <v>0.24659696394160643</v>
      </c>
      <c r="AP36">
        <f t="shared" ca="1" si="30"/>
        <v>0.22313016014842982</v>
      </c>
      <c r="AQ36">
        <f t="shared" ca="1" si="31"/>
        <v>0.20189651799465538</v>
      </c>
      <c r="AR36">
        <f t="shared" ca="1" si="32"/>
        <v>0.18268352405273461</v>
      </c>
      <c r="AS36">
        <f t="shared" ca="1" si="33"/>
        <v>0.16529888822158653</v>
      </c>
      <c r="AT36">
        <f t="shared" ca="1" si="34"/>
        <v>0.14956861922263504</v>
      </c>
      <c r="AU36">
        <f t="shared" ca="1" si="35"/>
        <v>0.1353352832366127</v>
      </c>
      <c r="AV36">
        <f t="shared" ca="1" si="36"/>
        <v>0.12245642825298191</v>
      </c>
      <c r="AW36">
        <f t="shared" ca="1" si="37"/>
        <v>0.11080315836233387</v>
      </c>
      <c r="AX36">
        <f t="shared" ca="1" si="38"/>
        <v>0.10025884372280371</v>
      </c>
      <c r="AY36">
        <f t="shared" ca="1" si="39"/>
        <v>9.071795328941247E-2</v>
      </c>
      <c r="AZ36">
        <f t="shared" ca="1" si="40"/>
        <v>8.20849986238988E-2</v>
      </c>
    </row>
    <row r="37" spans="1:52" ht="15" thickBot="1" x14ac:dyDescent="0.4">
      <c r="A37">
        <v>0.2</v>
      </c>
      <c r="B37" s="9" t="s">
        <v>233</v>
      </c>
      <c r="C37">
        <f t="shared" ca="1" si="1"/>
        <v>8.20849986238988E-2</v>
      </c>
      <c r="D37">
        <f t="shared" ca="1" si="41"/>
        <v>9.071795328941247E-2</v>
      </c>
      <c r="E37">
        <f t="shared" ca="1" si="42"/>
        <v>0.10025884372280371</v>
      </c>
      <c r="F37">
        <f t="shared" ca="1" si="43"/>
        <v>0.11080315836233387</v>
      </c>
      <c r="G37">
        <f t="shared" ca="1" si="44"/>
        <v>0.12245642825298191</v>
      </c>
      <c r="H37">
        <f t="shared" ca="1" si="45"/>
        <v>0.1353352832366127</v>
      </c>
      <c r="I37">
        <f t="shared" ca="1" si="46"/>
        <v>0.14956861922263504</v>
      </c>
      <c r="J37">
        <f t="shared" ca="1" si="47"/>
        <v>0.16529888822158653</v>
      </c>
      <c r="K37">
        <f t="shared" ca="1" si="48"/>
        <v>0.18268352405273461</v>
      </c>
      <c r="L37">
        <f t="shared" ca="1" si="49"/>
        <v>0.20189651799465538</v>
      </c>
      <c r="M37">
        <f t="shared" ca="1" si="50"/>
        <v>0.22313016014842982</v>
      </c>
      <c r="N37">
        <f t="shared" ca="1" si="2"/>
        <v>0.24659696394160643</v>
      </c>
      <c r="O37">
        <f t="shared" ca="1" si="3"/>
        <v>0.27253179303401259</v>
      </c>
      <c r="P37">
        <f t="shared" ca="1" si="4"/>
        <v>0.30119421191220203</v>
      </c>
      <c r="Q37">
        <f t="shared" ca="1" si="5"/>
        <v>0.33287108369807955</v>
      </c>
      <c r="R37">
        <f t="shared" ca="1" si="6"/>
        <v>0.36787944117144233</v>
      </c>
      <c r="S37">
        <f t="shared" ca="1" si="7"/>
        <v>0.40656965974059911</v>
      </c>
      <c r="T37">
        <f t="shared" ca="1" si="8"/>
        <v>0.44932896411722156</v>
      </c>
      <c r="U37">
        <f t="shared" ca="1" si="9"/>
        <v>0.49658530379140947</v>
      </c>
      <c r="V37">
        <f t="shared" ca="1" si="10"/>
        <v>0.54881163609402639</v>
      </c>
      <c r="W37">
        <f t="shared" ca="1" si="11"/>
        <v>0.60653065971263342</v>
      </c>
      <c r="X37">
        <f t="shared" ca="1" si="12"/>
        <v>0.67032004603563933</v>
      </c>
      <c r="Y37">
        <f t="shared" ca="1" si="13"/>
        <v>0.74081822068171788</v>
      </c>
      <c r="Z37">
        <f t="shared" ca="1" si="14"/>
        <v>0.81873075307798182</v>
      </c>
      <c r="AA37">
        <f t="shared" ca="1" si="15"/>
        <v>0.90483741803595952</v>
      </c>
      <c r="AB37">
        <f t="shared" ca="1" si="16"/>
        <v>1</v>
      </c>
      <c r="AC37">
        <f t="shared" ca="1" si="17"/>
        <v>0.90483741803595952</v>
      </c>
      <c r="AD37">
        <f t="shared" ca="1" si="18"/>
        <v>0.81873075307798182</v>
      </c>
      <c r="AE37">
        <f t="shared" ca="1" si="19"/>
        <v>0.74081822068171788</v>
      </c>
      <c r="AF37">
        <f t="shared" ca="1" si="20"/>
        <v>0.67032004603563933</v>
      </c>
      <c r="AG37">
        <f t="shared" ca="1" si="21"/>
        <v>0.60653065971263342</v>
      </c>
      <c r="AH37">
        <f t="shared" ca="1" si="22"/>
        <v>0.54881163609402639</v>
      </c>
      <c r="AI37">
        <f t="shared" ca="1" si="23"/>
        <v>0.49658530379140947</v>
      </c>
      <c r="AJ37">
        <f t="shared" ca="1" si="24"/>
        <v>0.44932896411722156</v>
      </c>
      <c r="AK37">
        <f t="shared" ca="1" si="25"/>
        <v>0.40656965974059911</v>
      </c>
      <c r="AL37">
        <f t="shared" ca="1" si="26"/>
        <v>0.36787944117144233</v>
      </c>
      <c r="AM37">
        <f t="shared" ca="1" si="27"/>
        <v>0.33287108369807955</v>
      </c>
      <c r="AN37">
        <f t="shared" ca="1" si="28"/>
        <v>0.30119421191220203</v>
      </c>
      <c r="AO37">
        <f t="shared" ca="1" si="29"/>
        <v>0.27253179303401259</v>
      </c>
      <c r="AP37">
        <f t="shared" ca="1" si="30"/>
        <v>0.24659696394160643</v>
      </c>
      <c r="AQ37">
        <f t="shared" ca="1" si="31"/>
        <v>0.22313016014842982</v>
      </c>
      <c r="AR37">
        <f t="shared" ca="1" si="32"/>
        <v>0.20189651799465538</v>
      </c>
      <c r="AS37">
        <f t="shared" ca="1" si="33"/>
        <v>0.18268352405273461</v>
      </c>
      <c r="AT37">
        <f t="shared" ca="1" si="34"/>
        <v>0.16529888822158653</v>
      </c>
      <c r="AU37">
        <f t="shared" ca="1" si="35"/>
        <v>0.14956861922263504</v>
      </c>
      <c r="AV37">
        <f t="shared" ca="1" si="36"/>
        <v>0.1353352832366127</v>
      </c>
      <c r="AW37">
        <f t="shared" ca="1" si="37"/>
        <v>0.12245642825298191</v>
      </c>
      <c r="AX37">
        <f t="shared" ca="1" si="38"/>
        <v>0.11080315836233387</v>
      </c>
      <c r="AY37">
        <f t="shared" ca="1" si="39"/>
        <v>0.10025884372280371</v>
      </c>
      <c r="AZ37">
        <f t="shared" ca="1" si="40"/>
        <v>9.071795328941247E-2</v>
      </c>
    </row>
    <row r="38" spans="1:52" ht="15" thickBot="1" x14ac:dyDescent="0.4">
      <c r="A38">
        <v>0.2</v>
      </c>
      <c r="B38" s="9" t="s">
        <v>234</v>
      </c>
      <c r="C38">
        <f t="shared" ca="1" si="1"/>
        <v>7.4273578214333877E-2</v>
      </c>
      <c r="D38">
        <f t="shared" ca="1" si="41"/>
        <v>8.20849986238988E-2</v>
      </c>
      <c r="E38">
        <f t="shared" ca="1" si="42"/>
        <v>9.071795328941247E-2</v>
      </c>
      <c r="F38">
        <f t="shared" ca="1" si="43"/>
        <v>0.10025884372280371</v>
      </c>
      <c r="G38">
        <f t="shared" ca="1" si="44"/>
        <v>0.11080315836233387</v>
      </c>
      <c r="H38">
        <f t="shared" ca="1" si="45"/>
        <v>0.12245642825298191</v>
      </c>
      <c r="I38">
        <f t="shared" ca="1" si="46"/>
        <v>0.1353352832366127</v>
      </c>
      <c r="J38">
        <f t="shared" ca="1" si="47"/>
        <v>0.14956861922263504</v>
      </c>
      <c r="K38">
        <f t="shared" ca="1" si="48"/>
        <v>0.16529888822158653</v>
      </c>
      <c r="L38">
        <f t="shared" ca="1" si="49"/>
        <v>0.18268352405273461</v>
      </c>
      <c r="M38">
        <f t="shared" ca="1" si="50"/>
        <v>0.20189651799465538</v>
      </c>
      <c r="N38">
        <f t="shared" ca="1" si="2"/>
        <v>0.22313016014842982</v>
      </c>
      <c r="O38">
        <f t="shared" ca="1" si="3"/>
        <v>0.24659696394160643</v>
      </c>
      <c r="P38">
        <f t="shared" ca="1" si="4"/>
        <v>0.27253179303401259</v>
      </c>
      <c r="Q38">
        <f t="shared" ca="1" si="5"/>
        <v>0.30119421191220203</v>
      </c>
      <c r="R38">
        <f t="shared" ca="1" si="6"/>
        <v>0.33287108369807955</v>
      </c>
      <c r="S38">
        <f t="shared" ca="1" si="7"/>
        <v>0.36787944117144233</v>
      </c>
      <c r="T38">
        <f t="shared" ca="1" si="8"/>
        <v>0.40656965974059911</v>
      </c>
      <c r="U38">
        <f t="shared" ca="1" si="9"/>
        <v>0.44932896411722156</v>
      </c>
      <c r="V38">
        <f t="shared" ca="1" si="10"/>
        <v>0.49658530379140947</v>
      </c>
      <c r="W38">
        <f t="shared" ca="1" si="11"/>
        <v>0.54881163609402639</v>
      </c>
      <c r="X38">
        <f t="shared" ca="1" si="12"/>
        <v>0.60653065971263342</v>
      </c>
      <c r="Y38">
        <f t="shared" ca="1" si="13"/>
        <v>0.67032004603563933</v>
      </c>
      <c r="Z38">
        <f t="shared" ca="1" si="14"/>
        <v>0.74081822068171788</v>
      </c>
      <c r="AA38">
        <f t="shared" ca="1" si="15"/>
        <v>0.81873075307798182</v>
      </c>
      <c r="AB38">
        <f t="shared" ca="1" si="16"/>
        <v>0.90483741803595952</v>
      </c>
      <c r="AC38">
        <f t="shared" ca="1" si="17"/>
        <v>1</v>
      </c>
      <c r="AD38">
        <f t="shared" ca="1" si="18"/>
        <v>0.90483741803595952</v>
      </c>
      <c r="AE38">
        <f t="shared" ca="1" si="19"/>
        <v>0.81873075307798182</v>
      </c>
      <c r="AF38">
        <f t="shared" ca="1" si="20"/>
        <v>0.74081822068171788</v>
      </c>
      <c r="AG38">
        <f t="shared" ca="1" si="21"/>
        <v>0.67032004603563933</v>
      </c>
      <c r="AH38">
        <f t="shared" ca="1" si="22"/>
        <v>0.60653065971263342</v>
      </c>
      <c r="AI38">
        <f t="shared" ca="1" si="23"/>
        <v>0.54881163609402639</v>
      </c>
      <c r="AJ38">
        <f t="shared" ca="1" si="24"/>
        <v>0.49658530379140947</v>
      </c>
      <c r="AK38">
        <f t="shared" ca="1" si="25"/>
        <v>0.44932896411722156</v>
      </c>
      <c r="AL38">
        <f t="shared" ca="1" si="26"/>
        <v>0.40656965974059911</v>
      </c>
      <c r="AM38">
        <f t="shared" ca="1" si="27"/>
        <v>0.36787944117144233</v>
      </c>
      <c r="AN38">
        <f t="shared" ca="1" si="28"/>
        <v>0.33287108369807955</v>
      </c>
      <c r="AO38">
        <f t="shared" ca="1" si="29"/>
        <v>0.30119421191220203</v>
      </c>
      <c r="AP38">
        <f t="shared" ca="1" si="30"/>
        <v>0.27253179303401259</v>
      </c>
      <c r="AQ38">
        <f t="shared" ca="1" si="31"/>
        <v>0.24659696394160643</v>
      </c>
      <c r="AR38">
        <f t="shared" ca="1" si="32"/>
        <v>0.22313016014842982</v>
      </c>
      <c r="AS38">
        <f t="shared" ca="1" si="33"/>
        <v>0.20189651799465538</v>
      </c>
      <c r="AT38">
        <f t="shared" ca="1" si="34"/>
        <v>0.18268352405273461</v>
      </c>
      <c r="AU38">
        <f t="shared" ca="1" si="35"/>
        <v>0.16529888822158653</v>
      </c>
      <c r="AV38">
        <f t="shared" ca="1" si="36"/>
        <v>0.14956861922263504</v>
      </c>
      <c r="AW38">
        <f t="shared" ca="1" si="37"/>
        <v>0.1353352832366127</v>
      </c>
      <c r="AX38">
        <f t="shared" ca="1" si="38"/>
        <v>0.12245642825298191</v>
      </c>
      <c r="AY38">
        <f t="shared" ca="1" si="39"/>
        <v>0.11080315836233387</v>
      </c>
      <c r="AZ38">
        <f t="shared" ca="1" si="40"/>
        <v>0.10025884372280371</v>
      </c>
    </row>
    <row r="39" spans="1:52" ht="15" thickBot="1" x14ac:dyDescent="0.4">
      <c r="A39">
        <v>0.2</v>
      </c>
      <c r="B39" s="9" t="s">
        <v>235</v>
      </c>
      <c r="C39">
        <f t="shared" ca="1" si="1"/>
        <v>6.7205512739749756E-2</v>
      </c>
      <c r="D39">
        <f t="shared" ca="1" si="41"/>
        <v>7.4273578214333877E-2</v>
      </c>
      <c r="E39">
        <f t="shared" ca="1" si="42"/>
        <v>8.20849986238988E-2</v>
      </c>
      <c r="F39">
        <f t="shared" ca="1" si="43"/>
        <v>9.071795328941247E-2</v>
      </c>
      <c r="G39">
        <f t="shared" ca="1" si="44"/>
        <v>0.10025884372280371</v>
      </c>
      <c r="H39">
        <f t="shared" ca="1" si="45"/>
        <v>0.11080315836233387</v>
      </c>
      <c r="I39">
        <f t="shared" ca="1" si="46"/>
        <v>0.12245642825298191</v>
      </c>
      <c r="J39">
        <f t="shared" ca="1" si="47"/>
        <v>0.1353352832366127</v>
      </c>
      <c r="K39">
        <f t="shared" ca="1" si="48"/>
        <v>0.14956861922263504</v>
      </c>
      <c r="L39">
        <f t="shared" ca="1" si="49"/>
        <v>0.16529888822158653</v>
      </c>
      <c r="M39">
        <f t="shared" ca="1" si="50"/>
        <v>0.18268352405273461</v>
      </c>
      <c r="N39">
        <f t="shared" ca="1" si="2"/>
        <v>0.20189651799465538</v>
      </c>
      <c r="O39">
        <f t="shared" ca="1" si="3"/>
        <v>0.22313016014842982</v>
      </c>
      <c r="P39">
        <f t="shared" ca="1" si="4"/>
        <v>0.24659696394160643</v>
      </c>
      <c r="Q39">
        <f t="shared" ca="1" si="5"/>
        <v>0.27253179303401259</v>
      </c>
      <c r="R39">
        <f t="shared" ca="1" si="6"/>
        <v>0.30119421191220203</v>
      </c>
      <c r="S39">
        <f t="shared" ca="1" si="7"/>
        <v>0.33287108369807955</v>
      </c>
      <c r="T39">
        <f t="shared" ca="1" si="8"/>
        <v>0.36787944117144233</v>
      </c>
      <c r="U39">
        <f t="shared" ca="1" si="9"/>
        <v>0.40656965974059911</v>
      </c>
      <c r="V39">
        <f t="shared" ca="1" si="10"/>
        <v>0.44932896411722156</v>
      </c>
      <c r="W39">
        <f t="shared" ca="1" si="11"/>
        <v>0.49658530379140947</v>
      </c>
      <c r="X39">
        <f t="shared" ca="1" si="12"/>
        <v>0.54881163609402639</v>
      </c>
      <c r="Y39">
        <f t="shared" ca="1" si="13"/>
        <v>0.60653065971263342</v>
      </c>
      <c r="Z39">
        <f t="shared" ca="1" si="14"/>
        <v>0.67032004603563933</v>
      </c>
      <c r="AA39">
        <f t="shared" ca="1" si="15"/>
        <v>0.74081822068171788</v>
      </c>
      <c r="AB39">
        <f t="shared" ca="1" si="16"/>
        <v>0.81873075307798182</v>
      </c>
      <c r="AC39">
        <f t="shared" ca="1" si="17"/>
        <v>0.90483741803595952</v>
      </c>
      <c r="AD39">
        <f t="shared" ca="1" si="18"/>
        <v>1</v>
      </c>
      <c r="AE39">
        <f t="shared" ca="1" si="19"/>
        <v>0.90483741803595952</v>
      </c>
      <c r="AF39">
        <f t="shared" ca="1" si="20"/>
        <v>0.81873075307798182</v>
      </c>
      <c r="AG39">
        <f t="shared" ca="1" si="21"/>
        <v>0.74081822068171788</v>
      </c>
      <c r="AH39">
        <f t="shared" ca="1" si="22"/>
        <v>0.67032004603563933</v>
      </c>
      <c r="AI39">
        <f t="shared" ca="1" si="23"/>
        <v>0.60653065971263342</v>
      </c>
      <c r="AJ39">
        <f t="shared" ca="1" si="24"/>
        <v>0.54881163609402639</v>
      </c>
      <c r="AK39">
        <f t="shared" ca="1" si="25"/>
        <v>0.49658530379140947</v>
      </c>
      <c r="AL39">
        <f t="shared" ca="1" si="26"/>
        <v>0.44932896411722156</v>
      </c>
      <c r="AM39">
        <f t="shared" ca="1" si="27"/>
        <v>0.40656965974059911</v>
      </c>
      <c r="AN39">
        <f t="shared" ca="1" si="28"/>
        <v>0.36787944117144233</v>
      </c>
      <c r="AO39">
        <f t="shared" ca="1" si="29"/>
        <v>0.33287108369807955</v>
      </c>
      <c r="AP39">
        <f t="shared" ca="1" si="30"/>
        <v>0.30119421191220203</v>
      </c>
      <c r="AQ39">
        <f t="shared" ca="1" si="31"/>
        <v>0.27253179303401259</v>
      </c>
      <c r="AR39">
        <f t="shared" ca="1" si="32"/>
        <v>0.24659696394160643</v>
      </c>
      <c r="AS39">
        <f t="shared" ca="1" si="33"/>
        <v>0.22313016014842982</v>
      </c>
      <c r="AT39">
        <f t="shared" ca="1" si="34"/>
        <v>0.20189651799465538</v>
      </c>
      <c r="AU39">
        <f t="shared" ca="1" si="35"/>
        <v>0.18268352405273461</v>
      </c>
      <c r="AV39">
        <f t="shared" ca="1" si="36"/>
        <v>0.16529888822158653</v>
      </c>
      <c r="AW39">
        <f t="shared" ca="1" si="37"/>
        <v>0.14956861922263504</v>
      </c>
      <c r="AX39">
        <f t="shared" ca="1" si="38"/>
        <v>0.1353352832366127</v>
      </c>
      <c r="AY39">
        <f t="shared" ca="1" si="39"/>
        <v>0.12245642825298191</v>
      </c>
      <c r="AZ39">
        <f t="shared" ca="1" si="40"/>
        <v>0.11080315836233387</v>
      </c>
    </row>
    <row r="40" spans="1:52" ht="15" thickBot="1" x14ac:dyDescent="0.4">
      <c r="A40">
        <v>0.2</v>
      </c>
      <c r="B40" s="9" t="s">
        <v>236</v>
      </c>
      <c r="C40">
        <f t="shared" ca="1" si="1"/>
        <v>6.0810062625217952E-2</v>
      </c>
      <c r="D40">
        <f t="shared" ca="1" si="41"/>
        <v>6.7205512739749756E-2</v>
      </c>
      <c r="E40">
        <f t="shared" ca="1" si="42"/>
        <v>7.4273578214333877E-2</v>
      </c>
      <c r="F40">
        <f t="shared" ca="1" si="43"/>
        <v>8.20849986238988E-2</v>
      </c>
      <c r="G40">
        <f t="shared" ca="1" si="44"/>
        <v>9.071795328941247E-2</v>
      </c>
      <c r="H40">
        <f t="shared" ca="1" si="45"/>
        <v>0.10025884372280371</v>
      </c>
      <c r="I40">
        <f t="shared" ca="1" si="46"/>
        <v>0.11080315836233387</v>
      </c>
      <c r="J40">
        <f t="shared" ca="1" si="47"/>
        <v>0.12245642825298191</v>
      </c>
      <c r="K40">
        <f t="shared" ca="1" si="48"/>
        <v>0.1353352832366127</v>
      </c>
      <c r="L40">
        <f t="shared" ca="1" si="49"/>
        <v>0.14956861922263504</v>
      </c>
      <c r="M40">
        <f t="shared" ca="1" si="50"/>
        <v>0.16529888822158653</v>
      </c>
      <c r="N40">
        <f t="shared" ca="1" si="2"/>
        <v>0.18268352405273461</v>
      </c>
      <c r="O40">
        <f t="shared" ca="1" si="3"/>
        <v>0.20189651799465538</v>
      </c>
      <c r="P40">
        <f t="shared" ca="1" si="4"/>
        <v>0.22313016014842982</v>
      </c>
      <c r="Q40">
        <f t="shared" ca="1" si="5"/>
        <v>0.24659696394160643</v>
      </c>
      <c r="R40">
        <f t="shared" ca="1" si="6"/>
        <v>0.27253179303401259</v>
      </c>
      <c r="S40">
        <f t="shared" ca="1" si="7"/>
        <v>0.30119421191220203</v>
      </c>
      <c r="T40">
        <f t="shared" ca="1" si="8"/>
        <v>0.33287108369807955</v>
      </c>
      <c r="U40">
        <f t="shared" ca="1" si="9"/>
        <v>0.36787944117144233</v>
      </c>
      <c r="V40">
        <f t="shared" ca="1" si="10"/>
        <v>0.40656965974059911</v>
      </c>
      <c r="W40">
        <f t="shared" ca="1" si="11"/>
        <v>0.44932896411722156</v>
      </c>
      <c r="X40">
        <f t="shared" ca="1" si="12"/>
        <v>0.49658530379140947</v>
      </c>
      <c r="Y40">
        <f t="shared" ca="1" si="13"/>
        <v>0.54881163609402639</v>
      </c>
      <c r="Z40">
        <f t="shared" ca="1" si="14"/>
        <v>0.60653065971263342</v>
      </c>
      <c r="AA40">
        <f t="shared" ca="1" si="15"/>
        <v>0.67032004603563933</v>
      </c>
      <c r="AB40">
        <f t="shared" ca="1" si="16"/>
        <v>0.74081822068171788</v>
      </c>
      <c r="AC40">
        <f t="shared" ca="1" si="17"/>
        <v>0.81873075307798182</v>
      </c>
      <c r="AD40">
        <f t="shared" ca="1" si="18"/>
        <v>0.90483741803595952</v>
      </c>
      <c r="AE40">
        <f t="shared" ca="1" si="19"/>
        <v>1</v>
      </c>
      <c r="AF40">
        <f t="shared" ca="1" si="20"/>
        <v>0.90483741803595952</v>
      </c>
      <c r="AG40">
        <f t="shared" ca="1" si="21"/>
        <v>0.81873075307798182</v>
      </c>
      <c r="AH40">
        <f t="shared" ca="1" si="22"/>
        <v>0.74081822068171788</v>
      </c>
      <c r="AI40">
        <f t="shared" ca="1" si="23"/>
        <v>0.67032004603563933</v>
      </c>
      <c r="AJ40">
        <f t="shared" ca="1" si="24"/>
        <v>0.60653065971263342</v>
      </c>
      <c r="AK40">
        <f t="shared" ca="1" si="25"/>
        <v>0.54881163609402639</v>
      </c>
      <c r="AL40">
        <f t="shared" ca="1" si="26"/>
        <v>0.49658530379140947</v>
      </c>
      <c r="AM40">
        <f t="shared" ca="1" si="27"/>
        <v>0.44932896411722156</v>
      </c>
      <c r="AN40">
        <f t="shared" ca="1" si="28"/>
        <v>0.40656965974059911</v>
      </c>
      <c r="AO40">
        <f t="shared" ca="1" si="29"/>
        <v>0.36787944117144233</v>
      </c>
      <c r="AP40">
        <f t="shared" ca="1" si="30"/>
        <v>0.33287108369807955</v>
      </c>
      <c r="AQ40">
        <f t="shared" ca="1" si="31"/>
        <v>0.30119421191220203</v>
      </c>
      <c r="AR40">
        <f t="shared" ca="1" si="32"/>
        <v>0.27253179303401259</v>
      </c>
      <c r="AS40">
        <f t="shared" ca="1" si="33"/>
        <v>0.24659696394160643</v>
      </c>
      <c r="AT40">
        <f t="shared" ca="1" si="34"/>
        <v>0.22313016014842982</v>
      </c>
      <c r="AU40">
        <f t="shared" ca="1" si="35"/>
        <v>0.20189651799465538</v>
      </c>
      <c r="AV40">
        <f t="shared" ca="1" si="36"/>
        <v>0.18268352405273461</v>
      </c>
      <c r="AW40">
        <f t="shared" ca="1" si="37"/>
        <v>0.16529888822158653</v>
      </c>
      <c r="AX40">
        <f t="shared" ca="1" si="38"/>
        <v>0.14956861922263504</v>
      </c>
      <c r="AY40">
        <f t="shared" ca="1" si="39"/>
        <v>0.1353352832366127</v>
      </c>
      <c r="AZ40">
        <f t="shared" ca="1" si="40"/>
        <v>0.12245642825298191</v>
      </c>
    </row>
    <row r="41" spans="1:52" ht="15" thickBot="1" x14ac:dyDescent="0.4">
      <c r="A41">
        <v>0.2</v>
      </c>
      <c r="B41" s="9" t="s">
        <v>237</v>
      </c>
      <c r="C41">
        <f t="shared" ca="1" si="1"/>
        <v>5.502322005640721E-2</v>
      </c>
      <c r="D41">
        <f t="shared" ca="1" si="41"/>
        <v>6.0810062625217952E-2</v>
      </c>
      <c r="E41">
        <f t="shared" ca="1" si="42"/>
        <v>6.7205512739749756E-2</v>
      </c>
      <c r="F41">
        <f t="shared" ca="1" si="43"/>
        <v>7.4273578214333877E-2</v>
      </c>
      <c r="G41">
        <f t="shared" ca="1" si="44"/>
        <v>8.20849986238988E-2</v>
      </c>
      <c r="H41">
        <f t="shared" ca="1" si="45"/>
        <v>9.071795328941247E-2</v>
      </c>
      <c r="I41">
        <f t="shared" ca="1" si="46"/>
        <v>0.10025884372280371</v>
      </c>
      <c r="J41">
        <f t="shared" ca="1" si="47"/>
        <v>0.11080315836233387</v>
      </c>
      <c r="K41">
        <f t="shared" ca="1" si="48"/>
        <v>0.12245642825298191</v>
      </c>
      <c r="L41">
        <f t="shared" ca="1" si="49"/>
        <v>0.1353352832366127</v>
      </c>
      <c r="M41">
        <f t="shared" ca="1" si="50"/>
        <v>0.14956861922263504</v>
      </c>
      <c r="N41">
        <f t="shared" ca="1" si="2"/>
        <v>0.16529888822158653</v>
      </c>
      <c r="O41">
        <f t="shared" ca="1" si="3"/>
        <v>0.18268352405273461</v>
      </c>
      <c r="P41">
        <f t="shared" ca="1" si="4"/>
        <v>0.20189651799465538</v>
      </c>
      <c r="Q41">
        <f t="shared" ca="1" si="5"/>
        <v>0.22313016014842982</v>
      </c>
      <c r="R41">
        <f t="shared" ca="1" si="6"/>
        <v>0.24659696394160643</v>
      </c>
      <c r="S41">
        <f t="shared" ca="1" si="7"/>
        <v>0.27253179303401259</v>
      </c>
      <c r="T41">
        <f t="shared" ca="1" si="8"/>
        <v>0.30119421191220203</v>
      </c>
      <c r="U41">
        <f t="shared" ca="1" si="9"/>
        <v>0.33287108369807955</v>
      </c>
      <c r="V41">
        <f t="shared" ca="1" si="10"/>
        <v>0.36787944117144233</v>
      </c>
      <c r="W41">
        <f t="shared" ca="1" si="11"/>
        <v>0.40656965974059911</v>
      </c>
      <c r="X41">
        <f t="shared" ca="1" si="12"/>
        <v>0.44932896411722156</v>
      </c>
      <c r="Y41">
        <f t="shared" ca="1" si="13"/>
        <v>0.49658530379140947</v>
      </c>
      <c r="Z41">
        <f t="shared" ca="1" si="14"/>
        <v>0.54881163609402639</v>
      </c>
      <c r="AA41">
        <f t="shared" ca="1" si="15"/>
        <v>0.60653065971263342</v>
      </c>
      <c r="AB41">
        <f t="shared" ca="1" si="16"/>
        <v>0.67032004603563933</v>
      </c>
      <c r="AC41">
        <f t="shared" ca="1" si="17"/>
        <v>0.74081822068171788</v>
      </c>
      <c r="AD41">
        <f t="shared" ca="1" si="18"/>
        <v>0.81873075307798182</v>
      </c>
      <c r="AE41">
        <f t="shared" ca="1" si="19"/>
        <v>0.90483741803595952</v>
      </c>
      <c r="AF41">
        <f t="shared" ca="1" si="20"/>
        <v>1</v>
      </c>
      <c r="AG41">
        <f t="shared" ca="1" si="21"/>
        <v>0.90483741803595952</v>
      </c>
      <c r="AH41">
        <f t="shared" ca="1" si="22"/>
        <v>0.81873075307798182</v>
      </c>
      <c r="AI41">
        <f t="shared" ca="1" si="23"/>
        <v>0.74081822068171788</v>
      </c>
      <c r="AJ41">
        <f t="shared" ca="1" si="24"/>
        <v>0.67032004603563933</v>
      </c>
      <c r="AK41">
        <f t="shared" ca="1" si="25"/>
        <v>0.60653065971263342</v>
      </c>
      <c r="AL41">
        <f t="shared" ca="1" si="26"/>
        <v>0.54881163609402639</v>
      </c>
      <c r="AM41">
        <f t="shared" ca="1" si="27"/>
        <v>0.49658530379140947</v>
      </c>
      <c r="AN41">
        <f t="shared" ca="1" si="28"/>
        <v>0.44932896411722156</v>
      </c>
      <c r="AO41">
        <f t="shared" ca="1" si="29"/>
        <v>0.40656965974059911</v>
      </c>
      <c r="AP41">
        <f t="shared" ca="1" si="30"/>
        <v>0.36787944117144233</v>
      </c>
      <c r="AQ41">
        <f t="shared" ca="1" si="31"/>
        <v>0.33287108369807955</v>
      </c>
      <c r="AR41">
        <f t="shared" ca="1" si="32"/>
        <v>0.30119421191220203</v>
      </c>
      <c r="AS41">
        <f t="shared" ca="1" si="33"/>
        <v>0.27253179303401259</v>
      </c>
      <c r="AT41">
        <f t="shared" ca="1" si="34"/>
        <v>0.24659696394160643</v>
      </c>
      <c r="AU41">
        <f t="shared" ca="1" si="35"/>
        <v>0.22313016014842982</v>
      </c>
      <c r="AV41">
        <f t="shared" ca="1" si="36"/>
        <v>0.20189651799465538</v>
      </c>
      <c r="AW41">
        <f t="shared" ca="1" si="37"/>
        <v>0.18268352405273461</v>
      </c>
      <c r="AX41">
        <f t="shared" ca="1" si="38"/>
        <v>0.16529888822158653</v>
      </c>
      <c r="AY41">
        <f t="shared" ca="1" si="39"/>
        <v>0.14956861922263504</v>
      </c>
      <c r="AZ41">
        <f t="shared" ca="1" si="40"/>
        <v>0.1353352832366127</v>
      </c>
    </row>
    <row r="42" spans="1:52" ht="15" thickBot="1" x14ac:dyDescent="0.4">
      <c r="A42">
        <v>0.2</v>
      </c>
      <c r="B42" s="9" t="s">
        <v>238</v>
      </c>
      <c r="C42">
        <f t="shared" ca="1" si="1"/>
        <v>4.9787068367863944E-2</v>
      </c>
      <c r="D42">
        <f t="shared" ca="1" si="41"/>
        <v>5.502322005640721E-2</v>
      </c>
      <c r="E42">
        <f t="shared" ca="1" si="42"/>
        <v>6.0810062625217952E-2</v>
      </c>
      <c r="F42">
        <f t="shared" ca="1" si="43"/>
        <v>6.7205512739749756E-2</v>
      </c>
      <c r="G42">
        <f t="shared" ca="1" si="44"/>
        <v>7.4273578214333877E-2</v>
      </c>
      <c r="H42">
        <f t="shared" ca="1" si="45"/>
        <v>8.20849986238988E-2</v>
      </c>
      <c r="I42">
        <f t="shared" ca="1" si="46"/>
        <v>9.071795328941247E-2</v>
      </c>
      <c r="J42">
        <f t="shared" ca="1" si="47"/>
        <v>0.10025884372280371</v>
      </c>
      <c r="K42">
        <f t="shared" ca="1" si="48"/>
        <v>0.11080315836233387</v>
      </c>
      <c r="L42">
        <f t="shared" ca="1" si="49"/>
        <v>0.12245642825298191</v>
      </c>
      <c r="M42">
        <f t="shared" ca="1" si="50"/>
        <v>0.1353352832366127</v>
      </c>
      <c r="N42">
        <f t="shared" ca="1" si="2"/>
        <v>0.14956861922263504</v>
      </c>
      <c r="O42">
        <f t="shared" ca="1" si="3"/>
        <v>0.16529888822158653</v>
      </c>
      <c r="P42">
        <f t="shared" ca="1" si="4"/>
        <v>0.18268352405273461</v>
      </c>
      <c r="Q42">
        <f t="shared" ca="1" si="5"/>
        <v>0.20189651799465538</v>
      </c>
      <c r="R42">
        <f t="shared" ca="1" si="6"/>
        <v>0.22313016014842982</v>
      </c>
      <c r="S42">
        <f t="shared" ca="1" si="7"/>
        <v>0.24659696394160643</v>
      </c>
      <c r="T42">
        <f t="shared" ca="1" si="8"/>
        <v>0.27253179303401259</v>
      </c>
      <c r="U42">
        <f t="shared" ca="1" si="9"/>
        <v>0.30119421191220203</v>
      </c>
      <c r="V42">
        <f t="shared" ca="1" si="10"/>
        <v>0.33287108369807955</v>
      </c>
      <c r="W42">
        <f t="shared" ca="1" si="11"/>
        <v>0.36787944117144233</v>
      </c>
      <c r="X42">
        <f t="shared" ca="1" si="12"/>
        <v>0.40656965974059911</v>
      </c>
      <c r="Y42">
        <f t="shared" ca="1" si="13"/>
        <v>0.44932896411722156</v>
      </c>
      <c r="Z42">
        <f t="shared" ca="1" si="14"/>
        <v>0.49658530379140947</v>
      </c>
      <c r="AA42">
        <f t="shared" ca="1" si="15"/>
        <v>0.54881163609402639</v>
      </c>
      <c r="AB42">
        <f t="shared" ca="1" si="16"/>
        <v>0.60653065971263342</v>
      </c>
      <c r="AC42">
        <f t="shared" ca="1" si="17"/>
        <v>0.67032004603563933</v>
      </c>
      <c r="AD42">
        <f t="shared" ca="1" si="18"/>
        <v>0.74081822068171788</v>
      </c>
      <c r="AE42">
        <f t="shared" ca="1" si="19"/>
        <v>0.81873075307798182</v>
      </c>
      <c r="AF42">
        <f t="shared" ca="1" si="20"/>
        <v>0.90483741803595952</v>
      </c>
      <c r="AG42">
        <f t="shared" ca="1" si="21"/>
        <v>1</v>
      </c>
      <c r="AH42">
        <f t="shared" ca="1" si="22"/>
        <v>0.90483741803595952</v>
      </c>
      <c r="AI42">
        <f t="shared" ca="1" si="23"/>
        <v>0.81873075307798182</v>
      </c>
      <c r="AJ42">
        <f t="shared" ca="1" si="24"/>
        <v>0.74081822068171788</v>
      </c>
      <c r="AK42">
        <f t="shared" ca="1" si="25"/>
        <v>0.67032004603563933</v>
      </c>
      <c r="AL42">
        <f t="shared" ca="1" si="26"/>
        <v>0.60653065971263342</v>
      </c>
      <c r="AM42">
        <f t="shared" ca="1" si="27"/>
        <v>0.54881163609402639</v>
      </c>
      <c r="AN42">
        <f t="shared" ca="1" si="28"/>
        <v>0.49658530379140947</v>
      </c>
      <c r="AO42">
        <f t="shared" ca="1" si="29"/>
        <v>0.44932896411722156</v>
      </c>
      <c r="AP42">
        <f t="shared" ca="1" si="30"/>
        <v>0.40656965974059911</v>
      </c>
      <c r="AQ42">
        <f t="shared" ca="1" si="31"/>
        <v>0.36787944117144233</v>
      </c>
      <c r="AR42">
        <f t="shared" ca="1" si="32"/>
        <v>0.33287108369807955</v>
      </c>
      <c r="AS42">
        <f t="shared" ca="1" si="33"/>
        <v>0.30119421191220203</v>
      </c>
      <c r="AT42">
        <f t="shared" ca="1" si="34"/>
        <v>0.27253179303401259</v>
      </c>
      <c r="AU42">
        <f t="shared" ca="1" si="35"/>
        <v>0.24659696394160643</v>
      </c>
      <c r="AV42">
        <f t="shared" ca="1" si="36"/>
        <v>0.22313016014842982</v>
      </c>
      <c r="AW42">
        <f t="shared" ca="1" si="37"/>
        <v>0.20189651799465538</v>
      </c>
      <c r="AX42">
        <f t="shared" ca="1" si="38"/>
        <v>0.18268352405273461</v>
      </c>
      <c r="AY42">
        <f t="shared" ca="1" si="39"/>
        <v>0.16529888822158653</v>
      </c>
      <c r="AZ42">
        <f t="shared" ca="1" si="40"/>
        <v>0.14956861922263504</v>
      </c>
    </row>
    <row r="43" spans="1:52" ht="15" thickBot="1" x14ac:dyDescent="0.4">
      <c r="A43">
        <v>0.2</v>
      </c>
      <c r="B43" s="9" t="s">
        <v>239</v>
      </c>
      <c r="C43">
        <f t="shared" ca="1" si="1"/>
        <v>4.5049202393557801E-2</v>
      </c>
      <c r="D43">
        <f t="shared" ca="1" si="41"/>
        <v>4.9787068367863944E-2</v>
      </c>
      <c r="E43">
        <f t="shared" ca="1" si="42"/>
        <v>5.502322005640721E-2</v>
      </c>
      <c r="F43">
        <f t="shared" ca="1" si="43"/>
        <v>6.0810062625217952E-2</v>
      </c>
      <c r="G43">
        <f t="shared" ca="1" si="44"/>
        <v>6.7205512739749756E-2</v>
      </c>
      <c r="H43">
        <f t="shared" ca="1" si="45"/>
        <v>7.4273578214333877E-2</v>
      </c>
      <c r="I43">
        <f t="shared" ca="1" si="46"/>
        <v>8.20849986238988E-2</v>
      </c>
      <c r="J43">
        <f t="shared" ca="1" si="47"/>
        <v>9.071795328941247E-2</v>
      </c>
      <c r="K43">
        <f t="shared" ca="1" si="48"/>
        <v>0.10025884372280371</v>
      </c>
      <c r="L43">
        <f t="shared" ca="1" si="49"/>
        <v>0.11080315836233387</v>
      </c>
      <c r="M43">
        <f t="shared" ca="1" si="50"/>
        <v>0.12245642825298191</v>
      </c>
      <c r="N43">
        <f t="shared" ca="1" si="2"/>
        <v>0.1353352832366127</v>
      </c>
      <c r="O43">
        <f t="shared" ca="1" si="3"/>
        <v>0.14956861922263504</v>
      </c>
      <c r="P43">
        <f t="shared" ca="1" si="4"/>
        <v>0.16529888822158653</v>
      </c>
      <c r="Q43">
        <f t="shared" ca="1" si="5"/>
        <v>0.18268352405273461</v>
      </c>
      <c r="R43">
        <f t="shared" ca="1" si="6"/>
        <v>0.20189651799465538</v>
      </c>
      <c r="S43">
        <f t="shared" ca="1" si="7"/>
        <v>0.22313016014842982</v>
      </c>
      <c r="T43">
        <f t="shared" ca="1" si="8"/>
        <v>0.24659696394160643</v>
      </c>
      <c r="U43">
        <f t="shared" ca="1" si="9"/>
        <v>0.27253179303401259</v>
      </c>
      <c r="V43">
        <f t="shared" ca="1" si="10"/>
        <v>0.30119421191220203</v>
      </c>
      <c r="W43">
        <f t="shared" ca="1" si="11"/>
        <v>0.33287108369807955</v>
      </c>
      <c r="X43">
        <f t="shared" ca="1" si="12"/>
        <v>0.36787944117144233</v>
      </c>
      <c r="Y43">
        <f t="shared" ca="1" si="13"/>
        <v>0.40656965974059911</v>
      </c>
      <c r="Z43">
        <f t="shared" ca="1" si="14"/>
        <v>0.44932896411722156</v>
      </c>
      <c r="AA43">
        <f t="shared" ca="1" si="15"/>
        <v>0.49658530379140947</v>
      </c>
      <c r="AB43">
        <f t="shared" ca="1" si="16"/>
        <v>0.54881163609402639</v>
      </c>
      <c r="AC43">
        <f t="shared" ca="1" si="17"/>
        <v>0.60653065971263342</v>
      </c>
      <c r="AD43">
        <f t="shared" ca="1" si="18"/>
        <v>0.67032004603563933</v>
      </c>
      <c r="AE43">
        <f t="shared" ca="1" si="19"/>
        <v>0.74081822068171788</v>
      </c>
      <c r="AF43">
        <f t="shared" ca="1" si="20"/>
        <v>0.81873075307798182</v>
      </c>
      <c r="AG43">
        <f t="shared" ca="1" si="21"/>
        <v>0.90483741803595952</v>
      </c>
      <c r="AH43">
        <f t="shared" ca="1" si="22"/>
        <v>1</v>
      </c>
      <c r="AI43">
        <f t="shared" ca="1" si="23"/>
        <v>0.90483741803595952</v>
      </c>
      <c r="AJ43">
        <f t="shared" ca="1" si="24"/>
        <v>0.81873075307798182</v>
      </c>
      <c r="AK43">
        <f t="shared" ca="1" si="25"/>
        <v>0.74081822068171788</v>
      </c>
      <c r="AL43">
        <f t="shared" ca="1" si="26"/>
        <v>0.67032004603563933</v>
      </c>
      <c r="AM43">
        <f t="shared" ca="1" si="27"/>
        <v>0.60653065971263342</v>
      </c>
      <c r="AN43">
        <f t="shared" ca="1" si="28"/>
        <v>0.54881163609402639</v>
      </c>
      <c r="AO43">
        <f t="shared" ca="1" si="29"/>
        <v>0.49658530379140947</v>
      </c>
      <c r="AP43">
        <f t="shared" ca="1" si="30"/>
        <v>0.44932896411722156</v>
      </c>
      <c r="AQ43">
        <f t="shared" ca="1" si="31"/>
        <v>0.40656965974059911</v>
      </c>
      <c r="AR43">
        <f t="shared" ca="1" si="32"/>
        <v>0.36787944117144233</v>
      </c>
      <c r="AS43">
        <f t="shared" ca="1" si="33"/>
        <v>0.33287108369807955</v>
      </c>
      <c r="AT43">
        <f t="shared" ca="1" si="34"/>
        <v>0.30119421191220203</v>
      </c>
      <c r="AU43">
        <f t="shared" ca="1" si="35"/>
        <v>0.27253179303401259</v>
      </c>
      <c r="AV43">
        <f t="shared" ca="1" si="36"/>
        <v>0.24659696394160643</v>
      </c>
      <c r="AW43">
        <f t="shared" ca="1" si="37"/>
        <v>0.22313016014842982</v>
      </c>
      <c r="AX43">
        <f t="shared" ca="1" si="38"/>
        <v>0.20189651799465538</v>
      </c>
      <c r="AY43">
        <f t="shared" ca="1" si="39"/>
        <v>0.18268352405273461</v>
      </c>
      <c r="AZ43">
        <f t="shared" ca="1" si="40"/>
        <v>0.16529888822158653</v>
      </c>
    </row>
    <row r="44" spans="1:52" ht="15" thickBot="1" x14ac:dyDescent="0.4">
      <c r="A44">
        <v>0.2</v>
      </c>
      <c r="B44" s="9" t="s">
        <v>240</v>
      </c>
      <c r="C44">
        <f t="shared" ca="1" si="1"/>
        <v>4.0762203978366211E-2</v>
      </c>
      <c r="D44">
        <f t="shared" ca="1" si="41"/>
        <v>4.5049202393557801E-2</v>
      </c>
      <c r="E44">
        <f t="shared" ca="1" si="42"/>
        <v>4.9787068367863944E-2</v>
      </c>
      <c r="F44">
        <f t="shared" ca="1" si="43"/>
        <v>5.502322005640721E-2</v>
      </c>
      <c r="G44">
        <f t="shared" ca="1" si="44"/>
        <v>6.0810062625217952E-2</v>
      </c>
      <c r="H44">
        <f t="shared" ca="1" si="45"/>
        <v>6.7205512739749756E-2</v>
      </c>
      <c r="I44">
        <f t="shared" ca="1" si="46"/>
        <v>7.4273578214333877E-2</v>
      </c>
      <c r="J44">
        <f t="shared" ca="1" si="47"/>
        <v>8.20849986238988E-2</v>
      </c>
      <c r="K44">
        <f t="shared" ca="1" si="48"/>
        <v>9.071795328941247E-2</v>
      </c>
      <c r="L44">
        <f t="shared" ca="1" si="49"/>
        <v>0.10025884372280371</v>
      </c>
      <c r="M44">
        <f t="shared" ca="1" si="50"/>
        <v>0.11080315836233387</v>
      </c>
      <c r="N44">
        <f t="shared" ca="1" si="2"/>
        <v>0.12245642825298191</v>
      </c>
      <c r="O44">
        <f t="shared" ca="1" si="3"/>
        <v>0.1353352832366127</v>
      </c>
      <c r="P44">
        <f t="shared" ca="1" si="4"/>
        <v>0.14956861922263504</v>
      </c>
      <c r="Q44">
        <f t="shared" ca="1" si="5"/>
        <v>0.16529888822158653</v>
      </c>
      <c r="R44">
        <f t="shared" ca="1" si="6"/>
        <v>0.18268352405273461</v>
      </c>
      <c r="S44">
        <f t="shared" ca="1" si="7"/>
        <v>0.20189651799465538</v>
      </c>
      <c r="T44">
        <f t="shared" ca="1" si="8"/>
        <v>0.22313016014842982</v>
      </c>
      <c r="U44">
        <f t="shared" ca="1" si="9"/>
        <v>0.24659696394160643</v>
      </c>
      <c r="V44">
        <f t="shared" ca="1" si="10"/>
        <v>0.27253179303401259</v>
      </c>
      <c r="W44">
        <f t="shared" ca="1" si="11"/>
        <v>0.30119421191220203</v>
      </c>
      <c r="X44">
        <f t="shared" ca="1" si="12"/>
        <v>0.33287108369807955</v>
      </c>
      <c r="Y44">
        <f t="shared" ca="1" si="13"/>
        <v>0.36787944117144233</v>
      </c>
      <c r="Z44">
        <f t="shared" ca="1" si="14"/>
        <v>0.40656965974059911</v>
      </c>
      <c r="AA44">
        <f t="shared" ca="1" si="15"/>
        <v>0.44932896411722156</v>
      </c>
      <c r="AB44">
        <f t="shared" ca="1" si="16"/>
        <v>0.49658530379140947</v>
      </c>
      <c r="AC44">
        <f t="shared" ca="1" si="17"/>
        <v>0.54881163609402639</v>
      </c>
      <c r="AD44">
        <f t="shared" ca="1" si="18"/>
        <v>0.60653065971263342</v>
      </c>
      <c r="AE44">
        <f t="shared" ca="1" si="19"/>
        <v>0.67032004603563933</v>
      </c>
      <c r="AF44">
        <f t="shared" ca="1" si="20"/>
        <v>0.74081822068171788</v>
      </c>
      <c r="AG44">
        <f t="shared" ca="1" si="21"/>
        <v>0.81873075307798182</v>
      </c>
      <c r="AH44">
        <f t="shared" ca="1" si="22"/>
        <v>0.90483741803595952</v>
      </c>
      <c r="AI44">
        <f t="shared" ca="1" si="23"/>
        <v>1</v>
      </c>
      <c r="AJ44">
        <f t="shared" ca="1" si="24"/>
        <v>0.90483741803595952</v>
      </c>
      <c r="AK44">
        <f t="shared" ca="1" si="25"/>
        <v>0.81873075307798182</v>
      </c>
      <c r="AL44">
        <f t="shared" ca="1" si="26"/>
        <v>0.74081822068171788</v>
      </c>
      <c r="AM44">
        <f t="shared" ca="1" si="27"/>
        <v>0.67032004603563933</v>
      </c>
      <c r="AN44">
        <f t="shared" ca="1" si="28"/>
        <v>0.60653065971263342</v>
      </c>
      <c r="AO44">
        <f t="shared" ca="1" si="29"/>
        <v>0.54881163609402639</v>
      </c>
      <c r="AP44">
        <f t="shared" ca="1" si="30"/>
        <v>0.49658530379140947</v>
      </c>
      <c r="AQ44">
        <f t="shared" ca="1" si="31"/>
        <v>0.44932896411722156</v>
      </c>
      <c r="AR44">
        <f t="shared" ca="1" si="32"/>
        <v>0.40656965974059911</v>
      </c>
      <c r="AS44">
        <f t="shared" ca="1" si="33"/>
        <v>0.36787944117144233</v>
      </c>
      <c r="AT44">
        <f t="shared" ca="1" si="34"/>
        <v>0.33287108369807955</v>
      </c>
      <c r="AU44">
        <f t="shared" ca="1" si="35"/>
        <v>0.30119421191220203</v>
      </c>
      <c r="AV44">
        <f t="shared" ca="1" si="36"/>
        <v>0.27253179303401259</v>
      </c>
      <c r="AW44">
        <f t="shared" ca="1" si="37"/>
        <v>0.24659696394160643</v>
      </c>
      <c r="AX44">
        <f t="shared" ca="1" si="38"/>
        <v>0.22313016014842982</v>
      </c>
      <c r="AY44">
        <f t="shared" ca="1" si="39"/>
        <v>0.20189651799465538</v>
      </c>
      <c r="AZ44">
        <f t="shared" ca="1" si="40"/>
        <v>0.18268352405273461</v>
      </c>
    </row>
    <row r="45" spans="1:52" ht="15" thickBot="1" x14ac:dyDescent="0.4">
      <c r="A45">
        <v>0.2</v>
      </c>
      <c r="B45" s="9" t="s">
        <v>241</v>
      </c>
      <c r="C45">
        <f t="shared" ca="1" si="1"/>
        <v>3.6883167401239994E-2</v>
      </c>
      <c r="D45">
        <f t="shared" ca="1" si="41"/>
        <v>4.0762203978366211E-2</v>
      </c>
      <c r="E45">
        <f t="shared" ca="1" si="42"/>
        <v>4.5049202393557801E-2</v>
      </c>
      <c r="F45">
        <f t="shared" ca="1" si="43"/>
        <v>4.9787068367863944E-2</v>
      </c>
      <c r="G45">
        <f t="shared" ca="1" si="44"/>
        <v>5.502322005640721E-2</v>
      </c>
      <c r="H45">
        <f t="shared" ca="1" si="45"/>
        <v>6.0810062625217952E-2</v>
      </c>
      <c r="I45">
        <f t="shared" ca="1" si="46"/>
        <v>6.7205512739749756E-2</v>
      </c>
      <c r="J45">
        <f t="shared" ca="1" si="47"/>
        <v>7.4273578214333877E-2</v>
      </c>
      <c r="K45">
        <f t="shared" ca="1" si="48"/>
        <v>8.20849986238988E-2</v>
      </c>
      <c r="L45">
        <f t="shared" ca="1" si="49"/>
        <v>9.071795328941247E-2</v>
      </c>
      <c r="M45">
        <f t="shared" ca="1" si="50"/>
        <v>0.10025884372280371</v>
      </c>
      <c r="N45">
        <f t="shared" ca="1" si="2"/>
        <v>0.11080315836233387</v>
      </c>
      <c r="O45">
        <f t="shared" ca="1" si="3"/>
        <v>0.12245642825298191</v>
      </c>
      <c r="P45">
        <f t="shared" ca="1" si="4"/>
        <v>0.1353352832366127</v>
      </c>
      <c r="Q45">
        <f t="shared" ca="1" si="5"/>
        <v>0.14956861922263504</v>
      </c>
      <c r="R45">
        <f t="shared" ca="1" si="6"/>
        <v>0.16529888822158653</v>
      </c>
      <c r="S45">
        <f t="shared" ca="1" si="7"/>
        <v>0.18268352405273461</v>
      </c>
      <c r="T45">
        <f t="shared" ca="1" si="8"/>
        <v>0.20189651799465538</v>
      </c>
      <c r="U45">
        <f t="shared" ca="1" si="9"/>
        <v>0.22313016014842982</v>
      </c>
      <c r="V45">
        <f t="shared" ca="1" si="10"/>
        <v>0.24659696394160643</v>
      </c>
      <c r="W45">
        <f t="shared" ca="1" si="11"/>
        <v>0.27253179303401259</v>
      </c>
      <c r="X45">
        <f t="shared" ca="1" si="12"/>
        <v>0.30119421191220203</v>
      </c>
      <c r="Y45">
        <f t="shared" ca="1" si="13"/>
        <v>0.33287108369807955</v>
      </c>
      <c r="Z45">
        <f t="shared" ca="1" si="14"/>
        <v>0.36787944117144233</v>
      </c>
      <c r="AA45">
        <f t="shared" ca="1" si="15"/>
        <v>0.40656965974059911</v>
      </c>
      <c r="AB45">
        <f t="shared" ca="1" si="16"/>
        <v>0.44932896411722156</v>
      </c>
      <c r="AC45">
        <f t="shared" ca="1" si="17"/>
        <v>0.49658530379140947</v>
      </c>
      <c r="AD45">
        <f t="shared" ca="1" si="18"/>
        <v>0.54881163609402639</v>
      </c>
      <c r="AE45">
        <f t="shared" ca="1" si="19"/>
        <v>0.60653065971263342</v>
      </c>
      <c r="AF45">
        <f t="shared" ca="1" si="20"/>
        <v>0.67032004603563933</v>
      </c>
      <c r="AG45">
        <f t="shared" ca="1" si="21"/>
        <v>0.74081822068171788</v>
      </c>
      <c r="AH45">
        <f t="shared" ca="1" si="22"/>
        <v>0.81873075307798182</v>
      </c>
      <c r="AI45">
        <f t="shared" ca="1" si="23"/>
        <v>0.90483741803595952</v>
      </c>
      <c r="AJ45">
        <f t="shared" ca="1" si="24"/>
        <v>1</v>
      </c>
      <c r="AK45">
        <f t="shared" ca="1" si="25"/>
        <v>0.90483741803595952</v>
      </c>
      <c r="AL45">
        <f t="shared" ca="1" si="26"/>
        <v>0.81873075307798182</v>
      </c>
      <c r="AM45">
        <f t="shared" ca="1" si="27"/>
        <v>0.74081822068171788</v>
      </c>
      <c r="AN45">
        <f t="shared" ca="1" si="28"/>
        <v>0.67032004603563933</v>
      </c>
      <c r="AO45">
        <f t="shared" ca="1" si="29"/>
        <v>0.60653065971263342</v>
      </c>
      <c r="AP45">
        <f t="shared" ca="1" si="30"/>
        <v>0.54881163609402639</v>
      </c>
      <c r="AQ45">
        <f t="shared" ca="1" si="31"/>
        <v>0.49658530379140947</v>
      </c>
      <c r="AR45">
        <f t="shared" ca="1" si="32"/>
        <v>0.44932896411722156</v>
      </c>
      <c r="AS45">
        <f t="shared" ca="1" si="33"/>
        <v>0.40656965974059911</v>
      </c>
      <c r="AT45">
        <f t="shared" ca="1" si="34"/>
        <v>0.36787944117144233</v>
      </c>
      <c r="AU45">
        <f t="shared" ca="1" si="35"/>
        <v>0.33287108369807955</v>
      </c>
      <c r="AV45">
        <f t="shared" ca="1" si="36"/>
        <v>0.30119421191220203</v>
      </c>
      <c r="AW45">
        <f t="shared" ca="1" si="37"/>
        <v>0.27253179303401259</v>
      </c>
      <c r="AX45">
        <f t="shared" ca="1" si="38"/>
        <v>0.24659696394160643</v>
      </c>
      <c r="AY45">
        <f t="shared" ca="1" si="39"/>
        <v>0.22313016014842982</v>
      </c>
      <c r="AZ45">
        <f t="shared" ca="1" si="40"/>
        <v>0.20189651799465538</v>
      </c>
    </row>
    <row r="46" spans="1:52" ht="15" thickBot="1" x14ac:dyDescent="0.4">
      <c r="A46">
        <v>0.2</v>
      </c>
      <c r="B46" s="9" t="s">
        <v>242</v>
      </c>
      <c r="C46">
        <f t="shared" ca="1" si="1"/>
        <v>3.3373269960326066E-2</v>
      </c>
      <c r="D46">
        <f t="shared" ca="1" si="41"/>
        <v>3.6883167401239994E-2</v>
      </c>
      <c r="E46">
        <f t="shared" ca="1" si="42"/>
        <v>4.0762203978366211E-2</v>
      </c>
      <c r="F46">
        <f t="shared" ca="1" si="43"/>
        <v>4.5049202393557801E-2</v>
      </c>
      <c r="G46">
        <f t="shared" ca="1" si="44"/>
        <v>4.9787068367863944E-2</v>
      </c>
      <c r="H46">
        <f t="shared" ca="1" si="45"/>
        <v>5.502322005640721E-2</v>
      </c>
      <c r="I46">
        <f t="shared" ca="1" si="46"/>
        <v>6.0810062625217952E-2</v>
      </c>
      <c r="J46">
        <f t="shared" ca="1" si="47"/>
        <v>6.7205512739749756E-2</v>
      </c>
      <c r="K46">
        <f t="shared" ca="1" si="48"/>
        <v>7.4273578214333877E-2</v>
      </c>
      <c r="L46">
        <f t="shared" ca="1" si="49"/>
        <v>8.20849986238988E-2</v>
      </c>
      <c r="M46">
        <f t="shared" ca="1" si="50"/>
        <v>9.071795328941247E-2</v>
      </c>
      <c r="N46">
        <f t="shared" ca="1" si="2"/>
        <v>0.10025884372280371</v>
      </c>
      <c r="O46">
        <f t="shared" ca="1" si="3"/>
        <v>0.11080315836233387</v>
      </c>
      <c r="P46">
        <f t="shared" ca="1" si="4"/>
        <v>0.12245642825298191</v>
      </c>
      <c r="Q46">
        <f t="shared" ca="1" si="5"/>
        <v>0.1353352832366127</v>
      </c>
      <c r="R46">
        <f t="shared" ca="1" si="6"/>
        <v>0.14956861922263504</v>
      </c>
      <c r="S46">
        <f t="shared" ca="1" si="7"/>
        <v>0.16529888822158653</v>
      </c>
      <c r="T46">
        <f t="shared" ca="1" si="8"/>
        <v>0.18268352405273461</v>
      </c>
      <c r="U46">
        <f t="shared" ca="1" si="9"/>
        <v>0.20189651799465538</v>
      </c>
      <c r="V46">
        <f t="shared" ca="1" si="10"/>
        <v>0.22313016014842982</v>
      </c>
      <c r="W46">
        <f t="shared" ca="1" si="11"/>
        <v>0.24659696394160643</v>
      </c>
      <c r="X46">
        <f t="shared" ca="1" si="12"/>
        <v>0.27253179303401259</v>
      </c>
      <c r="Y46">
        <f t="shared" ca="1" si="13"/>
        <v>0.30119421191220203</v>
      </c>
      <c r="Z46">
        <f t="shared" ca="1" si="14"/>
        <v>0.33287108369807955</v>
      </c>
      <c r="AA46">
        <f t="shared" ca="1" si="15"/>
        <v>0.36787944117144233</v>
      </c>
      <c r="AB46">
        <f t="shared" ca="1" si="16"/>
        <v>0.40656965974059911</v>
      </c>
      <c r="AC46">
        <f t="shared" ca="1" si="17"/>
        <v>0.44932896411722156</v>
      </c>
      <c r="AD46">
        <f t="shared" ca="1" si="18"/>
        <v>0.49658530379140947</v>
      </c>
      <c r="AE46">
        <f t="shared" ca="1" si="19"/>
        <v>0.54881163609402639</v>
      </c>
      <c r="AF46">
        <f t="shared" ca="1" si="20"/>
        <v>0.60653065971263342</v>
      </c>
      <c r="AG46">
        <f t="shared" ca="1" si="21"/>
        <v>0.67032004603563933</v>
      </c>
      <c r="AH46">
        <f t="shared" ca="1" si="22"/>
        <v>0.74081822068171788</v>
      </c>
      <c r="AI46">
        <f t="shared" ca="1" si="23"/>
        <v>0.81873075307798182</v>
      </c>
      <c r="AJ46">
        <f t="shared" ca="1" si="24"/>
        <v>0.90483741803595952</v>
      </c>
      <c r="AK46">
        <f t="shared" ca="1" si="25"/>
        <v>1</v>
      </c>
      <c r="AL46">
        <f t="shared" ca="1" si="26"/>
        <v>0.90483741803595952</v>
      </c>
      <c r="AM46">
        <f t="shared" ca="1" si="27"/>
        <v>0.81873075307798182</v>
      </c>
      <c r="AN46">
        <f t="shared" ca="1" si="28"/>
        <v>0.74081822068171788</v>
      </c>
      <c r="AO46">
        <f t="shared" ca="1" si="29"/>
        <v>0.67032004603563933</v>
      </c>
      <c r="AP46">
        <f t="shared" ca="1" si="30"/>
        <v>0.60653065971263342</v>
      </c>
      <c r="AQ46">
        <f t="shared" ca="1" si="31"/>
        <v>0.54881163609402639</v>
      </c>
      <c r="AR46">
        <f t="shared" ca="1" si="32"/>
        <v>0.49658530379140947</v>
      </c>
      <c r="AS46">
        <f t="shared" ca="1" si="33"/>
        <v>0.44932896411722156</v>
      </c>
      <c r="AT46">
        <f t="shared" ca="1" si="34"/>
        <v>0.40656965974059911</v>
      </c>
      <c r="AU46">
        <f t="shared" ca="1" si="35"/>
        <v>0.36787944117144233</v>
      </c>
      <c r="AV46">
        <f t="shared" ca="1" si="36"/>
        <v>0.33287108369807955</v>
      </c>
      <c r="AW46">
        <f t="shared" ca="1" si="37"/>
        <v>0.30119421191220203</v>
      </c>
      <c r="AX46">
        <f t="shared" ca="1" si="38"/>
        <v>0.27253179303401259</v>
      </c>
      <c r="AY46">
        <f t="shared" ca="1" si="39"/>
        <v>0.24659696394160643</v>
      </c>
      <c r="AZ46">
        <f t="shared" ca="1" si="40"/>
        <v>0.22313016014842982</v>
      </c>
    </row>
    <row r="47" spans="1:52" ht="15" thickBot="1" x14ac:dyDescent="0.4">
      <c r="A47">
        <v>0.2</v>
      </c>
      <c r="B47" s="9" t="s">
        <v>243</v>
      </c>
      <c r="C47">
        <f t="shared" ca="1" si="1"/>
        <v>3.0197383422318501E-2</v>
      </c>
      <c r="D47">
        <f t="shared" ca="1" si="41"/>
        <v>3.3373269960326066E-2</v>
      </c>
      <c r="E47">
        <f t="shared" ca="1" si="42"/>
        <v>3.6883167401239994E-2</v>
      </c>
      <c r="F47">
        <f t="shared" ca="1" si="43"/>
        <v>4.0762203978366211E-2</v>
      </c>
      <c r="G47">
        <f t="shared" ca="1" si="44"/>
        <v>4.5049202393557801E-2</v>
      </c>
      <c r="H47">
        <f t="shared" ca="1" si="45"/>
        <v>4.9787068367863944E-2</v>
      </c>
      <c r="I47">
        <f t="shared" ca="1" si="46"/>
        <v>5.502322005640721E-2</v>
      </c>
      <c r="J47">
        <f t="shared" ca="1" si="47"/>
        <v>6.0810062625217952E-2</v>
      </c>
      <c r="K47">
        <f t="shared" ca="1" si="48"/>
        <v>6.7205512739749756E-2</v>
      </c>
      <c r="L47">
        <f t="shared" ca="1" si="49"/>
        <v>7.4273578214333877E-2</v>
      </c>
      <c r="M47">
        <f t="shared" ca="1" si="50"/>
        <v>8.20849986238988E-2</v>
      </c>
      <c r="N47">
        <f t="shared" ca="1" si="2"/>
        <v>9.071795328941247E-2</v>
      </c>
      <c r="O47">
        <f t="shared" ca="1" si="3"/>
        <v>0.10025884372280371</v>
      </c>
      <c r="P47">
        <f t="shared" ca="1" si="4"/>
        <v>0.11080315836233387</v>
      </c>
      <c r="Q47">
        <f t="shared" ca="1" si="5"/>
        <v>0.12245642825298191</v>
      </c>
      <c r="R47">
        <f t="shared" ca="1" si="6"/>
        <v>0.1353352832366127</v>
      </c>
      <c r="S47">
        <f t="shared" ca="1" si="7"/>
        <v>0.14956861922263504</v>
      </c>
      <c r="T47">
        <f t="shared" ca="1" si="8"/>
        <v>0.16529888822158653</v>
      </c>
      <c r="U47">
        <f t="shared" ca="1" si="9"/>
        <v>0.18268352405273461</v>
      </c>
      <c r="V47">
        <f t="shared" ca="1" si="10"/>
        <v>0.20189651799465538</v>
      </c>
      <c r="W47">
        <f t="shared" ca="1" si="11"/>
        <v>0.22313016014842982</v>
      </c>
      <c r="X47">
        <f t="shared" ca="1" si="12"/>
        <v>0.24659696394160643</v>
      </c>
      <c r="Y47">
        <f t="shared" ca="1" si="13"/>
        <v>0.27253179303401259</v>
      </c>
      <c r="Z47">
        <f t="shared" ca="1" si="14"/>
        <v>0.30119421191220203</v>
      </c>
      <c r="AA47">
        <f t="shared" ca="1" si="15"/>
        <v>0.33287108369807955</v>
      </c>
      <c r="AB47">
        <f t="shared" ca="1" si="16"/>
        <v>0.36787944117144233</v>
      </c>
      <c r="AC47">
        <f t="shared" ca="1" si="17"/>
        <v>0.40656965974059911</v>
      </c>
      <c r="AD47">
        <f t="shared" ca="1" si="18"/>
        <v>0.44932896411722156</v>
      </c>
      <c r="AE47">
        <f t="shared" ca="1" si="19"/>
        <v>0.49658530379140947</v>
      </c>
      <c r="AF47">
        <f t="shared" ca="1" si="20"/>
        <v>0.54881163609402639</v>
      </c>
      <c r="AG47">
        <f t="shared" ca="1" si="21"/>
        <v>0.60653065971263342</v>
      </c>
      <c r="AH47">
        <f t="shared" ca="1" si="22"/>
        <v>0.67032004603563933</v>
      </c>
      <c r="AI47">
        <f t="shared" ca="1" si="23"/>
        <v>0.74081822068171788</v>
      </c>
      <c r="AJ47">
        <f t="shared" ca="1" si="24"/>
        <v>0.81873075307798182</v>
      </c>
      <c r="AK47">
        <f t="shared" ca="1" si="25"/>
        <v>0.90483741803595952</v>
      </c>
      <c r="AL47">
        <f t="shared" ca="1" si="26"/>
        <v>1</v>
      </c>
      <c r="AM47">
        <f t="shared" ca="1" si="27"/>
        <v>0.90483741803595952</v>
      </c>
      <c r="AN47">
        <f t="shared" ca="1" si="28"/>
        <v>0.81873075307798182</v>
      </c>
      <c r="AO47">
        <f t="shared" ca="1" si="29"/>
        <v>0.74081822068171788</v>
      </c>
      <c r="AP47">
        <f t="shared" ca="1" si="30"/>
        <v>0.67032004603563933</v>
      </c>
      <c r="AQ47">
        <f t="shared" ca="1" si="31"/>
        <v>0.60653065971263342</v>
      </c>
      <c r="AR47">
        <f t="shared" ca="1" si="32"/>
        <v>0.54881163609402639</v>
      </c>
      <c r="AS47">
        <f t="shared" ca="1" si="33"/>
        <v>0.49658530379140947</v>
      </c>
      <c r="AT47">
        <f t="shared" ca="1" si="34"/>
        <v>0.44932896411722156</v>
      </c>
      <c r="AU47">
        <f t="shared" ca="1" si="35"/>
        <v>0.40656965974059911</v>
      </c>
      <c r="AV47">
        <f t="shared" ca="1" si="36"/>
        <v>0.36787944117144233</v>
      </c>
      <c r="AW47">
        <f t="shared" ca="1" si="37"/>
        <v>0.33287108369807955</v>
      </c>
      <c r="AX47">
        <f t="shared" ca="1" si="38"/>
        <v>0.30119421191220203</v>
      </c>
      <c r="AY47">
        <f t="shared" ca="1" si="39"/>
        <v>0.27253179303401259</v>
      </c>
      <c r="AZ47">
        <f t="shared" ca="1" si="40"/>
        <v>0.24659696394160643</v>
      </c>
    </row>
    <row r="48" spans="1:52" ht="15" thickBot="1" x14ac:dyDescent="0.4">
      <c r="A48">
        <v>0.2</v>
      </c>
      <c r="B48" s="9" t="s">
        <v>244</v>
      </c>
      <c r="C48">
        <f t="shared" ca="1" si="1"/>
        <v>2.7323722447292559E-2</v>
      </c>
      <c r="D48">
        <f t="shared" ca="1" si="41"/>
        <v>3.0197383422318501E-2</v>
      </c>
      <c r="E48">
        <f t="shared" ca="1" si="42"/>
        <v>3.3373269960326066E-2</v>
      </c>
      <c r="F48">
        <f t="shared" ca="1" si="43"/>
        <v>3.6883167401239994E-2</v>
      </c>
      <c r="G48">
        <f t="shared" ca="1" si="44"/>
        <v>4.0762203978366211E-2</v>
      </c>
      <c r="H48">
        <f t="shared" ca="1" si="45"/>
        <v>4.5049202393557801E-2</v>
      </c>
      <c r="I48">
        <f t="shared" ca="1" si="46"/>
        <v>4.9787068367863944E-2</v>
      </c>
      <c r="J48">
        <f t="shared" ca="1" si="47"/>
        <v>5.502322005640721E-2</v>
      </c>
      <c r="K48">
        <f t="shared" ca="1" si="48"/>
        <v>6.0810062625217952E-2</v>
      </c>
      <c r="L48">
        <f t="shared" ca="1" si="49"/>
        <v>6.7205512739749756E-2</v>
      </c>
      <c r="M48">
        <f t="shared" ca="1" si="50"/>
        <v>7.4273578214333877E-2</v>
      </c>
      <c r="N48">
        <f t="shared" ca="1" si="2"/>
        <v>8.20849986238988E-2</v>
      </c>
      <c r="O48">
        <f t="shared" ca="1" si="3"/>
        <v>9.071795328941247E-2</v>
      </c>
      <c r="P48">
        <f t="shared" ca="1" si="4"/>
        <v>0.10025884372280371</v>
      </c>
      <c r="Q48">
        <f t="shared" ca="1" si="5"/>
        <v>0.11080315836233387</v>
      </c>
      <c r="R48">
        <f t="shared" ca="1" si="6"/>
        <v>0.12245642825298191</v>
      </c>
      <c r="S48">
        <f t="shared" ca="1" si="7"/>
        <v>0.1353352832366127</v>
      </c>
      <c r="T48">
        <f t="shared" ca="1" si="8"/>
        <v>0.14956861922263504</v>
      </c>
      <c r="U48">
        <f t="shared" ca="1" si="9"/>
        <v>0.16529888822158653</v>
      </c>
      <c r="V48">
        <f t="shared" ca="1" si="10"/>
        <v>0.18268352405273461</v>
      </c>
      <c r="W48">
        <f t="shared" ca="1" si="11"/>
        <v>0.20189651799465538</v>
      </c>
      <c r="X48">
        <f t="shared" ca="1" si="12"/>
        <v>0.22313016014842982</v>
      </c>
      <c r="Y48">
        <f t="shared" ca="1" si="13"/>
        <v>0.24659696394160643</v>
      </c>
      <c r="Z48">
        <f t="shared" ca="1" si="14"/>
        <v>0.27253179303401259</v>
      </c>
      <c r="AA48">
        <f t="shared" ca="1" si="15"/>
        <v>0.30119421191220203</v>
      </c>
      <c r="AB48">
        <f t="shared" ca="1" si="16"/>
        <v>0.33287108369807955</v>
      </c>
      <c r="AC48">
        <f t="shared" ca="1" si="17"/>
        <v>0.36787944117144233</v>
      </c>
      <c r="AD48">
        <f t="shared" ca="1" si="18"/>
        <v>0.40656965974059911</v>
      </c>
      <c r="AE48">
        <f t="shared" ca="1" si="19"/>
        <v>0.44932896411722156</v>
      </c>
      <c r="AF48">
        <f t="shared" ca="1" si="20"/>
        <v>0.49658530379140947</v>
      </c>
      <c r="AG48">
        <f t="shared" ca="1" si="21"/>
        <v>0.54881163609402639</v>
      </c>
      <c r="AH48">
        <f t="shared" ca="1" si="22"/>
        <v>0.60653065971263342</v>
      </c>
      <c r="AI48">
        <f t="shared" ca="1" si="23"/>
        <v>0.67032004603563933</v>
      </c>
      <c r="AJ48">
        <f t="shared" ca="1" si="24"/>
        <v>0.74081822068171788</v>
      </c>
      <c r="AK48">
        <f t="shared" ca="1" si="25"/>
        <v>0.81873075307798182</v>
      </c>
      <c r="AL48">
        <f t="shared" ca="1" si="26"/>
        <v>0.90483741803595952</v>
      </c>
      <c r="AM48">
        <f t="shared" ca="1" si="27"/>
        <v>1</v>
      </c>
      <c r="AN48">
        <f t="shared" ca="1" si="28"/>
        <v>0.90483741803595952</v>
      </c>
      <c r="AO48">
        <f t="shared" ca="1" si="29"/>
        <v>0.81873075307798182</v>
      </c>
      <c r="AP48">
        <f t="shared" ca="1" si="30"/>
        <v>0.74081822068171788</v>
      </c>
      <c r="AQ48">
        <f t="shared" ca="1" si="31"/>
        <v>0.67032004603563933</v>
      </c>
      <c r="AR48">
        <f t="shared" ca="1" si="32"/>
        <v>0.60653065971263342</v>
      </c>
      <c r="AS48">
        <f t="shared" ca="1" si="33"/>
        <v>0.54881163609402639</v>
      </c>
      <c r="AT48">
        <f t="shared" ca="1" si="34"/>
        <v>0.49658530379140947</v>
      </c>
      <c r="AU48">
        <f t="shared" ca="1" si="35"/>
        <v>0.44932896411722156</v>
      </c>
      <c r="AV48">
        <f t="shared" ca="1" si="36"/>
        <v>0.40656965974059911</v>
      </c>
      <c r="AW48">
        <f t="shared" ca="1" si="37"/>
        <v>0.36787944117144233</v>
      </c>
      <c r="AX48">
        <f t="shared" ca="1" si="38"/>
        <v>0.33287108369807955</v>
      </c>
      <c r="AY48">
        <f t="shared" ca="1" si="39"/>
        <v>0.30119421191220203</v>
      </c>
      <c r="AZ48">
        <f t="shared" ca="1" si="40"/>
        <v>0.27253179303401259</v>
      </c>
    </row>
    <row r="49" spans="1:52" ht="15" thickBot="1" x14ac:dyDescent="0.4">
      <c r="A49">
        <v>0.2</v>
      </c>
      <c r="B49" s="9" t="s">
        <v>245</v>
      </c>
      <c r="C49">
        <f t="shared" ca="1" si="1"/>
        <v>2.4723526470339388E-2</v>
      </c>
      <c r="D49">
        <f t="shared" ca="1" si="41"/>
        <v>2.7323722447292559E-2</v>
      </c>
      <c r="E49">
        <f t="shared" ca="1" si="42"/>
        <v>3.0197383422318501E-2</v>
      </c>
      <c r="F49">
        <f t="shared" ca="1" si="43"/>
        <v>3.3373269960326066E-2</v>
      </c>
      <c r="G49">
        <f t="shared" ca="1" si="44"/>
        <v>3.6883167401239994E-2</v>
      </c>
      <c r="H49">
        <f t="shared" ca="1" si="45"/>
        <v>4.0762203978366211E-2</v>
      </c>
      <c r="I49">
        <f t="shared" ca="1" si="46"/>
        <v>4.5049202393557801E-2</v>
      </c>
      <c r="J49">
        <f t="shared" ca="1" si="47"/>
        <v>4.9787068367863944E-2</v>
      </c>
      <c r="K49">
        <f t="shared" ca="1" si="48"/>
        <v>5.502322005640721E-2</v>
      </c>
      <c r="L49">
        <f t="shared" ca="1" si="49"/>
        <v>6.0810062625217952E-2</v>
      </c>
      <c r="M49">
        <f t="shared" ca="1" si="50"/>
        <v>6.7205512739749756E-2</v>
      </c>
      <c r="N49">
        <f t="shared" ca="1" si="2"/>
        <v>7.4273578214333877E-2</v>
      </c>
      <c r="O49">
        <f t="shared" ca="1" si="3"/>
        <v>8.20849986238988E-2</v>
      </c>
      <c r="P49">
        <f t="shared" ca="1" si="4"/>
        <v>9.071795328941247E-2</v>
      </c>
      <c r="Q49">
        <f t="shared" ca="1" si="5"/>
        <v>0.10025884372280371</v>
      </c>
      <c r="R49">
        <f t="shared" ca="1" si="6"/>
        <v>0.11080315836233387</v>
      </c>
      <c r="S49">
        <f t="shared" ca="1" si="7"/>
        <v>0.12245642825298191</v>
      </c>
      <c r="T49">
        <f t="shared" ca="1" si="8"/>
        <v>0.1353352832366127</v>
      </c>
      <c r="U49">
        <f t="shared" ca="1" si="9"/>
        <v>0.14956861922263504</v>
      </c>
      <c r="V49">
        <f t="shared" ca="1" si="10"/>
        <v>0.16529888822158653</v>
      </c>
      <c r="W49">
        <f t="shared" ca="1" si="11"/>
        <v>0.18268352405273461</v>
      </c>
      <c r="X49">
        <f t="shared" ca="1" si="12"/>
        <v>0.20189651799465538</v>
      </c>
      <c r="Y49">
        <f t="shared" ca="1" si="13"/>
        <v>0.22313016014842982</v>
      </c>
      <c r="Z49">
        <f t="shared" ca="1" si="14"/>
        <v>0.24659696394160643</v>
      </c>
      <c r="AA49">
        <f t="shared" ca="1" si="15"/>
        <v>0.27253179303401259</v>
      </c>
      <c r="AB49">
        <f t="shared" ca="1" si="16"/>
        <v>0.30119421191220203</v>
      </c>
      <c r="AC49">
        <f t="shared" ca="1" si="17"/>
        <v>0.33287108369807955</v>
      </c>
      <c r="AD49">
        <f t="shared" ca="1" si="18"/>
        <v>0.36787944117144233</v>
      </c>
      <c r="AE49">
        <f t="shared" ca="1" si="19"/>
        <v>0.40656965974059911</v>
      </c>
      <c r="AF49">
        <f t="shared" ca="1" si="20"/>
        <v>0.44932896411722156</v>
      </c>
      <c r="AG49">
        <f t="shared" ca="1" si="21"/>
        <v>0.49658530379140947</v>
      </c>
      <c r="AH49">
        <f t="shared" ca="1" si="22"/>
        <v>0.54881163609402639</v>
      </c>
      <c r="AI49">
        <f t="shared" ca="1" si="23"/>
        <v>0.60653065971263342</v>
      </c>
      <c r="AJ49">
        <f t="shared" ca="1" si="24"/>
        <v>0.67032004603563933</v>
      </c>
      <c r="AK49">
        <f t="shared" ca="1" si="25"/>
        <v>0.74081822068171788</v>
      </c>
      <c r="AL49">
        <f t="shared" ca="1" si="26"/>
        <v>0.81873075307798182</v>
      </c>
      <c r="AM49">
        <f t="shared" ca="1" si="27"/>
        <v>0.90483741803595952</v>
      </c>
      <c r="AN49">
        <f t="shared" ca="1" si="28"/>
        <v>1</v>
      </c>
      <c r="AO49">
        <f t="shared" ca="1" si="29"/>
        <v>0.90483741803595952</v>
      </c>
      <c r="AP49">
        <f t="shared" ca="1" si="30"/>
        <v>0.81873075307798182</v>
      </c>
      <c r="AQ49">
        <f t="shared" ca="1" si="31"/>
        <v>0.74081822068171788</v>
      </c>
      <c r="AR49">
        <f t="shared" ca="1" si="32"/>
        <v>0.67032004603563933</v>
      </c>
      <c r="AS49">
        <f t="shared" ca="1" si="33"/>
        <v>0.60653065971263342</v>
      </c>
      <c r="AT49">
        <f t="shared" ca="1" si="34"/>
        <v>0.54881163609402639</v>
      </c>
      <c r="AU49">
        <f t="shared" ca="1" si="35"/>
        <v>0.49658530379140947</v>
      </c>
      <c r="AV49">
        <f t="shared" ca="1" si="36"/>
        <v>0.44932896411722156</v>
      </c>
      <c r="AW49">
        <f t="shared" ca="1" si="37"/>
        <v>0.40656965974059911</v>
      </c>
      <c r="AX49">
        <f t="shared" ca="1" si="38"/>
        <v>0.36787944117144233</v>
      </c>
      <c r="AY49">
        <f t="shared" ca="1" si="39"/>
        <v>0.33287108369807955</v>
      </c>
      <c r="AZ49">
        <f t="shared" ca="1" si="40"/>
        <v>0.30119421191220203</v>
      </c>
    </row>
    <row r="50" spans="1:52" ht="15" thickBot="1" x14ac:dyDescent="0.4">
      <c r="A50">
        <v>0.2</v>
      </c>
      <c r="B50" s="9" t="s">
        <v>246</v>
      </c>
      <c r="C50">
        <f t="shared" ca="1" si="1"/>
        <v>2.2370771856165591E-2</v>
      </c>
      <c r="D50">
        <f t="shared" ca="1" si="41"/>
        <v>2.4723526470339388E-2</v>
      </c>
      <c r="E50">
        <f t="shared" ca="1" si="42"/>
        <v>2.7323722447292559E-2</v>
      </c>
      <c r="F50">
        <f t="shared" ca="1" si="43"/>
        <v>3.0197383422318501E-2</v>
      </c>
      <c r="G50">
        <f t="shared" ca="1" si="44"/>
        <v>3.3373269960326066E-2</v>
      </c>
      <c r="H50">
        <f t="shared" ca="1" si="45"/>
        <v>3.6883167401239994E-2</v>
      </c>
      <c r="I50">
        <f t="shared" ca="1" si="46"/>
        <v>4.0762203978366211E-2</v>
      </c>
      <c r="J50">
        <f t="shared" ca="1" si="47"/>
        <v>4.5049202393557801E-2</v>
      </c>
      <c r="K50">
        <f t="shared" ca="1" si="48"/>
        <v>4.9787068367863944E-2</v>
      </c>
      <c r="L50">
        <f t="shared" ca="1" si="49"/>
        <v>5.502322005640721E-2</v>
      </c>
      <c r="M50">
        <f t="shared" ca="1" si="50"/>
        <v>6.0810062625217952E-2</v>
      </c>
      <c r="N50">
        <f t="shared" ca="1" si="2"/>
        <v>6.7205512739749756E-2</v>
      </c>
      <c r="O50">
        <f t="shared" ca="1" si="3"/>
        <v>7.4273578214333877E-2</v>
      </c>
      <c r="P50">
        <f t="shared" ca="1" si="4"/>
        <v>8.20849986238988E-2</v>
      </c>
      <c r="Q50">
        <f t="shared" ca="1" si="5"/>
        <v>9.071795328941247E-2</v>
      </c>
      <c r="R50">
        <f t="shared" ca="1" si="6"/>
        <v>0.10025884372280371</v>
      </c>
      <c r="S50">
        <f t="shared" ca="1" si="7"/>
        <v>0.11080315836233387</v>
      </c>
      <c r="T50">
        <f t="shared" ca="1" si="8"/>
        <v>0.12245642825298191</v>
      </c>
      <c r="U50">
        <f t="shared" ca="1" si="9"/>
        <v>0.1353352832366127</v>
      </c>
      <c r="V50">
        <f t="shared" ca="1" si="10"/>
        <v>0.14956861922263504</v>
      </c>
      <c r="W50">
        <f t="shared" ca="1" si="11"/>
        <v>0.16529888822158653</v>
      </c>
      <c r="X50">
        <f t="shared" ca="1" si="12"/>
        <v>0.18268352405273461</v>
      </c>
      <c r="Y50">
        <f t="shared" ca="1" si="13"/>
        <v>0.20189651799465538</v>
      </c>
      <c r="Z50">
        <f t="shared" ca="1" si="14"/>
        <v>0.22313016014842982</v>
      </c>
      <c r="AA50">
        <f t="shared" ca="1" si="15"/>
        <v>0.24659696394160643</v>
      </c>
      <c r="AB50">
        <f t="shared" ca="1" si="16"/>
        <v>0.27253179303401259</v>
      </c>
      <c r="AC50">
        <f t="shared" ca="1" si="17"/>
        <v>0.30119421191220203</v>
      </c>
      <c r="AD50">
        <f t="shared" ca="1" si="18"/>
        <v>0.33287108369807955</v>
      </c>
      <c r="AE50">
        <f t="shared" ca="1" si="19"/>
        <v>0.36787944117144233</v>
      </c>
      <c r="AF50">
        <f t="shared" ca="1" si="20"/>
        <v>0.40656965974059911</v>
      </c>
      <c r="AG50">
        <f t="shared" ca="1" si="21"/>
        <v>0.44932896411722156</v>
      </c>
      <c r="AH50">
        <f t="shared" ca="1" si="22"/>
        <v>0.49658530379140947</v>
      </c>
      <c r="AI50">
        <f t="shared" ca="1" si="23"/>
        <v>0.54881163609402639</v>
      </c>
      <c r="AJ50">
        <f t="shared" ca="1" si="24"/>
        <v>0.60653065971263342</v>
      </c>
      <c r="AK50">
        <f t="shared" ca="1" si="25"/>
        <v>0.67032004603563933</v>
      </c>
      <c r="AL50">
        <f t="shared" ca="1" si="26"/>
        <v>0.74081822068171788</v>
      </c>
      <c r="AM50">
        <f t="shared" ca="1" si="27"/>
        <v>0.81873075307798182</v>
      </c>
      <c r="AN50">
        <f t="shared" ca="1" si="28"/>
        <v>0.90483741803595952</v>
      </c>
      <c r="AO50">
        <f t="shared" ca="1" si="29"/>
        <v>1</v>
      </c>
      <c r="AP50">
        <f t="shared" ca="1" si="30"/>
        <v>0.90483741803595952</v>
      </c>
      <c r="AQ50">
        <f t="shared" ca="1" si="31"/>
        <v>0.81873075307798182</v>
      </c>
      <c r="AR50">
        <f t="shared" ca="1" si="32"/>
        <v>0.74081822068171788</v>
      </c>
      <c r="AS50">
        <f t="shared" ca="1" si="33"/>
        <v>0.67032004603563933</v>
      </c>
      <c r="AT50">
        <f t="shared" ca="1" si="34"/>
        <v>0.60653065971263342</v>
      </c>
      <c r="AU50">
        <f t="shared" ca="1" si="35"/>
        <v>0.54881163609402639</v>
      </c>
      <c r="AV50">
        <f t="shared" ca="1" si="36"/>
        <v>0.49658530379140947</v>
      </c>
      <c r="AW50">
        <f t="shared" ca="1" si="37"/>
        <v>0.44932896411722156</v>
      </c>
      <c r="AX50">
        <f t="shared" ca="1" si="38"/>
        <v>0.40656965974059911</v>
      </c>
      <c r="AY50">
        <f t="shared" ca="1" si="39"/>
        <v>0.36787944117144233</v>
      </c>
      <c r="AZ50">
        <f t="shared" ca="1" si="40"/>
        <v>0.33287108369807955</v>
      </c>
    </row>
    <row r="51" spans="1:52" ht="15" thickBot="1" x14ac:dyDescent="0.4">
      <c r="A51">
        <v>0.2</v>
      </c>
      <c r="B51" s="9" t="s">
        <v>247</v>
      </c>
      <c r="C51">
        <f t="shared" ca="1" si="1"/>
        <v>2.0241911445804381E-2</v>
      </c>
      <c r="D51">
        <f t="shared" ca="1" si="41"/>
        <v>2.2370771856165591E-2</v>
      </c>
      <c r="E51">
        <f t="shared" ca="1" si="42"/>
        <v>2.4723526470339388E-2</v>
      </c>
      <c r="F51">
        <f t="shared" ca="1" si="43"/>
        <v>2.7323722447292559E-2</v>
      </c>
      <c r="G51">
        <f t="shared" ca="1" si="44"/>
        <v>3.0197383422318501E-2</v>
      </c>
      <c r="H51">
        <f t="shared" ca="1" si="45"/>
        <v>3.3373269960326066E-2</v>
      </c>
      <c r="I51">
        <f t="shared" ca="1" si="46"/>
        <v>3.6883167401239994E-2</v>
      </c>
      <c r="J51">
        <f t="shared" ca="1" si="47"/>
        <v>4.0762203978366211E-2</v>
      </c>
      <c r="K51">
        <f t="shared" ca="1" si="48"/>
        <v>4.5049202393557801E-2</v>
      </c>
      <c r="L51">
        <f t="shared" ca="1" si="49"/>
        <v>4.9787068367863944E-2</v>
      </c>
      <c r="M51">
        <f t="shared" ca="1" si="50"/>
        <v>5.502322005640721E-2</v>
      </c>
      <c r="N51">
        <f t="shared" ca="1" si="2"/>
        <v>6.0810062625217952E-2</v>
      </c>
      <c r="O51">
        <f t="shared" ca="1" si="3"/>
        <v>6.7205512739749756E-2</v>
      </c>
      <c r="P51">
        <f t="shared" ca="1" si="4"/>
        <v>7.4273578214333877E-2</v>
      </c>
      <c r="Q51">
        <f t="shared" ca="1" si="5"/>
        <v>8.20849986238988E-2</v>
      </c>
      <c r="R51">
        <f t="shared" ca="1" si="6"/>
        <v>9.071795328941247E-2</v>
      </c>
      <c r="S51">
        <f t="shared" ca="1" si="7"/>
        <v>0.10025884372280371</v>
      </c>
      <c r="T51">
        <f t="shared" ca="1" si="8"/>
        <v>0.11080315836233387</v>
      </c>
      <c r="U51">
        <f t="shared" ca="1" si="9"/>
        <v>0.12245642825298191</v>
      </c>
      <c r="V51">
        <f t="shared" ca="1" si="10"/>
        <v>0.1353352832366127</v>
      </c>
      <c r="W51">
        <f t="shared" ca="1" si="11"/>
        <v>0.14956861922263504</v>
      </c>
      <c r="X51">
        <f t="shared" ca="1" si="12"/>
        <v>0.16529888822158653</v>
      </c>
      <c r="Y51">
        <f t="shared" ca="1" si="13"/>
        <v>0.18268352405273461</v>
      </c>
      <c r="Z51">
        <f t="shared" ca="1" si="14"/>
        <v>0.20189651799465538</v>
      </c>
      <c r="AA51">
        <f t="shared" ca="1" si="15"/>
        <v>0.22313016014842982</v>
      </c>
      <c r="AB51">
        <f t="shared" ca="1" si="16"/>
        <v>0.24659696394160643</v>
      </c>
      <c r="AC51">
        <f t="shared" ca="1" si="17"/>
        <v>0.27253179303401259</v>
      </c>
      <c r="AD51">
        <f t="shared" ca="1" si="18"/>
        <v>0.30119421191220203</v>
      </c>
      <c r="AE51">
        <f t="shared" ca="1" si="19"/>
        <v>0.33287108369807955</v>
      </c>
      <c r="AF51">
        <f t="shared" ca="1" si="20"/>
        <v>0.36787944117144233</v>
      </c>
      <c r="AG51">
        <f t="shared" ca="1" si="21"/>
        <v>0.40656965974059911</v>
      </c>
      <c r="AH51">
        <f t="shared" ca="1" si="22"/>
        <v>0.44932896411722156</v>
      </c>
      <c r="AI51">
        <f t="shared" ca="1" si="23"/>
        <v>0.49658530379140947</v>
      </c>
      <c r="AJ51">
        <f t="shared" ca="1" si="24"/>
        <v>0.54881163609402639</v>
      </c>
      <c r="AK51">
        <f t="shared" ca="1" si="25"/>
        <v>0.60653065971263342</v>
      </c>
      <c r="AL51">
        <f t="shared" ca="1" si="26"/>
        <v>0.67032004603563933</v>
      </c>
      <c r="AM51">
        <f t="shared" ca="1" si="27"/>
        <v>0.74081822068171788</v>
      </c>
      <c r="AN51">
        <f t="shared" ca="1" si="28"/>
        <v>0.81873075307798182</v>
      </c>
      <c r="AO51">
        <f t="shared" ca="1" si="29"/>
        <v>0.90483741803595952</v>
      </c>
      <c r="AP51">
        <f t="shared" ca="1" si="30"/>
        <v>1</v>
      </c>
      <c r="AQ51">
        <f t="shared" ca="1" si="31"/>
        <v>0.90483741803595952</v>
      </c>
      <c r="AR51">
        <f t="shared" ca="1" si="32"/>
        <v>0.81873075307798182</v>
      </c>
      <c r="AS51">
        <f t="shared" ca="1" si="33"/>
        <v>0.74081822068171788</v>
      </c>
      <c r="AT51">
        <f t="shared" ca="1" si="34"/>
        <v>0.67032004603563933</v>
      </c>
      <c r="AU51">
        <f t="shared" ca="1" si="35"/>
        <v>0.60653065971263342</v>
      </c>
      <c r="AV51">
        <f t="shared" ca="1" si="36"/>
        <v>0.54881163609402639</v>
      </c>
      <c r="AW51">
        <f t="shared" ca="1" si="37"/>
        <v>0.49658530379140947</v>
      </c>
      <c r="AX51">
        <f t="shared" ca="1" si="38"/>
        <v>0.44932896411722156</v>
      </c>
      <c r="AY51">
        <f t="shared" ca="1" si="39"/>
        <v>0.40656965974059911</v>
      </c>
      <c r="AZ51">
        <f t="shared" ca="1" si="40"/>
        <v>0.36787944117144233</v>
      </c>
    </row>
    <row r="52" spans="1:52" ht="15" thickBot="1" x14ac:dyDescent="0.4">
      <c r="A52">
        <v>0.2</v>
      </c>
      <c r="B52" s="9" t="s">
        <v>248</v>
      </c>
      <c r="C52">
        <f t="shared" ca="1" si="1"/>
        <v>1.8315638888734179E-2</v>
      </c>
      <c r="D52">
        <f t="shared" ca="1" si="41"/>
        <v>2.0241911445804381E-2</v>
      </c>
      <c r="E52">
        <f t="shared" ca="1" si="42"/>
        <v>2.2370771856165591E-2</v>
      </c>
      <c r="F52">
        <f t="shared" ca="1" si="43"/>
        <v>2.4723526470339388E-2</v>
      </c>
      <c r="G52">
        <f t="shared" ca="1" si="44"/>
        <v>2.7323722447292559E-2</v>
      </c>
      <c r="H52">
        <f t="shared" ca="1" si="45"/>
        <v>3.0197383422318501E-2</v>
      </c>
      <c r="I52">
        <f t="shared" ca="1" si="46"/>
        <v>3.3373269960326066E-2</v>
      </c>
      <c r="J52">
        <f t="shared" ca="1" si="47"/>
        <v>3.6883167401239994E-2</v>
      </c>
      <c r="K52">
        <f t="shared" ca="1" si="48"/>
        <v>4.0762203978366211E-2</v>
      </c>
      <c r="L52">
        <f t="shared" ca="1" si="49"/>
        <v>4.5049202393557801E-2</v>
      </c>
      <c r="M52">
        <f t="shared" ca="1" si="50"/>
        <v>4.9787068367863944E-2</v>
      </c>
      <c r="N52">
        <f t="shared" ca="1" si="2"/>
        <v>5.502322005640721E-2</v>
      </c>
      <c r="O52">
        <f t="shared" ca="1" si="3"/>
        <v>6.0810062625217952E-2</v>
      </c>
      <c r="P52">
        <f t="shared" ca="1" si="4"/>
        <v>6.7205512739749756E-2</v>
      </c>
      <c r="Q52">
        <f t="shared" ca="1" si="5"/>
        <v>7.4273578214333877E-2</v>
      </c>
      <c r="R52">
        <f t="shared" ca="1" si="6"/>
        <v>8.20849986238988E-2</v>
      </c>
      <c r="S52">
        <f t="shared" ca="1" si="7"/>
        <v>9.071795328941247E-2</v>
      </c>
      <c r="T52">
        <f t="shared" ca="1" si="8"/>
        <v>0.10025884372280371</v>
      </c>
      <c r="U52">
        <f t="shared" ca="1" si="9"/>
        <v>0.11080315836233387</v>
      </c>
      <c r="V52">
        <f t="shared" ca="1" si="10"/>
        <v>0.12245642825298191</v>
      </c>
      <c r="W52">
        <f t="shared" ca="1" si="11"/>
        <v>0.1353352832366127</v>
      </c>
      <c r="X52">
        <f t="shared" ca="1" si="12"/>
        <v>0.14956861922263504</v>
      </c>
      <c r="Y52">
        <f t="shared" ca="1" si="13"/>
        <v>0.16529888822158653</v>
      </c>
      <c r="Z52">
        <f t="shared" ca="1" si="14"/>
        <v>0.18268352405273461</v>
      </c>
      <c r="AA52">
        <f t="shared" ca="1" si="15"/>
        <v>0.20189651799465538</v>
      </c>
      <c r="AB52">
        <f t="shared" ca="1" si="16"/>
        <v>0.22313016014842982</v>
      </c>
      <c r="AC52">
        <f t="shared" ca="1" si="17"/>
        <v>0.24659696394160643</v>
      </c>
      <c r="AD52">
        <f t="shared" ca="1" si="18"/>
        <v>0.27253179303401259</v>
      </c>
      <c r="AE52">
        <f t="shared" ca="1" si="19"/>
        <v>0.30119421191220203</v>
      </c>
      <c r="AF52">
        <f t="shared" ca="1" si="20"/>
        <v>0.33287108369807955</v>
      </c>
      <c r="AG52">
        <f t="shared" ca="1" si="21"/>
        <v>0.36787944117144233</v>
      </c>
      <c r="AH52">
        <f t="shared" ca="1" si="22"/>
        <v>0.40656965974059911</v>
      </c>
      <c r="AI52">
        <f t="shared" ca="1" si="23"/>
        <v>0.44932896411722156</v>
      </c>
      <c r="AJ52">
        <f t="shared" ca="1" si="24"/>
        <v>0.49658530379140947</v>
      </c>
      <c r="AK52">
        <f t="shared" ca="1" si="25"/>
        <v>0.54881163609402639</v>
      </c>
      <c r="AL52">
        <f t="shared" ca="1" si="26"/>
        <v>0.60653065971263342</v>
      </c>
      <c r="AM52">
        <f t="shared" ca="1" si="27"/>
        <v>0.67032004603563933</v>
      </c>
      <c r="AN52">
        <f t="shared" ca="1" si="28"/>
        <v>0.74081822068171788</v>
      </c>
      <c r="AO52">
        <f t="shared" ca="1" si="29"/>
        <v>0.81873075307798182</v>
      </c>
      <c r="AP52">
        <f t="shared" ca="1" si="30"/>
        <v>0.90483741803595952</v>
      </c>
      <c r="AQ52">
        <f t="shared" ca="1" si="31"/>
        <v>1</v>
      </c>
      <c r="AR52">
        <f t="shared" ca="1" si="32"/>
        <v>0.90483741803595952</v>
      </c>
      <c r="AS52">
        <f t="shared" ca="1" si="33"/>
        <v>0.81873075307798182</v>
      </c>
      <c r="AT52">
        <f t="shared" ca="1" si="34"/>
        <v>0.74081822068171788</v>
      </c>
      <c r="AU52">
        <f t="shared" ca="1" si="35"/>
        <v>0.67032004603563933</v>
      </c>
      <c r="AV52">
        <f t="shared" ca="1" si="36"/>
        <v>0.60653065971263342</v>
      </c>
      <c r="AW52">
        <f t="shared" ca="1" si="37"/>
        <v>0.54881163609402639</v>
      </c>
      <c r="AX52">
        <f t="shared" ca="1" si="38"/>
        <v>0.49658530379140947</v>
      </c>
      <c r="AY52">
        <f t="shared" ca="1" si="39"/>
        <v>0.44932896411722156</v>
      </c>
      <c r="AZ52">
        <f t="shared" ca="1" si="40"/>
        <v>0.40656965974059911</v>
      </c>
    </row>
    <row r="53" spans="1:52" ht="15" thickBot="1" x14ac:dyDescent="0.4">
      <c r="A53">
        <v>0.2</v>
      </c>
      <c r="B53" s="9" t="s">
        <v>249</v>
      </c>
      <c r="C53">
        <f t="shared" ca="1" si="1"/>
        <v>1.6572675401761237E-2</v>
      </c>
      <c r="D53">
        <f t="shared" ca="1" si="41"/>
        <v>1.8315638888734179E-2</v>
      </c>
      <c r="E53">
        <f t="shared" ca="1" si="42"/>
        <v>2.0241911445804381E-2</v>
      </c>
      <c r="F53">
        <f t="shared" ca="1" si="43"/>
        <v>2.2370771856165591E-2</v>
      </c>
      <c r="G53">
        <f t="shared" ca="1" si="44"/>
        <v>2.4723526470339388E-2</v>
      </c>
      <c r="H53">
        <f t="shared" ca="1" si="45"/>
        <v>2.7323722447292559E-2</v>
      </c>
      <c r="I53">
        <f t="shared" ca="1" si="46"/>
        <v>3.0197383422318501E-2</v>
      </c>
      <c r="J53">
        <f t="shared" ca="1" si="47"/>
        <v>3.3373269960326066E-2</v>
      </c>
      <c r="K53">
        <f t="shared" ca="1" si="48"/>
        <v>3.6883167401239994E-2</v>
      </c>
      <c r="L53">
        <f t="shared" ca="1" si="49"/>
        <v>4.0762203978366211E-2</v>
      </c>
      <c r="M53">
        <f t="shared" ca="1" si="50"/>
        <v>4.5049202393557801E-2</v>
      </c>
      <c r="N53">
        <f t="shared" ca="1" si="2"/>
        <v>4.9787068367863944E-2</v>
      </c>
      <c r="O53">
        <f t="shared" ca="1" si="3"/>
        <v>5.502322005640721E-2</v>
      </c>
      <c r="P53">
        <f t="shared" ca="1" si="4"/>
        <v>6.0810062625217952E-2</v>
      </c>
      <c r="Q53">
        <f t="shared" ca="1" si="5"/>
        <v>6.7205512739749756E-2</v>
      </c>
      <c r="R53">
        <f t="shared" ca="1" si="6"/>
        <v>7.4273578214333877E-2</v>
      </c>
      <c r="S53">
        <f t="shared" ca="1" si="7"/>
        <v>8.20849986238988E-2</v>
      </c>
      <c r="T53">
        <f t="shared" ca="1" si="8"/>
        <v>9.071795328941247E-2</v>
      </c>
      <c r="U53">
        <f t="shared" ca="1" si="9"/>
        <v>0.10025884372280371</v>
      </c>
      <c r="V53">
        <f t="shared" ca="1" si="10"/>
        <v>0.11080315836233387</v>
      </c>
      <c r="W53">
        <f t="shared" ca="1" si="11"/>
        <v>0.12245642825298191</v>
      </c>
      <c r="X53">
        <f t="shared" ca="1" si="12"/>
        <v>0.1353352832366127</v>
      </c>
      <c r="Y53">
        <f t="shared" ca="1" si="13"/>
        <v>0.14956861922263504</v>
      </c>
      <c r="Z53">
        <f t="shared" ca="1" si="14"/>
        <v>0.16529888822158653</v>
      </c>
      <c r="AA53">
        <f t="shared" ca="1" si="15"/>
        <v>0.18268352405273461</v>
      </c>
      <c r="AB53">
        <f t="shared" ca="1" si="16"/>
        <v>0.20189651799465538</v>
      </c>
      <c r="AC53">
        <f t="shared" ca="1" si="17"/>
        <v>0.22313016014842982</v>
      </c>
      <c r="AD53">
        <f t="shared" ca="1" si="18"/>
        <v>0.24659696394160643</v>
      </c>
      <c r="AE53">
        <f t="shared" ca="1" si="19"/>
        <v>0.27253179303401259</v>
      </c>
      <c r="AF53">
        <f t="shared" ca="1" si="20"/>
        <v>0.30119421191220203</v>
      </c>
      <c r="AG53">
        <f t="shared" ca="1" si="21"/>
        <v>0.33287108369807955</v>
      </c>
      <c r="AH53">
        <f t="shared" ca="1" si="22"/>
        <v>0.36787944117144233</v>
      </c>
      <c r="AI53">
        <f t="shared" ca="1" si="23"/>
        <v>0.40656965974059911</v>
      </c>
      <c r="AJ53">
        <f t="shared" ca="1" si="24"/>
        <v>0.44932896411722156</v>
      </c>
      <c r="AK53">
        <f t="shared" ca="1" si="25"/>
        <v>0.49658530379140947</v>
      </c>
      <c r="AL53">
        <f t="shared" ca="1" si="26"/>
        <v>0.54881163609402639</v>
      </c>
      <c r="AM53">
        <f t="shared" ca="1" si="27"/>
        <v>0.60653065971263342</v>
      </c>
      <c r="AN53">
        <f t="shared" ca="1" si="28"/>
        <v>0.67032004603563933</v>
      </c>
      <c r="AO53">
        <f t="shared" ca="1" si="29"/>
        <v>0.74081822068171788</v>
      </c>
      <c r="AP53">
        <f t="shared" ca="1" si="30"/>
        <v>0.81873075307798182</v>
      </c>
      <c r="AQ53">
        <f t="shared" ca="1" si="31"/>
        <v>0.90483741803595952</v>
      </c>
      <c r="AR53">
        <f t="shared" ca="1" si="32"/>
        <v>1</v>
      </c>
      <c r="AS53">
        <f t="shared" ca="1" si="33"/>
        <v>0.90483741803595952</v>
      </c>
      <c r="AT53">
        <f t="shared" ca="1" si="34"/>
        <v>0.81873075307798182</v>
      </c>
      <c r="AU53">
        <f t="shared" ca="1" si="35"/>
        <v>0.74081822068171788</v>
      </c>
      <c r="AV53">
        <f t="shared" ca="1" si="36"/>
        <v>0.67032004603563933</v>
      </c>
      <c r="AW53">
        <f t="shared" ca="1" si="37"/>
        <v>0.60653065971263342</v>
      </c>
      <c r="AX53">
        <f t="shared" ca="1" si="38"/>
        <v>0.54881163609402639</v>
      </c>
      <c r="AY53">
        <f t="shared" ca="1" si="39"/>
        <v>0.49658530379140947</v>
      </c>
      <c r="AZ53">
        <f t="shared" ca="1" si="40"/>
        <v>0.44932896411722156</v>
      </c>
    </row>
    <row r="54" spans="1:52" ht="15" thickBot="1" x14ac:dyDescent="0.4">
      <c r="A54">
        <v>0.2</v>
      </c>
      <c r="B54" s="9" t="s">
        <v>250</v>
      </c>
      <c r="C54">
        <f t="shared" ca="1" si="1"/>
        <v>1.4995576820477703E-2</v>
      </c>
      <c r="D54">
        <f t="shared" ca="1" si="41"/>
        <v>1.6572675401761237E-2</v>
      </c>
      <c r="E54">
        <f t="shared" ca="1" si="42"/>
        <v>1.8315638888734179E-2</v>
      </c>
      <c r="F54">
        <f t="shared" ca="1" si="43"/>
        <v>2.0241911445804381E-2</v>
      </c>
      <c r="G54">
        <f t="shared" ca="1" si="44"/>
        <v>2.2370771856165591E-2</v>
      </c>
      <c r="H54">
        <f t="shared" ca="1" si="45"/>
        <v>2.4723526470339388E-2</v>
      </c>
      <c r="I54">
        <f t="shared" ca="1" si="46"/>
        <v>2.7323722447292559E-2</v>
      </c>
      <c r="J54">
        <f t="shared" ca="1" si="47"/>
        <v>3.0197383422318501E-2</v>
      </c>
      <c r="K54">
        <f t="shared" ca="1" si="48"/>
        <v>3.3373269960326066E-2</v>
      </c>
      <c r="L54">
        <f t="shared" ca="1" si="49"/>
        <v>3.6883167401239994E-2</v>
      </c>
      <c r="M54">
        <f t="shared" ca="1" si="50"/>
        <v>4.0762203978366211E-2</v>
      </c>
      <c r="N54">
        <f t="shared" ca="1" si="2"/>
        <v>4.5049202393557801E-2</v>
      </c>
      <c r="O54">
        <f t="shared" ca="1" si="3"/>
        <v>4.9787068367863944E-2</v>
      </c>
      <c r="P54">
        <f t="shared" ca="1" si="4"/>
        <v>5.502322005640721E-2</v>
      </c>
      <c r="Q54">
        <f t="shared" ca="1" si="5"/>
        <v>6.0810062625217952E-2</v>
      </c>
      <c r="R54">
        <f t="shared" ca="1" si="6"/>
        <v>6.7205512739749756E-2</v>
      </c>
      <c r="S54">
        <f t="shared" ca="1" si="7"/>
        <v>7.4273578214333877E-2</v>
      </c>
      <c r="T54">
        <f t="shared" ca="1" si="8"/>
        <v>8.20849986238988E-2</v>
      </c>
      <c r="U54">
        <f t="shared" ca="1" si="9"/>
        <v>9.071795328941247E-2</v>
      </c>
      <c r="V54">
        <f t="shared" ca="1" si="10"/>
        <v>0.10025884372280371</v>
      </c>
      <c r="W54">
        <f t="shared" ca="1" si="11"/>
        <v>0.11080315836233387</v>
      </c>
      <c r="X54">
        <f t="shared" ca="1" si="12"/>
        <v>0.12245642825298191</v>
      </c>
      <c r="Y54">
        <f t="shared" ca="1" si="13"/>
        <v>0.1353352832366127</v>
      </c>
      <c r="Z54">
        <f t="shared" ca="1" si="14"/>
        <v>0.14956861922263504</v>
      </c>
      <c r="AA54">
        <f t="shared" ca="1" si="15"/>
        <v>0.16529888822158653</v>
      </c>
      <c r="AB54">
        <f t="shared" ca="1" si="16"/>
        <v>0.18268352405273461</v>
      </c>
      <c r="AC54">
        <f t="shared" ca="1" si="17"/>
        <v>0.20189651799465538</v>
      </c>
      <c r="AD54">
        <f t="shared" ca="1" si="18"/>
        <v>0.22313016014842982</v>
      </c>
      <c r="AE54">
        <f t="shared" ca="1" si="19"/>
        <v>0.24659696394160643</v>
      </c>
      <c r="AF54">
        <f t="shared" ca="1" si="20"/>
        <v>0.27253179303401259</v>
      </c>
      <c r="AG54">
        <f t="shared" ca="1" si="21"/>
        <v>0.30119421191220203</v>
      </c>
      <c r="AH54">
        <f t="shared" ca="1" si="22"/>
        <v>0.33287108369807955</v>
      </c>
      <c r="AI54">
        <f t="shared" ca="1" si="23"/>
        <v>0.36787944117144233</v>
      </c>
      <c r="AJ54">
        <f t="shared" ca="1" si="24"/>
        <v>0.40656965974059911</v>
      </c>
      <c r="AK54">
        <f t="shared" ca="1" si="25"/>
        <v>0.44932896411722156</v>
      </c>
      <c r="AL54">
        <f t="shared" ca="1" si="26"/>
        <v>0.49658530379140947</v>
      </c>
      <c r="AM54">
        <f t="shared" ca="1" si="27"/>
        <v>0.54881163609402639</v>
      </c>
      <c r="AN54">
        <f t="shared" ca="1" si="28"/>
        <v>0.60653065971263342</v>
      </c>
      <c r="AO54">
        <f t="shared" ca="1" si="29"/>
        <v>0.67032004603563933</v>
      </c>
      <c r="AP54">
        <f t="shared" ca="1" si="30"/>
        <v>0.74081822068171788</v>
      </c>
      <c r="AQ54">
        <f t="shared" ca="1" si="31"/>
        <v>0.81873075307798182</v>
      </c>
      <c r="AR54">
        <f t="shared" ca="1" si="32"/>
        <v>0.90483741803595952</v>
      </c>
      <c r="AS54">
        <f t="shared" ca="1" si="33"/>
        <v>1</v>
      </c>
      <c r="AT54">
        <f t="shared" ca="1" si="34"/>
        <v>0.90483741803595952</v>
      </c>
      <c r="AU54">
        <f t="shared" ca="1" si="35"/>
        <v>0.81873075307798182</v>
      </c>
      <c r="AV54">
        <f t="shared" ca="1" si="36"/>
        <v>0.74081822068171788</v>
      </c>
      <c r="AW54">
        <f t="shared" ca="1" si="37"/>
        <v>0.67032004603563933</v>
      </c>
      <c r="AX54">
        <f t="shared" ca="1" si="38"/>
        <v>0.60653065971263342</v>
      </c>
      <c r="AY54">
        <f t="shared" ca="1" si="39"/>
        <v>0.54881163609402639</v>
      </c>
      <c r="AZ54">
        <f t="shared" ca="1" si="40"/>
        <v>0.49658530379140947</v>
      </c>
    </row>
    <row r="55" spans="1:52" ht="15" thickBot="1" x14ac:dyDescent="0.4">
      <c r="A55">
        <v>0.2</v>
      </c>
      <c r="B55" s="9" t="s">
        <v>251</v>
      </c>
      <c r="C55">
        <f t="shared" ca="1" si="1"/>
        <v>1.3568559012200934E-2</v>
      </c>
      <c r="D55">
        <f t="shared" ca="1" si="41"/>
        <v>1.4995576820477703E-2</v>
      </c>
      <c r="E55">
        <f t="shared" ca="1" si="42"/>
        <v>1.6572675401761237E-2</v>
      </c>
      <c r="F55">
        <f t="shared" ca="1" si="43"/>
        <v>1.8315638888734179E-2</v>
      </c>
      <c r="G55">
        <f t="shared" ca="1" si="44"/>
        <v>2.0241911445804381E-2</v>
      </c>
      <c r="H55">
        <f t="shared" ca="1" si="45"/>
        <v>2.2370771856165591E-2</v>
      </c>
      <c r="I55">
        <f t="shared" ca="1" si="46"/>
        <v>2.4723526470339388E-2</v>
      </c>
      <c r="J55">
        <f t="shared" ca="1" si="47"/>
        <v>2.7323722447292559E-2</v>
      </c>
      <c r="K55">
        <f t="shared" ca="1" si="48"/>
        <v>3.0197383422318501E-2</v>
      </c>
      <c r="L55">
        <f t="shared" ca="1" si="49"/>
        <v>3.3373269960326066E-2</v>
      </c>
      <c r="M55">
        <f t="shared" ca="1" si="50"/>
        <v>3.6883167401239994E-2</v>
      </c>
      <c r="N55">
        <f t="shared" ca="1" si="2"/>
        <v>4.0762203978366211E-2</v>
      </c>
      <c r="O55">
        <f t="shared" ca="1" si="3"/>
        <v>4.5049202393557801E-2</v>
      </c>
      <c r="P55">
        <f t="shared" ca="1" si="4"/>
        <v>4.9787068367863944E-2</v>
      </c>
      <c r="Q55">
        <f t="shared" ca="1" si="5"/>
        <v>5.502322005640721E-2</v>
      </c>
      <c r="R55">
        <f t="shared" ca="1" si="6"/>
        <v>6.0810062625217952E-2</v>
      </c>
      <c r="S55">
        <f t="shared" ca="1" si="7"/>
        <v>6.7205512739749756E-2</v>
      </c>
      <c r="T55">
        <f t="shared" ca="1" si="8"/>
        <v>7.4273578214333877E-2</v>
      </c>
      <c r="U55">
        <f t="shared" ca="1" si="9"/>
        <v>8.20849986238988E-2</v>
      </c>
      <c r="V55">
        <f t="shared" ca="1" si="10"/>
        <v>9.071795328941247E-2</v>
      </c>
      <c r="W55">
        <f t="shared" ca="1" si="11"/>
        <v>0.10025884372280371</v>
      </c>
      <c r="X55">
        <f t="shared" ca="1" si="12"/>
        <v>0.11080315836233387</v>
      </c>
      <c r="Y55">
        <f t="shared" ca="1" si="13"/>
        <v>0.12245642825298191</v>
      </c>
      <c r="Z55">
        <f t="shared" ca="1" si="14"/>
        <v>0.1353352832366127</v>
      </c>
      <c r="AA55">
        <f t="shared" ca="1" si="15"/>
        <v>0.14956861922263504</v>
      </c>
      <c r="AB55">
        <f t="shared" ca="1" si="16"/>
        <v>0.16529888822158653</v>
      </c>
      <c r="AC55">
        <f t="shared" ca="1" si="17"/>
        <v>0.18268352405273461</v>
      </c>
      <c r="AD55">
        <f t="shared" ca="1" si="18"/>
        <v>0.20189651799465538</v>
      </c>
      <c r="AE55">
        <f t="shared" ca="1" si="19"/>
        <v>0.22313016014842982</v>
      </c>
      <c r="AF55">
        <f t="shared" ca="1" si="20"/>
        <v>0.24659696394160643</v>
      </c>
      <c r="AG55">
        <f t="shared" ca="1" si="21"/>
        <v>0.27253179303401259</v>
      </c>
      <c r="AH55">
        <f t="shared" ca="1" si="22"/>
        <v>0.30119421191220203</v>
      </c>
      <c r="AI55">
        <f t="shared" ca="1" si="23"/>
        <v>0.33287108369807955</v>
      </c>
      <c r="AJ55">
        <f t="shared" ca="1" si="24"/>
        <v>0.36787944117144233</v>
      </c>
      <c r="AK55">
        <f t="shared" ca="1" si="25"/>
        <v>0.40656965974059911</v>
      </c>
      <c r="AL55">
        <f t="shared" ca="1" si="26"/>
        <v>0.44932896411722156</v>
      </c>
      <c r="AM55">
        <f t="shared" ca="1" si="27"/>
        <v>0.49658530379140947</v>
      </c>
      <c r="AN55">
        <f t="shared" ca="1" si="28"/>
        <v>0.54881163609402639</v>
      </c>
      <c r="AO55">
        <f t="shared" ca="1" si="29"/>
        <v>0.60653065971263342</v>
      </c>
      <c r="AP55">
        <f t="shared" ca="1" si="30"/>
        <v>0.67032004603563933</v>
      </c>
      <c r="AQ55">
        <f t="shared" ca="1" si="31"/>
        <v>0.74081822068171788</v>
      </c>
      <c r="AR55">
        <f t="shared" ca="1" si="32"/>
        <v>0.81873075307798182</v>
      </c>
      <c r="AS55">
        <f t="shared" ca="1" si="33"/>
        <v>0.90483741803595952</v>
      </c>
      <c r="AT55">
        <f t="shared" ca="1" si="34"/>
        <v>1</v>
      </c>
      <c r="AU55">
        <f t="shared" ca="1" si="35"/>
        <v>0.90483741803595952</v>
      </c>
      <c r="AV55">
        <f t="shared" ca="1" si="36"/>
        <v>0.81873075307798182</v>
      </c>
      <c r="AW55">
        <f t="shared" ca="1" si="37"/>
        <v>0.74081822068171788</v>
      </c>
      <c r="AX55">
        <f t="shared" ca="1" si="38"/>
        <v>0.67032004603563933</v>
      </c>
      <c r="AY55">
        <f t="shared" ca="1" si="39"/>
        <v>0.60653065971263342</v>
      </c>
      <c r="AZ55">
        <f t="shared" ca="1" si="40"/>
        <v>0.54881163609402639</v>
      </c>
    </row>
    <row r="56" spans="1:52" ht="15" thickBot="1" x14ac:dyDescent="0.4">
      <c r="A56">
        <v>0.2</v>
      </c>
      <c r="B56" s="9" t="s">
        <v>252</v>
      </c>
      <c r="C56">
        <f t="shared" ca="1" si="1"/>
        <v>1.2277339903068436E-2</v>
      </c>
      <c r="D56">
        <f t="shared" ca="1" si="41"/>
        <v>1.3568559012200934E-2</v>
      </c>
      <c r="E56">
        <f t="shared" ca="1" si="42"/>
        <v>1.4995576820477703E-2</v>
      </c>
      <c r="F56">
        <f t="shared" ca="1" si="43"/>
        <v>1.6572675401761237E-2</v>
      </c>
      <c r="G56">
        <f t="shared" ca="1" si="44"/>
        <v>1.8315638888734179E-2</v>
      </c>
      <c r="H56">
        <f t="shared" ca="1" si="45"/>
        <v>2.0241911445804381E-2</v>
      </c>
      <c r="I56">
        <f t="shared" ca="1" si="46"/>
        <v>2.2370771856165591E-2</v>
      </c>
      <c r="J56">
        <f t="shared" ca="1" si="47"/>
        <v>2.4723526470339388E-2</v>
      </c>
      <c r="K56">
        <f t="shared" ca="1" si="48"/>
        <v>2.7323722447292559E-2</v>
      </c>
      <c r="L56">
        <f t="shared" ca="1" si="49"/>
        <v>3.0197383422318501E-2</v>
      </c>
      <c r="M56">
        <f t="shared" ca="1" si="50"/>
        <v>3.3373269960326066E-2</v>
      </c>
      <c r="N56">
        <f t="shared" ca="1" si="2"/>
        <v>3.6883167401239994E-2</v>
      </c>
      <c r="O56">
        <f t="shared" ca="1" si="3"/>
        <v>4.0762203978366211E-2</v>
      </c>
      <c r="P56">
        <f t="shared" ca="1" si="4"/>
        <v>4.5049202393557801E-2</v>
      </c>
      <c r="Q56">
        <f t="shared" ca="1" si="5"/>
        <v>4.9787068367863944E-2</v>
      </c>
      <c r="R56">
        <f t="shared" ca="1" si="6"/>
        <v>5.502322005640721E-2</v>
      </c>
      <c r="S56">
        <f t="shared" ca="1" si="7"/>
        <v>6.0810062625217952E-2</v>
      </c>
      <c r="T56">
        <f t="shared" ca="1" si="8"/>
        <v>6.7205512739749756E-2</v>
      </c>
      <c r="U56">
        <f t="shared" ca="1" si="9"/>
        <v>7.4273578214333877E-2</v>
      </c>
      <c r="V56">
        <f t="shared" ca="1" si="10"/>
        <v>8.20849986238988E-2</v>
      </c>
      <c r="W56">
        <f t="shared" ca="1" si="11"/>
        <v>9.071795328941247E-2</v>
      </c>
      <c r="X56">
        <f t="shared" ca="1" si="12"/>
        <v>0.10025884372280371</v>
      </c>
      <c r="Y56">
        <f t="shared" ca="1" si="13"/>
        <v>0.11080315836233387</v>
      </c>
      <c r="Z56">
        <f t="shared" ca="1" si="14"/>
        <v>0.12245642825298191</v>
      </c>
      <c r="AA56">
        <f t="shared" ca="1" si="15"/>
        <v>0.1353352832366127</v>
      </c>
      <c r="AB56">
        <f t="shared" ca="1" si="16"/>
        <v>0.14956861922263504</v>
      </c>
      <c r="AC56">
        <f t="shared" ca="1" si="17"/>
        <v>0.16529888822158653</v>
      </c>
      <c r="AD56">
        <f t="shared" ca="1" si="18"/>
        <v>0.18268352405273461</v>
      </c>
      <c r="AE56">
        <f t="shared" ca="1" si="19"/>
        <v>0.20189651799465538</v>
      </c>
      <c r="AF56">
        <f t="shared" ca="1" si="20"/>
        <v>0.22313016014842982</v>
      </c>
      <c r="AG56">
        <f t="shared" ca="1" si="21"/>
        <v>0.24659696394160643</v>
      </c>
      <c r="AH56">
        <f t="shared" ca="1" si="22"/>
        <v>0.27253179303401259</v>
      </c>
      <c r="AI56">
        <f t="shared" ca="1" si="23"/>
        <v>0.30119421191220203</v>
      </c>
      <c r="AJ56">
        <f t="shared" ca="1" si="24"/>
        <v>0.33287108369807955</v>
      </c>
      <c r="AK56">
        <f t="shared" ca="1" si="25"/>
        <v>0.36787944117144233</v>
      </c>
      <c r="AL56">
        <f t="shared" ca="1" si="26"/>
        <v>0.40656965974059911</v>
      </c>
      <c r="AM56">
        <f t="shared" ca="1" si="27"/>
        <v>0.44932896411722156</v>
      </c>
      <c r="AN56">
        <f t="shared" ca="1" si="28"/>
        <v>0.49658530379140947</v>
      </c>
      <c r="AO56">
        <f t="shared" ca="1" si="29"/>
        <v>0.54881163609402639</v>
      </c>
      <c r="AP56">
        <f t="shared" ca="1" si="30"/>
        <v>0.60653065971263342</v>
      </c>
      <c r="AQ56">
        <f t="shared" ca="1" si="31"/>
        <v>0.67032004603563933</v>
      </c>
      <c r="AR56">
        <f t="shared" ca="1" si="32"/>
        <v>0.74081822068171788</v>
      </c>
      <c r="AS56">
        <f t="shared" ca="1" si="33"/>
        <v>0.81873075307798182</v>
      </c>
      <c r="AT56">
        <f t="shared" ca="1" si="34"/>
        <v>0.90483741803595952</v>
      </c>
      <c r="AU56">
        <f t="shared" ca="1" si="35"/>
        <v>1</v>
      </c>
      <c r="AV56">
        <f t="shared" ca="1" si="36"/>
        <v>0.90483741803595952</v>
      </c>
      <c r="AW56">
        <f t="shared" ca="1" si="37"/>
        <v>0.81873075307798182</v>
      </c>
      <c r="AX56">
        <f t="shared" ca="1" si="38"/>
        <v>0.74081822068171788</v>
      </c>
      <c r="AY56">
        <f t="shared" ca="1" si="39"/>
        <v>0.67032004603563933</v>
      </c>
      <c r="AZ56">
        <f t="shared" ca="1" si="40"/>
        <v>0.60653065971263342</v>
      </c>
    </row>
    <row r="57" spans="1:52" ht="15" thickBot="1" x14ac:dyDescent="0.4">
      <c r="A57">
        <v>0.2</v>
      </c>
      <c r="B57" s="9" t="s">
        <v>253</v>
      </c>
      <c r="C57">
        <f t="shared" ca="1" si="1"/>
        <v>1.1108996538242306E-2</v>
      </c>
      <c r="D57">
        <f t="shared" ca="1" si="41"/>
        <v>1.2277339903068436E-2</v>
      </c>
      <c r="E57">
        <f t="shared" ca="1" si="42"/>
        <v>1.3568559012200934E-2</v>
      </c>
      <c r="F57">
        <f t="shared" ca="1" si="43"/>
        <v>1.4995576820477703E-2</v>
      </c>
      <c r="G57">
        <f t="shared" ca="1" si="44"/>
        <v>1.6572675401761237E-2</v>
      </c>
      <c r="H57">
        <f t="shared" ca="1" si="45"/>
        <v>1.8315638888734179E-2</v>
      </c>
      <c r="I57">
        <f t="shared" ca="1" si="46"/>
        <v>2.0241911445804381E-2</v>
      </c>
      <c r="J57">
        <f t="shared" ca="1" si="47"/>
        <v>2.2370771856165591E-2</v>
      </c>
      <c r="K57">
        <f t="shared" ca="1" si="48"/>
        <v>2.4723526470339388E-2</v>
      </c>
      <c r="L57">
        <f t="shared" ca="1" si="49"/>
        <v>2.7323722447292559E-2</v>
      </c>
      <c r="M57">
        <f t="shared" ca="1" si="50"/>
        <v>3.0197383422318501E-2</v>
      </c>
      <c r="N57">
        <f t="shared" ca="1" si="2"/>
        <v>3.3373269960326066E-2</v>
      </c>
      <c r="O57">
        <f t="shared" ca="1" si="3"/>
        <v>3.6883167401239994E-2</v>
      </c>
      <c r="P57">
        <f t="shared" ca="1" si="4"/>
        <v>4.0762203978366211E-2</v>
      </c>
      <c r="Q57">
        <f t="shared" ca="1" si="5"/>
        <v>4.5049202393557801E-2</v>
      </c>
      <c r="R57">
        <f t="shared" ca="1" si="6"/>
        <v>4.9787068367863944E-2</v>
      </c>
      <c r="S57">
        <f t="shared" ca="1" si="7"/>
        <v>5.502322005640721E-2</v>
      </c>
      <c r="T57">
        <f t="shared" ca="1" si="8"/>
        <v>6.0810062625217952E-2</v>
      </c>
      <c r="U57">
        <f t="shared" ca="1" si="9"/>
        <v>6.7205512739749756E-2</v>
      </c>
      <c r="V57">
        <f t="shared" ca="1" si="10"/>
        <v>7.4273578214333877E-2</v>
      </c>
      <c r="W57">
        <f t="shared" ca="1" si="11"/>
        <v>8.20849986238988E-2</v>
      </c>
      <c r="X57">
        <f t="shared" ca="1" si="12"/>
        <v>9.071795328941247E-2</v>
      </c>
      <c r="Y57">
        <f t="shared" ca="1" si="13"/>
        <v>0.10025884372280371</v>
      </c>
      <c r="Z57">
        <f t="shared" ca="1" si="14"/>
        <v>0.11080315836233387</v>
      </c>
      <c r="AA57">
        <f t="shared" ca="1" si="15"/>
        <v>0.12245642825298191</v>
      </c>
      <c r="AB57">
        <f t="shared" ca="1" si="16"/>
        <v>0.1353352832366127</v>
      </c>
      <c r="AC57">
        <f t="shared" ca="1" si="17"/>
        <v>0.14956861922263504</v>
      </c>
      <c r="AD57">
        <f t="shared" ca="1" si="18"/>
        <v>0.16529888822158653</v>
      </c>
      <c r="AE57">
        <f t="shared" ca="1" si="19"/>
        <v>0.18268352405273461</v>
      </c>
      <c r="AF57">
        <f t="shared" ca="1" si="20"/>
        <v>0.20189651799465538</v>
      </c>
      <c r="AG57">
        <f t="shared" ca="1" si="21"/>
        <v>0.22313016014842982</v>
      </c>
      <c r="AH57">
        <f t="shared" ca="1" si="22"/>
        <v>0.24659696394160643</v>
      </c>
      <c r="AI57">
        <f t="shared" ca="1" si="23"/>
        <v>0.27253179303401259</v>
      </c>
      <c r="AJ57">
        <f t="shared" ca="1" si="24"/>
        <v>0.30119421191220203</v>
      </c>
      <c r="AK57">
        <f t="shared" ca="1" si="25"/>
        <v>0.33287108369807955</v>
      </c>
      <c r="AL57">
        <f t="shared" ca="1" si="26"/>
        <v>0.36787944117144233</v>
      </c>
      <c r="AM57">
        <f t="shared" ca="1" si="27"/>
        <v>0.40656965974059911</v>
      </c>
      <c r="AN57">
        <f t="shared" ca="1" si="28"/>
        <v>0.44932896411722156</v>
      </c>
      <c r="AO57">
        <f t="shared" ca="1" si="29"/>
        <v>0.49658530379140947</v>
      </c>
      <c r="AP57">
        <f t="shared" ca="1" si="30"/>
        <v>0.54881163609402639</v>
      </c>
      <c r="AQ57">
        <f t="shared" ca="1" si="31"/>
        <v>0.60653065971263342</v>
      </c>
      <c r="AR57">
        <f t="shared" ca="1" si="32"/>
        <v>0.67032004603563933</v>
      </c>
      <c r="AS57">
        <f t="shared" ca="1" si="33"/>
        <v>0.74081822068171788</v>
      </c>
      <c r="AT57">
        <f t="shared" ca="1" si="34"/>
        <v>0.81873075307798182</v>
      </c>
      <c r="AU57">
        <f t="shared" ca="1" si="35"/>
        <v>0.90483741803595952</v>
      </c>
      <c r="AV57">
        <f t="shared" ca="1" si="36"/>
        <v>1</v>
      </c>
      <c r="AW57">
        <f t="shared" ca="1" si="37"/>
        <v>0.90483741803595952</v>
      </c>
      <c r="AX57">
        <f t="shared" ca="1" si="38"/>
        <v>0.81873075307798182</v>
      </c>
      <c r="AY57">
        <f t="shared" ca="1" si="39"/>
        <v>0.74081822068171788</v>
      </c>
      <c r="AZ57">
        <f t="shared" ca="1" si="40"/>
        <v>0.67032004603563933</v>
      </c>
    </row>
    <row r="58" spans="1:52" ht="15" thickBot="1" x14ac:dyDescent="0.4">
      <c r="A58">
        <v>0.2</v>
      </c>
      <c r="B58" s="9" t="s">
        <v>254</v>
      </c>
      <c r="C58">
        <f t="shared" ca="1" si="1"/>
        <v>1.0051835744633576E-2</v>
      </c>
      <c r="D58">
        <f t="shared" ca="1" si="41"/>
        <v>1.1108996538242306E-2</v>
      </c>
      <c r="E58">
        <f t="shared" ca="1" si="42"/>
        <v>1.2277339903068436E-2</v>
      </c>
      <c r="F58">
        <f t="shared" ca="1" si="43"/>
        <v>1.3568559012200934E-2</v>
      </c>
      <c r="G58">
        <f t="shared" ca="1" si="44"/>
        <v>1.4995576820477703E-2</v>
      </c>
      <c r="H58">
        <f t="shared" ca="1" si="45"/>
        <v>1.6572675401761237E-2</v>
      </c>
      <c r="I58">
        <f t="shared" ca="1" si="46"/>
        <v>1.8315638888734179E-2</v>
      </c>
      <c r="J58">
        <f t="shared" ca="1" si="47"/>
        <v>2.0241911445804381E-2</v>
      </c>
      <c r="K58">
        <f t="shared" ca="1" si="48"/>
        <v>2.2370771856165591E-2</v>
      </c>
      <c r="L58">
        <f t="shared" ca="1" si="49"/>
        <v>2.4723526470339388E-2</v>
      </c>
      <c r="M58">
        <f t="shared" ca="1" si="50"/>
        <v>2.7323722447292559E-2</v>
      </c>
      <c r="N58">
        <f t="shared" ca="1" si="2"/>
        <v>3.0197383422318501E-2</v>
      </c>
      <c r="O58">
        <f t="shared" ca="1" si="3"/>
        <v>3.3373269960326066E-2</v>
      </c>
      <c r="P58">
        <f t="shared" ca="1" si="4"/>
        <v>3.6883167401239994E-2</v>
      </c>
      <c r="Q58">
        <f t="shared" ca="1" si="5"/>
        <v>4.0762203978366211E-2</v>
      </c>
      <c r="R58">
        <f t="shared" ca="1" si="6"/>
        <v>4.5049202393557801E-2</v>
      </c>
      <c r="S58">
        <f t="shared" ca="1" si="7"/>
        <v>4.9787068367863944E-2</v>
      </c>
      <c r="T58">
        <f t="shared" ca="1" si="8"/>
        <v>5.502322005640721E-2</v>
      </c>
      <c r="U58">
        <f t="shared" ca="1" si="9"/>
        <v>6.0810062625217952E-2</v>
      </c>
      <c r="V58">
        <f t="shared" ca="1" si="10"/>
        <v>6.7205512739749756E-2</v>
      </c>
      <c r="W58">
        <f t="shared" ca="1" si="11"/>
        <v>7.4273578214333877E-2</v>
      </c>
      <c r="X58">
        <f t="shared" ca="1" si="12"/>
        <v>8.20849986238988E-2</v>
      </c>
      <c r="Y58">
        <f t="shared" ca="1" si="13"/>
        <v>9.071795328941247E-2</v>
      </c>
      <c r="Z58">
        <f t="shared" ca="1" si="14"/>
        <v>0.10025884372280371</v>
      </c>
      <c r="AA58">
        <f t="shared" ca="1" si="15"/>
        <v>0.11080315836233387</v>
      </c>
      <c r="AB58">
        <f t="shared" ca="1" si="16"/>
        <v>0.12245642825298191</v>
      </c>
      <c r="AC58">
        <f t="shared" ca="1" si="17"/>
        <v>0.1353352832366127</v>
      </c>
      <c r="AD58">
        <f t="shared" ca="1" si="18"/>
        <v>0.14956861922263504</v>
      </c>
      <c r="AE58">
        <f t="shared" ca="1" si="19"/>
        <v>0.16529888822158653</v>
      </c>
      <c r="AF58">
        <f t="shared" ca="1" si="20"/>
        <v>0.18268352405273461</v>
      </c>
      <c r="AG58">
        <f t="shared" ca="1" si="21"/>
        <v>0.20189651799465538</v>
      </c>
      <c r="AH58">
        <f t="shared" ca="1" si="22"/>
        <v>0.22313016014842982</v>
      </c>
      <c r="AI58">
        <f t="shared" ca="1" si="23"/>
        <v>0.24659696394160643</v>
      </c>
      <c r="AJ58">
        <f t="shared" ca="1" si="24"/>
        <v>0.27253179303401259</v>
      </c>
      <c r="AK58">
        <f t="shared" ca="1" si="25"/>
        <v>0.30119421191220203</v>
      </c>
      <c r="AL58">
        <f t="shared" ca="1" si="26"/>
        <v>0.33287108369807955</v>
      </c>
      <c r="AM58">
        <f t="shared" ca="1" si="27"/>
        <v>0.36787944117144233</v>
      </c>
      <c r="AN58">
        <f t="shared" ca="1" si="28"/>
        <v>0.40656965974059911</v>
      </c>
      <c r="AO58">
        <f t="shared" ca="1" si="29"/>
        <v>0.44932896411722156</v>
      </c>
      <c r="AP58">
        <f t="shared" ca="1" si="30"/>
        <v>0.49658530379140947</v>
      </c>
      <c r="AQ58">
        <f t="shared" ca="1" si="31"/>
        <v>0.54881163609402639</v>
      </c>
      <c r="AR58">
        <f t="shared" ca="1" si="32"/>
        <v>0.60653065971263342</v>
      </c>
      <c r="AS58">
        <f t="shared" ca="1" si="33"/>
        <v>0.67032004603563933</v>
      </c>
      <c r="AT58">
        <f t="shared" ca="1" si="34"/>
        <v>0.74081822068171788</v>
      </c>
      <c r="AU58">
        <f t="shared" ca="1" si="35"/>
        <v>0.81873075307798182</v>
      </c>
      <c r="AV58">
        <f t="shared" ca="1" si="36"/>
        <v>0.90483741803595952</v>
      </c>
      <c r="AW58">
        <f t="shared" ca="1" si="37"/>
        <v>1</v>
      </c>
      <c r="AX58">
        <f t="shared" ca="1" si="38"/>
        <v>0.90483741803595952</v>
      </c>
      <c r="AY58">
        <f t="shared" ca="1" si="39"/>
        <v>0.81873075307798182</v>
      </c>
      <c r="AZ58">
        <f t="shared" ca="1" si="40"/>
        <v>0.74081822068171788</v>
      </c>
    </row>
    <row r="59" spans="1:52" ht="15" thickBot="1" x14ac:dyDescent="0.4">
      <c r="A59">
        <v>0.2</v>
      </c>
      <c r="B59" s="9" t="s">
        <v>255</v>
      </c>
      <c r="C59">
        <f t="shared" ca="1" si="1"/>
        <v>9.0952771016958155E-3</v>
      </c>
      <c r="D59">
        <f t="shared" ca="1" si="41"/>
        <v>1.0051835744633576E-2</v>
      </c>
      <c r="E59">
        <f t="shared" ca="1" si="42"/>
        <v>1.1108996538242306E-2</v>
      </c>
      <c r="F59">
        <f t="shared" ca="1" si="43"/>
        <v>1.2277339903068436E-2</v>
      </c>
      <c r="G59">
        <f t="shared" ca="1" si="44"/>
        <v>1.3568559012200934E-2</v>
      </c>
      <c r="H59">
        <f t="shared" ca="1" si="45"/>
        <v>1.4995576820477703E-2</v>
      </c>
      <c r="I59">
        <f t="shared" ca="1" si="46"/>
        <v>1.6572675401761237E-2</v>
      </c>
      <c r="J59">
        <f t="shared" ca="1" si="47"/>
        <v>1.8315638888734179E-2</v>
      </c>
      <c r="K59">
        <f t="shared" ca="1" si="48"/>
        <v>2.0241911445804381E-2</v>
      </c>
      <c r="L59">
        <f t="shared" ca="1" si="49"/>
        <v>2.2370771856165591E-2</v>
      </c>
      <c r="M59">
        <f t="shared" ca="1" si="50"/>
        <v>2.4723526470339388E-2</v>
      </c>
      <c r="N59">
        <f t="shared" ca="1" si="2"/>
        <v>2.7323722447292559E-2</v>
      </c>
      <c r="O59">
        <f t="shared" ca="1" si="3"/>
        <v>3.0197383422318501E-2</v>
      </c>
      <c r="P59">
        <f t="shared" ca="1" si="4"/>
        <v>3.3373269960326066E-2</v>
      </c>
      <c r="Q59">
        <f t="shared" ca="1" si="5"/>
        <v>3.6883167401239994E-2</v>
      </c>
      <c r="R59">
        <f t="shared" ca="1" si="6"/>
        <v>4.0762203978366211E-2</v>
      </c>
      <c r="S59">
        <f t="shared" ca="1" si="7"/>
        <v>4.5049202393557801E-2</v>
      </c>
      <c r="T59">
        <f t="shared" ca="1" si="8"/>
        <v>4.9787068367863944E-2</v>
      </c>
      <c r="U59">
        <f t="shared" ca="1" si="9"/>
        <v>5.502322005640721E-2</v>
      </c>
      <c r="V59">
        <f t="shared" ca="1" si="10"/>
        <v>6.0810062625217952E-2</v>
      </c>
      <c r="W59">
        <f t="shared" ca="1" si="11"/>
        <v>6.7205512739749756E-2</v>
      </c>
      <c r="X59">
        <f t="shared" ca="1" si="12"/>
        <v>7.4273578214333877E-2</v>
      </c>
      <c r="Y59">
        <f t="shared" ca="1" si="13"/>
        <v>8.20849986238988E-2</v>
      </c>
      <c r="Z59">
        <f t="shared" ca="1" si="14"/>
        <v>9.071795328941247E-2</v>
      </c>
      <c r="AA59">
        <f t="shared" ca="1" si="15"/>
        <v>0.10025884372280371</v>
      </c>
      <c r="AB59">
        <f t="shared" ca="1" si="16"/>
        <v>0.11080315836233387</v>
      </c>
      <c r="AC59">
        <f t="shared" ca="1" si="17"/>
        <v>0.12245642825298191</v>
      </c>
      <c r="AD59">
        <f t="shared" ca="1" si="18"/>
        <v>0.1353352832366127</v>
      </c>
      <c r="AE59">
        <f t="shared" ca="1" si="19"/>
        <v>0.14956861922263504</v>
      </c>
      <c r="AF59">
        <f t="shared" ca="1" si="20"/>
        <v>0.16529888822158653</v>
      </c>
      <c r="AG59">
        <f t="shared" ca="1" si="21"/>
        <v>0.18268352405273461</v>
      </c>
      <c r="AH59">
        <f t="shared" ca="1" si="22"/>
        <v>0.20189651799465538</v>
      </c>
      <c r="AI59">
        <f t="shared" ca="1" si="23"/>
        <v>0.22313016014842982</v>
      </c>
      <c r="AJ59">
        <f t="shared" ca="1" si="24"/>
        <v>0.24659696394160643</v>
      </c>
      <c r="AK59">
        <f t="shared" ca="1" si="25"/>
        <v>0.27253179303401259</v>
      </c>
      <c r="AL59">
        <f t="shared" ca="1" si="26"/>
        <v>0.30119421191220203</v>
      </c>
      <c r="AM59">
        <f t="shared" ca="1" si="27"/>
        <v>0.33287108369807955</v>
      </c>
      <c r="AN59">
        <f t="shared" ca="1" si="28"/>
        <v>0.36787944117144233</v>
      </c>
      <c r="AO59">
        <f t="shared" ca="1" si="29"/>
        <v>0.40656965974059911</v>
      </c>
      <c r="AP59">
        <f t="shared" ca="1" si="30"/>
        <v>0.44932896411722156</v>
      </c>
      <c r="AQ59">
        <f t="shared" ca="1" si="31"/>
        <v>0.49658530379140947</v>
      </c>
      <c r="AR59">
        <f t="shared" ca="1" si="32"/>
        <v>0.54881163609402639</v>
      </c>
      <c r="AS59">
        <f t="shared" ca="1" si="33"/>
        <v>0.60653065971263342</v>
      </c>
      <c r="AT59">
        <f t="shared" ca="1" si="34"/>
        <v>0.67032004603563933</v>
      </c>
      <c r="AU59">
        <f t="shared" ca="1" si="35"/>
        <v>0.74081822068171788</v>
      </c>
      <c r="AV59">
        <f t="shared" ca="1" si="36"/>
        <v>0.81873075307798182</v>
      </c>
      <c r="AW59">
        <f t="shared" ca="1" si="37"/>
        <v>0.90483741803595952</v>
      </c>
      <c r="AX59">
        <f t="shared" ca="1" si="38"/>
        <v>1</v>
      </c>
      <c r="AY59">
        <f t="shared" ca="1" si="39"/>
        <v>0.90483741803595952</v>
      </c>
      <c r="AZ59">
        <f t="shared" ca="1" si="40"/>
        <v>0.81873075307798182</v>
      </c>
    </row>
    <row r="60" spans="1:52" ht="15" thickBot="1" x14ac:dyDescent="0.4">
      <c r="A60">
        <v>0.2</v>
      </c>
      <c r="B60" s="9" t="s">
        <v>256</v>
      </c>
      <c r="C60">
        <f t="shared" ca="1" si="1"/>
        <v>8.2297470490200232E-3</v>
      </c>
      <c r="D60">
        <f t="shared" ca="1" si="41"/>
        <v>9.0952771016958155E-3</v>
      </c>
      <c r="E60">
        <f t="shared" ca="1" si="42"/>
        <v>1.0051835744633576E-2</v>
      </c>
      <c r="F60">
        <f t="shared" ca="1" si="43"/>
        <v>1.1108996538242306E-2</v>
      </c>
      <c r="G60">
        <f t="shared" ca="1" si="44"/>
        <v>1.2277339903068436E-2</v>
      </c>
      <c r="H60">
        <f t="shared" ca="1" si="45"/>
        <v>1.3568559012200934E-2</v>
      </c>
      <c r="I60">
        <f t="shared" ca="1" si="46"/>
        <v>1.4995576820477703E-2</v>
      </c>
      <c r="J60">
        <f t="shared" ca="1" si="47"/>
        <v>1.6572675401761237E-2</v>
      </c>
      <c r="K60">
        <f t="shared" ca="1" si="48"/>
        <v>1.8315638888734179E-2</v>
      </c>
      <c r="L60">
        <f t="shared" ca="1" si="49"/>
        <v>2.0241911445804381E-2</v>
      </c>
      <c r="M60">
        <f t="shared" ca="1" si="50"/>
        <v>2.2370771856165591E-2</v>
      </c>
      <c r="N60">
        <f t="shared" ca="1" si="2"/>
        <v>2.4723526470339388E-2</v>
      </c>
      <c r="O60">
        <f t="shared" ca="1" si="3"/>
        <v>2.7323722447292559E-2</v>
      </c>
      <c r="P60">
        <f t="shared" ca="1" si="4"/>
        <v>3.0197383422318501E-2</v>
      </c>
      <c r="Q60">
        <f t="shared" ca="1" si="5"/>
        <v>3.3373269960326066E-2</v>
      </c>
      <c r="R60">
        <f t="shared" ca="1" si="6"/>
        <v>3.6883167401239994E-2</v>
      </c>
      <c r="S60">
        <f t="shared" ca="1" si="7"/>
        <v>4.0762203978366211E-2</v>
      </c>
      <c r="T60">
        <f t="shared" ca="1" si="8"/>
        <v>4.5049202393557801E-2</v>
      </c>
      <c r="U60">
        <f t="shared" ca="1" si="9"/>
        <v>4.9787068367863944E-2</v>
      </c>
      <c r="V60">
        <f t="shared" ca="1" si="10"/>
        <v>5.502322005640721E-2</v>
      </c>
      <c r="W60">
        <f t="shared" ca="1" si="11"/>
        <v>6.0810062625217952E-2</v>
      </c>
      <c r="X60">
        <f t="shared" ca="1" si="12"/>
        <v>6.7205512739749756E-2</v>
      </c>
      <c r="Y60">
        <f t="shared" ca="1" si="13"/>
        <v>7.4273578214333877E-2</v>
      </c>
      <c r="Z60">
        <f t="shared" ca="1" si="14"/>
        <v>8.20849986238988E-2</v>
      </c>
      <c r="AA60">
        <f t="shared" ca="1" si="15"/>
        <v>9.071795328941247E-2</v>
      </c>
      <c r="AB60">
        <f t="shared" ca="1" si="16"/>
        <v>0.10025884372280371</v>
      </c>
      <c r="AC60">
        <f t="shared" ca="1" si="17"/>
        <v>0.11080315836233387</v>
      </c>
      <c r="AD60">
        <f t="shared" ca="1" si="18"/>
        <v>0.12245642825298191</v>
      </c>
      <c r="AE60">
        <f t="shared" ca="1" si="19"/>
        <v>0.1353352832366127</v>
      </c>
      <c r="AF60">
        <f t="shared" ca="1" si="20"/>
        <v>0.14956861922263504</v>
      </c>
      <c r="AG60">
        <f t="shared" ca="1" si="21"/>
        <v>0.16529888822158653</v>
      </c>
      <c r="AH60">
        <f t="shared" ca="1" si="22"/>
        <v>0.18268352405273461</v>
      </c>
      <c r="AI60">
        <f t="shared" ca="1" si="23"/>
        <v>0.20189651799465538</v>
      </c>
      <c r="AJ60">
        <f t="shared" ca="1" si="24"/>
        <v>0.22313016014842982</v>
      </c>
      <c r="AK60">
        <f t="shared" ca="1" si="25"/>
        <v>0.24659696394160643</v>
      </c>
      <c r="AL60">
        <f t="shared" ca="1" si="26"/>
        <v>0.27253179303401259</v>
      </c>
      <c r="AM60">
        <f t="shared" ca="1" si="27"/>
        <v>0.30119421191220203</v>
      </c>
      <c r="AN60">
        <f t="shared" ca="1" si="28"/>
        <v>0.33287108369807955</v>
      </c>
      <c r="AO60">
        <f t="shared" ca="1" si="29"/>
        <v>0.36787944117144233</v>
      </c>
      <c r="AP60">
        <f t="shared" ca="1" si="30"/>
        <v>0.40656965974059911</v>
      </c>
      <c r="AQ60">
        <f t="shared" ca="1" si="31"/>
        <v>0.44932896411722156</v>
      </c>
      <c r="AR60">
        <f t="shared" ca="1" si="32"/>
        <v>0.49658530379140947</v>
      </c>
      <c r="AS60">
        <f t="shared" ca="1" si="33"/>
        <v>0.54881163609402639</v>
      </c>
      <c r="AT60">
        <f t="shared" ca="1" si="34"/>
        <v>0.60653065971263342</v>
      </c>
      <c r="AU60">
        <f t="shared" ca="1" si="35"/>
        <v>0.67032004603563933</v>
      </c>
      <c r="AV60">
        <f t="shared" ca="1" si="36"/>
        <v>0.74081822068171788</v>
      </c>
      <c r="AW60">
        <f t="shared" ca="1" si="37"/>
        <v>0.81873075307798182</v>
      </c>
      <c r="AX60">
        <f t="shared" ca="1" si="38"/>
        <v>0.90483741803595952</v>
      </c>
      <c r="AY60">
        <f t="shared" ca="1" si="39"/>
        <v>1</v>
      </c>
      <c r="AZ60">
        <f t="shared" ca="1" si="40"/>
        <v>0.90483741803595952</v>
      </c>
    </row>
    <row r="61" spans="1:52" ht="15" thickBot="1" x14ac:dyDescent="0.4">
      <c r="A61">
        <v>0.2</v>
      </c>
      <c r="B61" s="9" t="s">
        <v>258</v>
      </c>
      <c r="C61">
        <f t="shared" ca="1" si="1"/>
        <v>7.4465830709243381E-3</v>
      </c>
      <c r="D61">
        <f t="shared" ca="1" si="41"/>
        <v>8.2297470490200232E-3</v>
      </c>
      <c r="E61">
        <f t="shared" ca="1" si="42"/>
        <v>9.0952771016958155E-3</v>
      </c>
      <c r="F61">
        <f t="shared" ca="1" si="43"/>
        <v>1.0051835744633576E-2</v>
      </c>
      <c r="G61">
        <f t="shared" ca="1" si="44"/>
        <v>1.1108996538242306E-2</v>
      </c>
      <c r="H61">
        <f t="shared" ca="1" si="45"/>
        <v>1.2277339903068436E-2</v>
      </c>
      <c r="I61">
        <f t="shared" ca="1" si="46"/>
        <v>1.3568559012200934E-2</v>
      </c>
      <c r="J61">
        <f t="shared" ca="1" si="47"/>
        <v>1.4995576820477703E-2</v>
      </c>
      <c r="K61">
        <f t="shared" ca="1" si="48"/>
        <v>1.6572675401761237E-2</v>
      </c>
      <c r="L61">
        <f t="shared" ca="1" si="49"/>
        <v>1.8315638888734179E-2</v>
      </c>
      <c r="M61">
        <f t="shared" ca="1" si="50"/>
        <v>2.0241911445804381E-2</v>
      </c>
      <c r="N61">
        <f t="shared" ca="1" si="2"/>
        <v>2.2370771856165591E-2</v>
      </c>
      <c r="O61">
        <f t="shared" ca="1" si="3"/>
        <v>2.4723526470339388E-2</v>
      </c>
      <c r="P61">
        <f t="shared" ca="1" si="4"/>
        <v>2.7323722447292559E-2</v>
      </c>
      <c r="Q61">
        <f t="shared" ca="1" si="5"/>
        <v>3.0197383422318501E-2</v>
      </c>
      <c r="R61">
        <f t="shared" ca="1" si="6"/>
        <v>3.3373269960326066E-2</v>
      </c>
      <c r="S61">
        <f t="shared" ca="1" si="7"/>
        <v>3.6883167401239994E-2</v>
      </c>
      <c r="T61">
        <f t="shared" ca="1" si="8"/>
        <v>4.0762203978366211E-2</v>
      </c>
      <c r="U61">
        <f t="shared" ca="1" si="9"/>
        <v>4.5049202393557801E-2</v>
      </c>
      <c r="V61">
        <f t="shared" ca="1" si="10"/>
        <v>4.9787068367863944E-2</v>
      </c>
      <c r="W61">
        <f t="shared" ca="1" si="11"/>
        <v>5.502322005640721E-2</v>
      </c>
      <c r="X61">
        <f t="shared" ca="1" si="12"/>
        <v>6.0810062625217952E-2</v>
      </c>
      <c r="Y61">
        <f t="shared" ca="1" si="13"/>
        <v>6.7205512739749756E-2</v>
      </c>
      <c r="Z61">
        <f t="shared" ca="1" si="14"/>
        <v>7.4273578214333877E-2</v>
      </c>
      <c r="AA61">
        <f t="shared" ca="1" si="15"/>
        <v>8.20849986238988E-2</v>
      </c>
      <c r="AB61">
        <f t="shared" ca="1" si="16"/>
        <v>9.071795328941247E-2</v>
      </c>
      <c r="AC61">
        <f t="shared" ca="1" si="17"/>
        <v>0.10025884372280371</v>
      </c>
      <c r="AD61">
        <f t="shared" ca="1" si="18"/>
        <v>0.11080315836233387</v>
      </c>
      <c r="AE61">
        <f t="shared" ca="1" si="19"/>
        <v>0.12245642825298191</v>
      </c>
      <c r="AF61">
        <f t="shared" ca="1" si="20"/>
        <v>0.1353352832366127</v>
      </c>
      <c r="AG61">
        <f t="shared" ca="1" si="21"/>
        <v>0.14956861922263504</v>
      </c>
      <c r="AH61">
        <f t="shared" ca="1" si="22"/>
        <v>0.16529888822158653</v>
      </c>
      <c r="AI61">
        <f t="shared" ca="1" si="23"/>
        <v>0.18268352405273461</v>
      </c>
      <c r="AJ61">
        <f t="shared" ca="1" si="24"/>
        <v>0.20189651799465538</v>
      </c>
      <c r="AK61">
        <f t="shared" ca="1" si="25"/>
        <v>0.22313016014842982</v>
      </c>
      <c r="AL61">
        <f t="shared" ca="1" si="26"/>
        <v>0.24659696394160643</v>
      </c>
      <c r="AM61">
        <f t="shared" ca="1" si="27"/>
        <v>0.27253179303401259</v>
      </c>
      <c r="AN61">
        <f t="shared" ca="1" si="28"/>
        <v>0.30119421191220203</v>
      </c>
      <c r="AO61">
        <f t="shared" ca="1" si="29"/>
        <v>0.33287108369807955</v>
      </c>
      <c r="AP61">
        <f t="shared" ca="1" si="30"/>
        <v>0.36787944117144233</v>
      </c>
      <c r="AQ61">
        <f t="shared" ca="1" si="31"/>
        <v>0.40656965974059911</v>
      </c>
      <c r="AR61">
        <f t="shared" ca="1" si="32"/>
        <v>0.44932896411722156</v>
      </c>
      <c r="AS61">
        <f t="shared" ca="1" si="33"/>
        <v>0.49658530379140947</v>
      </c>
      <c r="AT61">
        <f t="shared" ca="1" si="34"/>
        <v>0.54881163609402639</v>
      </c>
      <c r="AU61">
        <f t="shared" ca="1" si="35"/>
        <v>0.60653065971263342</v>
      </c>
      <c r="AV61">
        <f t="shared" ca="1" si="36"/>
        <v>0.67032004603563933</v>
      </c>
      <c r="AW61">
        <f t="shared" ca="1" si="37"/>
        <v>0.74081822068171788</v>
      </c>
      <c r="AX61">
        <f t="shared" ca="1" si="38"/>
        <v>0.81873075307798182</v>
      </c>
      <c r="AY61">
        <f t="shared" ca="1" si="39"/>
        <v>0.90483741803595952</v>
      </c>
      <c r="AZ61">
        <f t="shared" ca="1" si="40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T154"/>
  <sheetViews>
    <sheetView tabSelected="1" topLeftCell="A10" workbookViewId="0">
      <selection activeCell="I8" sqref="I8"/>
    </sheetView>
  </sheetViews>
  <sheetFormatPr defaultRowHeight="14.5" x14ac:dyDescent="0.35"/>
  <cols>
    <col min="1" max="2" width="13" bestFit="1" customWidth="1"/>
    <col min="3" max="3" width="7.453125" bestFit="1" customWidth="1"/>
    <col min="4" max="4" width="6.1796875" bestFit="1" customWidth="1"/>
    <col min="5" max="5" width="17.1796875" bestFit="1" customWidth="1"/>
    <col min="6" max="6" width="15.90625" bestFit="1" customWidth="1"/>
    <col min="7" max="7" width="18.81640625" bestFit="1" customWidth="1"/>
    <col min="8" max="8" width="13.36328125" bestFit="1" customWidth="1"/>
    <col min="9" max="9" width="13.36328125" customWidth="1"/>
    <col min="10" max="10" width="14.1796875" bestFit="1" customWidth="1"/>
    <col min="11" max="11" width="9.54296875" bestFit="1" customWidth="1"/>
    <col min="12" max="12" width="9.54296875" customWidth="1"/>
    <col min="13" max="13" width="13.36328125" bestFit="1" customWidth="1"/>
    <col min="14" max="14" width="13.36328125" customWidth="1"/>
    <col min="15" max="15" width="17.36328125" bestFit="1" customWidth="1"/>
    <col min="16" max="16" width="14.54296875" customWidth="1"/>
    <col min="17" max="17" width="3.81640625" customWidth="1"/>
  </cols>
  <sheetData>
    <row r="1" spans="1:20" ht="15" thickBot="1" x14ac:dyDescent="0.4">
      <c r="A1" s="9" t="s">
        <v>190</v>
      </c>
      <c r="B1" t="s">
        <v>39</v>
      </c>
      <c r="E1" s="15" t="s">
        <v>290</v>
      </c>
      <c r="F1" s="18" t="str">
        <f ca="1">H9</f>
        <v>OBJ_8562452</v>
      </c>
    </row>
    <row r="2" spans="1:20" ht="15" thickBot="1" x14ac:dyDescent="0.4">
      <c r="A2" s="9" t="s">
        <v>191</v>
      </c>
      <c r="B2" t="s">
        <v>144</v>
      </c>
      <c r="E2" s="15" t="s">
        <v>289</v>
      </c>
      <c r="F2" s="18" t="str">
        <f ca="1">_xll.MonteCarloPricingSetting.New(F3,F4,F5,F6,F7)</f>
        <v>OBJ_9953212</v>
      </c>
      <c r="G2" s="18" t="str">
        <f ca="1">_xll.MonteCarloPricingSetting.New(G3,G4,G5,G6,G7)</f>
        <v>OBJ_22470050</v>
      </c>
      <c r="H2" s="18" t="str">
        <f ca="1">_xll.MonteCarloPricingSetting.New(H3,H4,H5,H6,H7)</f>
        <v>OBJ_903863</v>
      </c>
      <c r="I2" s="18"/>
    </row>
    <row r="3" spans="1:20" ht="15" thickBot="1" x14ac:dyDescent="0.4">
      <c r="A3" s="9" t="s">
        <v>192</v>
      </c>
      <c r="B3" t="s">
        <v>193</v>
      </c>
      <c r="E3" s="15" t="s">
        <v>284</v>
      </c>
      <c r="F3" s="33">
        <v>100</v>
      </c>
      <c r="G3" s="33">
        <v>100</v>
      </c>
      <c r="H3" s="33">
        <v>2</v>
      </c>
      <c r="I3" s="33"/>
    </row>
    <row r="4" spans="1:20" x14ac:dyDescent="0.35">
      <c r="A4" s="15" t="s">
        <v>160</v>
      </c>
      <c r="B4" t="s">
        <v>162</v>
      </c>
      <c r="E4" s="15" t="s">
        <v>285</v>
      </c>
      <c r="F4" s="33">
        <v>10000</v>
      </c>
      <c r="G4" s="33">
        <v>100000</v>
      </c>
      <c r="H4" s="33">
        <v>10</v>
      </c>
      <c r="I4" s="33"/>
    </row>
    <row r="5" spans="1:20" x14ac:dyDescent="0.35">
      <c r="A5" s="15" t="s">
        <v>298</v>
      </c>
      <c r="B5" s="18" t="str">
        <f ca="1">HLOOKUP(B4,Book!B1:G2,2)</f>
        <v>OBJ_35502400</v>
      </c>
      <c r="E5" s="15" t="s">
        <v>286</v>
      </c>
      <c r="F5" s="33">
        <v>0.99</v>
      </c>
      <c r="G5" s="33">
        <v>0.99</v>
      </c>
      <c r="H5" s="33">
        <v>0.99</v>
      </c>
      <c r="I5" s="33"/>
    </row>
    <row r="6" spans="1:20" x14ac:dyDescent="0.35">
      <c r="A6" s="15" t="s">
        <v>194</v>
      </c>
      <c r="B6" s="18" t="str">
        <f ca="1">_xll.BookPricer.Price1(COB,Book!B2,MarketSet,ModelSet,MCSettings,[1]!ccol(B12),[1]!ccol(A12),[1]!ccol(C12),[1]!ccol(D12),[1]!ccol(E12),[1]!ccol(F12),B2,B1,B3)</f>
        <v>OBJ_5605395</v>
      </c>
      <c r="E6" s="15" t="s">
        <v>287</v>
      </c>
      <c r="F6" s="33">
        <v>5</v>
      </c>
      <c r="G6" s="33">
        <v>5</v>
      </c>
      <c r="H6" s="33">
        <v>5</v>
      </c>
      <c r="I6" s="33"/>
    </row>
    <row r="7" spans="1:20" x14ac:dyDescent="0.35">
      <c r="A7" s="18"/>
      <c r="B7" s="18"/>
      <c r="E7" s="15" t="s">
        <v>288</v>
      </c>
      <c r="F7" s="33" t="b">
        <v>0</v>
      </c>
      <c r="G7" s="33" t="b">
        <v>0</v>
      </c>
      <c r="H7" s="33" t="b">
        <v>0</v>
      </c>
      <c r="I7" s="33"/>
    </row>
    <row r="8" spans="1:20" x14ac:dyDescent="0.35">
      <c r="A8" s="18"/>
      <c r="B8" s="18"/>
      <c r="E8" s="15" t="s">
        <v>130</v>
      </c>
      <c r="F8" s="33" t="s">
        <v>291</v>
      </c>
      <c r="G8" s="33" t="s">
        <v>295</v>
      </c>
      <c r="H8" s="33" t="s">
        <v>296</v>
      </c>
      <c r="I8" s="33"/>
    </row>
    <row r="9" spans="1:20" x14ac:dyDescent="0.35">
      <c r="E9" s="18" t="str">
        <f ca="1">_xll.PricingSettingSet.New()</f>
        <v>OBJ_8562452</v>
      </c>
      <c r="F9" s="18" t="str">
        <f ca="1">_xll.PricingSettingSet.AddSetting(E9,F8,F2)</f>
        <v>OBJ_8562452</v>
      </c>
      <c r="G9" s="18" t="str">
        <f ca="1">_xll.PricingSettingSet.AddSetting(F9,G8,G2)</f>
        <v>OBJ_8562452</v>
      </c>
      <c r="H9" s="18" t="str">
        <f ca="1">_xll.PricingSettingSet.AddSetting(G9,H8,H2)</f>
        <v>OBJ_8562452</v>
      </c>
      <c r="I9" s="18"/>
    </row>
    <row r="10" spans="1:20" x14ac:dyDescent="0.35">
      <c r="A10" s="16" t="str">
        <f ca="1">_xll.Book.Instruments(B5)</f>
        <v>OBJ_8134772</v>
      </c>
    </row>
    <row r="11" spans="1:20" x14ac:dyDescent="0.35">
      <c r="A11" s="15" t="s">
        <v>174</v>
      </c>
      <c r="B11" s="15" t="s">
        <v>292</v>
      </c>
      <c r="C11" s="15" t="s">
        <v>293</v>
      </c>
      <c r="D11" s="15" t="s">
        <v>279</v>
      </c>
      <c r="E11" s="15" t="s">
        <v>294</v>
      </c>
      <c r="F11" s="15" t="s">
        <v>311</v>
      </c>
      <c r="G11" s="15" t="s">
        <v>203</v>
      </c>
      <c r="H11" s="15" t="s">
        <v>204</v>
      </c>
      <c r="I11" s="15" t="s">
        <v>205</v>
      </c>
      <c r="J11" s="15" t="s">
        <v>301</v>
      </c>
      <c r="K11" s="15" t="s">
        <v>297</v>
      </c>
      <c r="L11" s="15" t="s">
        <v>206</v>
      </c>
      <c r="M11" s="15" t="s">
        <v>302</v>
      </c>
      <c r="N11" s="15" t="s">
        <v>207</v>
      </c>
      <c r="O11" s="15" t="s">
        <v>303</v>
      </c>
      <c r="P11" s="15" t="s">
        <v>305</v>
      </c>
      <c r="Q11" s="15" t="s">
        <v>304</v>
      </c>
      <c r="S11" s="15" t="s">
        <v>309</v>
      </c>
      <c r="T11" s="15" t="s">
        <v>310</v>
      </c>
    </row>
    <row r="12" spans="1:20" x14ac:dyDescent="0.35">
      <c r="A12" t="str">
        <f t="array" aca="1" ref="A12:A154" ca="1">_xll.Array.FillExpand(A10)</f>
        <v>Trade0</v>
      </c>
      <c r="B12" t="b">
        <v>1</v>
      </c>
      <c r="C12" t="s">
        <v>276</v>
      </c>
      <c r="D12" t="s">
        <v>33</v>
      </c>
      <c r="E12" s="27" t="s">
        <v>291</v>
      </c>
      <c r="F12" s="27" t="b">
        <v>0</v>
      </c>
      <c r="G12" t="str">
        <f ca="1">IF(B12,_xll.BookPricingOutput.GetLeg1($B$6,A12),"-")</f>
        <v>Trade0_AssetLeg</v>
      </c>
      <c r="H12" t="str">
        <f ca="1">IF(B12,_xll.BookPricingOutput.GetLeg2($B$6,A12),"-")</f>
        <v>Trade0_RateLeg</v>
      </c>
      <c r="I12" s="32">
        <f ca="1">IF(B12,_xll.BookPricingOutput.DirtyPrice($B$6,A12),"-")</f>
        <v>1.2944108327785671</v>
      </c>
      <c r="J12" s="32">
        <f ca="1">IF(B12,_xll.BookPricingOutput.DirtyPriceConfidence($B$6,A12),"-")</f>
        <v>0</v>
      </c>
      <c r="K12" s="32">
        <f ca="1">IF(B12,_xll.BookPricingOutput.FairSpread($B$6,A12)*10000,"-")</f>
        <v>8.4649775731139041</v>
      </c>
      <c r="L12" s="32">
        <f ca="1">IF(B12,_xll.BookPricingOutput.DirtyPriceLeg($B$6,G12),"-")</f>
        <v>-6.0213370321648618</v>
      </c>
      <c r="M12" s="32">
        <f ca="1">IF(B12,_xll.BookPricingOutput.DirtyPriceLegConfidence($B$6,G12),"-")</f>
        <v>0</v>
      </c>
      <c r="N12" s="32">
        <f ca="1">IF(B12,_xll.BookPricingOutput.DirtyPriceLeg($B$6,H12),"-")</f>
        <v>7.3157478649434289</v>
      </c>
      <c r="O12" s="32">
        <f ca="1">IF(B12,_xll.BookPricingOutput.DirtyPriceLegConfidence($B$6,H12),"-")</f>
        <v>0</v>
      </c>
      <c r="P12" s="32">
        <f ca="1">IF(B12,_xll.BookPricingOutput.GetPricingTime($B$6,A12),"-")</f>
        <v>4.1000000000000002E-2</v>
      </c>
      <c r="Q12" t="str">
        <f ca="1">IF(B12,_xll.BookPricingOutput.GetStatus($B$6,A12),"-")</f>
        <v>OK</v>
      </c>
      <c r="S12" s="34">
        <v>7.6044673941286147</v>
      </c>
      <c r="T12" s="35">
        <f ca="1">K12-S12</f>
        <v>0.86051017898528936</v>
      </c>
    </row>
    <row r="13" spans="1:20" x14ac:dyDescent="0.35">
      <c r="A13" t="str">
        <f ca="1"/>
        <v>Trade1</v>
      </c>
      <c r="B13" t="b">
        <v>1</v>
      </c>
      <c r="C13" t="s">
        <v>276</v>
      </c>
      <c r="D13" t="s">
        <v>33</v>
      </c>
      <c r="E13" s="27" t="s">
        <v>291</v>
      </c>
      <c r="F13" s="27" t="b">
        <v>0</v>
      </c>
      <c r="G13" t="str">
        <f ca="1">IF(B13,_xll.BookPricingOutput.GetLeg1($B$6,A13),"-")</f>
        <v>Trade1_AssetLeg</v>
      </c>
      <c r="H13" t="str">
        <f ca="1">IF(B13,_xll.BookPricingOutput.GetLeg2($B$6,A13),"-")</f>
        <v>Trade1_RateLeg</v>
      </c>
      <c r="I13" s="32">
        <f ca="1">IF(B13,_xll.BookPricingOutput.DirtyPrice($B$6,A13),"-")</f>
        <v>15.247734322524966</v>
      </c>
      <c r="J13" s="32">
        <f ca="1">IF(B13,_xll.BookPricingOutput.DirtyPriceConfidence($B$6,A13),"-")</f>
        <v>0</v>
      </c>
      <c r="K13" s="32">
        <f ca="1">IF(B13,_xll.BookPricingOutput.FairSpread($B$6,A13)*10000,"-")</f>
        <v>31.32841234300173</v>
      </c>
      <c r="L13" s="32">
        <f ca="1">IF(B13,_xll.BookPricingOutput.DirtyPriceLeg($B$6,G13),"-")</f>
        <v>-9.7570857683085848</v>
      </c>
      <c r="M13" s="32">
        <f ca="1">IF(B13,_xll.BookPricingOutput.DirtyPriceLegConfidence($B$6,G13),"-")</f>
        <v>0</v>
      </c>
      <c r="N13" s="32">
        <f ca="1">IF(B13,_xll.BookPricingOutput.DirtyPriceLeg($B$6,H13),"-")</f>
        <v>25.004820090833551</v>
      </c>
      <c r="O13" s="32">
        <f ca="1">IF(B13,_xll.BookPricingOutput.DirtyPriceLegConfidence($B$6,H13),"-")</f>
        <v>0</v>
      </c>
      <c r="P13" s="32">
        <f ca="1">IF(B13,_xll.BookPricingOutput.GetPricingTime($B$6,A13),"-")</f>
        <v>2E-3</v>
      </c>
      <c r="Q13" t="str">
        <f ca="1">IF(B13,_xll.BookPricingOutput.GetStatus($B$6,A13),"-")</f>
        <v>OK</v>
      </c>
      <c r="S13" s="34">
        <v>31.056961785333819</v>
      </c>
      <c r="T13" s="35">
        <f t="shared" ref="T13:T22" ca="1" si="0">K13-S13</f>
        <v>0.2714505576679116</v>
      </c>
    </row>
    <row r="14" spans="1:20" x14ac:dyDescent="0.35">
      <c r="A14" t="str">
        <f ca="1"/>
        <v>Trade2</v>
      </c>
      <c r="B14" t="b">
        <v>1</v>
      </c>
      <c r="C14" t="s">
        <v>276</v>
      </c>
      <c r="D14" t="s">
        <v>33</v>
      </c>
      <c r="E14" s="27" t="s">
        <v>291</v>
      </c>
      <c r="F14" s="27" t="b">
        <v>0</v>
      </c>
      <c r="G14" t="str">
        <f ca="1">IF(B14,_xll.BookPricingOutput.GetLeg1($B$6,A14),"-")</f>
        <v>Trade2_AssetLeg</v>
      </c>
      <c r="H14" t="str">
        <f ca="1">IF(B14,_xll.BookPricingOutput.GetLeg2($B$6,A14),"-")</f>
        <v>Trade2_RateLeg</v>
      </c>
      <c r="I14" s="32">
        <f ca="1">IF(B14,_xll.BookPricingOutput.DirtyPrice($B$6,A14),"-")</f>
        <v>34.188442855879096</v>
      </c>
      <c r="J14" s="32">
        <f ca="1">IF(B14,_xll.BookPricingOutput.DirtyPriceConfidence($B$6,A14),"-")</f>
        <v>0</v>
      </c>
      <c r="K14" s="32">
        <f ca="1">IF(B14,_xll.BookPricingOutput.FairSpread($B$6,A14)*10000,"-")</f>
        <v>42.015063582352688</v>
      </c>
      <c r="L14" s="32">
        <f ca="1">IF(B14,_xll.BookPricingOutput.DirtyPriceLeg($B$6,G14),"-")</f>
        <v>-8.732335546071738</v>
      </c>
      <c r="M14" s="32">
        <f ca="1">IF(B14,_xll.BookPricingOutput.DirtyPriceLegConfidence($B$6,G14),"-")</f>
        <v>0</v>
      </c>
      <c r="N14" s="32">
        <f ca="1">IF(B14,_xll.BookPricingOutput.DirtyPriceLeg($B$6,H14),"-")</f>
        <v>42.920778401950834</v>
      </c>
      <c r="O14" s="32">
        <f ca="1">IF(B14,_xll.BookPricingOutput.DirtyPriceLegConfidence($B$6,H14),"-")</f>
        <v>0</v>
      </c>
      <c r="P14" s="32">
        <f ca="1">IF(B14,_xll.BookPricingOutput.GetPricingTime($B$6,A14),"-")</f>
        <v>4.0000000000000001E-3</v>
      </c>
      <c r="Q14" t="str">
        <f ca="1">IF(B14,_xll.BookPricingOutput.GetStatus($B$6,A14),"-")</f>
        <v>OK</v>
      </c>
      <c r="S14" s="34">
        <v>41.887837850869651</v>
      </c>
      <c r="T14" s="35">
        <f t="shared" ca="1" si="0"/>
        <v>0.12722573148303695</v>
      </c>
    </row>
    <row r="15" spans="1:20" x14ac:dyDescent="0.35">
      <c r="A15" t="str">
        <f ca="1"/>
        <v>Trade3</v>
      </c>
      <c r="B15" t="b">
        <v>1</v>
      </c>
      <c r="C15" t="s">
        <v>276</v>
      </c>
      <c r="D15" t="s">
        <v>33</v>
      </c>
      <c r="E15" s="27" t="s">
        <v>291</v>
      </c>
      <c r="F15" s="27" t="b">
        <v>0</v>
      </c>
      <c r="G15" t="str">
        <f ca="1">IF(B15,_xll.BookPricingOutput.GetLeg1($B$6,A15),"-")</f>
        <v>Trade3_AssetLeg</v>
      </c>
      <c r="H15" t="str">
        <f ca="1">IF(B15,_xll.BookPricingOutput.GetLeg2($B$6,A15),"-")</f>
        <v>Trade3_RateLeg</v>
      </c>
      <c r="I15" s="32">
        <f ca="1">IF(B15,_xll.BookPricingOutput.DirtyPrice($B$6,A15),"-")</f>
        <v>59.067858606646915</v>
      </c>
      <c r="J15" s="32">
        <f ca="1">IF(B15,_xll.BookPricingOutput.DirtyPriceConfidence($B$6,A15),"-")</f>
        <v>0</v>
      </c>
      <c r="K15" s="32">
        <f ca="1">IF(B15,_xll.BookPricingOutput.FairSpread($B$6,A15)*10000,"-")</f>
        <v>52.113389417543985</v>
      </c>
      <c r="L15" s="32">
        <f ca="1">IF(B15,_xll.BookPricingOutput.DirtyPriceLeg($B$6,G15),"-")</f>
        <v>-0.23057880439445455</v>
      </c>
      <c r="M15" s="32">
        <f ca="1">IF(B15,_xll.BookPricingOutput.DirtyPriceLegConfidence($B$6,G15),"-")</f>
        <v>0</v>
      </c>
      <c r="N15" s="32">
        <f ca="1">IF(B15,_xll.BookPricingOutput.DirtyPriceLeg($B$6,H15),"-")</f>
        <v>59.29843741104137</v>
      </c>
      <c r="O15" s="32">
        <f ca="1">IF(B15,_xll.BookPricingOutput.DirtyPriceLegConfidence($B$6,H15),"-")</f>
        <v>0</v>
      </c>
      <c r="P15" s="32">
        <f ca="1">IF(B15,_xll.BookPricingOutput.GetPricingTime($B$6,A15),"-")</f>
        <v>7.0000000000000001E-3</v>
      </c>
      <c r="Q15" t="str">
        <f ca="1">IF(B15,_xll.BookPricingOutput.GetStatus($B$6,A15),"-")</f>
        <v>OK</v>
      </c>
      <c r="S15" s="34">
        <v>52.046997411264783</v>
      </c>
      <c r="T15" s="35">
        <f t="shared" ca="1" si="0"/>
        <v>6.639200627920161E-2</v>
      </c>
    </row>
    <row r="16" spans="1:20" x14ac:dyDescent="0.35">
      <c r="A16" t="str">
        <f ca="1"/>
        <v>Trade4</v>
      </c>
      <c r="B16" t="b">
        <v>1</v>
      </c>
      <c r="C16" t="s">
        <v>276</v>
      </c>
      <c r="D16" t="s">
        <v>33</v>
      </c>
      <c r="E16" s="27" t="s">
        <v>291</v>
      </c>
      <c r="F16" s="27" t="b">
        <v>0</v>
      </c>
      <c r="G16" t="str">
        <f ca="1">IF(B16,_xll.BookPricingOutput.GetLeg1($B$6,A16),"-")</f>
        <v>Trade4_AssetLeg</v>
      </c>
      <c r="H16" t="str">
        <f ca="1">IF(B16,_xll.BookPricingOutput.GetLeg2($B$6,A16),"-")</f>
        <v>Trade4_RateLeg</v>
      </c>
      <c r="I16" s="32">
        <f ca="1">IF(B16,_xll.BookPricingOutput.DirtyPrice($B$6,A16),"-")</f>
        <v>87.536481961912457</v>
      </c>
      <c r="J16" s="32">
        <f ca="1">IF(B16,_xll.BookPricingOutput.DirtyPriceConfidence($B$6,A16),"-")</f>
        <v>0</v>
      </c>
      <c r="K16" s="32">
        <f ca="1">IF(B16,_xll.BookPricingOutput.FairSpread($B$6,A16)*10000,"-")</f>
        <v>60.258192052766091</v>
      </c>
      <c r="L16" s="32">
        <f ca="1">IF(B16,_xll.BookPricingOutput.DirtyPriceLeg($B$6,G16),"-")</f>
        <v>14.004319203409722</v>
      </c>
      <c r="M16" s="32">
        <f ca="1">IF(B16,_xll.BookPricingOutput.DirtyPriceLegConfidence($B$6,G16),"-")</f>
        <v>0</v>
      </c>
      <c r="N16" s="32">
        <f ca="1">IF(B16,_xll.BookPricingOutput.DirtyPriceLeg($B$6,H16),"-")</f>
        <v>73.532162758502736</v>
      </c>
      <c r="O16" s="32">
        <f ca="1">IF(B16,_xll.BookPricingOutput.DirtyPriceLegConfidence($B$6,H16),"-")</f>
        <v>0</v>
      </c>
      <c r="P16" s="32">
        <f ca="1">IF(B16,_xll.BookPricingOutput.GetPricingTime($B$6,A16),"-")</f>
        <v>8.9999999999999993E-3</v>
      </c>
      <c r="Q16" t="str">
        <f ca="1">IF(B16,_xll.BookPricingOutput.GetStatus($B$6,A16),"-")</f>
        <v>OK</v>
      </c>
      <c r="S16" s="34">
        <v>60.252668745807604</v>
      </c>
      <c r="T16" s="35">
        <f t="shared" ca="1" si="0"/>
        <v>5.5233069584872396E-3</v>
      </c>
    </row>
    <row r="17" spans="1:20" x14ac:dyDescent="0.35">
      <c r="A17" t="str">
        <f ca="1"/>
        <v>Trade5</v>
      </c>
      <c r="B17" t="b">
        <v>1</v>
      </c>
      <c r="C17" t="s">
        <v>276</v>
      </c>
      <c r="D17" t="s">
        <v>33</v>
      </c>
      <c r="E17" s="27" t="s">
        <v>291</v>
      </c>
      <c r="F17" s="27" t="b">
        <v>0</v>
      </c>
      <c r="G17" t="str">
        <f ca="1">IF(B17,_xll.BookPricingOutput.GetLeg1($B$6,A17),"-")</f>
        <v>Trade5_AssetLeg</v>
      </c>
      <c r="H17" t="str">
        <f ca="1">IF(B17,_xll.BookPricingOutput.GetLeg2($B$6,A17),"-")</f>
        <v>Trade5_RateLeg</v>
      </c>
      <c r="I17" s="32">
        <f ca="1">IF(B17,_xll.BookPricingOutput.DirtyPrice($B$6,A17),"-")</f>
        <v>121.31523188037016</v>
      </c>
      <c r="J17" s="32">
        <f ca="1">IF(B17,_xll.BookPricingOutput.DirtyPriceConfidence($B$6,A17),"-")</f>
        <v>0</v>
      </c>
      <c r="K17" s="32">
        <f ca="1">IF(B17,_xll.BookPricingOutput.FairSpread($B$6,A17)*10000,"-")</f>
        <v>68.960136723375186</v>
      </c>
      <c r="L17" s="32">
        <f ca="1">IF(B17,_xll.BookPricingOutput.DirtyPriceLeg($B$6,G17),"-")</f>
        <v>36.56266457687795</v>
      </c>
      <c r="M17" s="32">
        <f ca="1">IF(B17,_xll.BookPricingOutput.DirtyPriceLegConfidence($B$6,G17),"-")</f>
        <v>0</v>
      </c>
      <c r="N17" s="32">
        <f ca="1">IF(B17,_xll.BookPricingOutput.DirtyPriceLeg($B$6,H17),"-")</f>
        <v>84.752567303492214</v>
      </c>
      <c r="O17" s="32">
        <f ca="1">IF(B17,_xll.BookPricingOutput.DirtyPriceLegConfidence($B$6,H17),"-")</f>
        <v>0</v>
      </c>
      <c r="P17" s="32">
        <f ca="1">IF(B17,_xll.BookPricingOutput.GetPricingTime($B$6,A17),"-")</f>
        <v>1.0999999999999999E-2</v>
      </c>
      <c r="Q17" t="str">
        <f ca="1">IF(B17,_xll.BookPricingOutput.GetStatus($B$6,A17),"-")</f>
        <v>OK</v>
      </c>
      <c r="S17" s="34">
        <v>68.981357165046234</v>
      </c>
      <c r="T17" s="35">
        <f t="shared" ca="1" si="0"/>
        <v>-2.1220441671047752E-2</v>
      </c>
    </row>
    <row r="18" spans="1:20" x14ac:dyDescent="0.35">
      <c r="A18" t="str">
        <f ca="1"/>
        <v>Trade6</v>
      </c>
      <c r="B18" t="b">
        <v>1</v>
      </c>
      <c r="C18" t="s">
        <v>276</v>
      </c>
      <c r="D18" t="s">
        <v>33</v>
      </c>
      <c r="E18" s="27" t="s">
        <v>291</v>
      </c>
      <c r="F18" s="27" t="b">
        <v>0</v>
      </c>
      <c r="G18" t="str">
        <f ca="1">IF(B18,_xll.BookPricingOutput.GetLeg1($B$6,A18),"-")</f>
        <v>Trade6_AssetLeg</v>
      </c>
      <c r="H18" t="str">
        <f ca="1">IF(B18,_xll.BookPricingOutput.GetLeg2($B$6,A18),"-")</f>
        <v>Trade6_RateLeg</v>
      </c>
      <c r="I18" s="32">
        <f ca="1">IF(B18,_xll.BookPricingOutput.DirtyPrice($B$6,A18),"-")</f>
        <v>163.20345143218913</v>
      </c>
      <c r="J18" s="32">
        <f ca="1">IF(B18,_xll.BookPricingOutput.DirtyPriceConfidence($B$6,A18),"-")</f>
        <v>0</v>
      </c>
      <c r="K18" s="32">
        <f ca="1">IF(B18,_xll.BookPricingOutput.FairSpread($B$6,A18)*10000,"-")</f>
        <v>79.21940927716625</v>
      </c>
      <c r="L18" s="32">
        <f ca="1">IF(B18,_xll.BookPricingOutput.DirtyPriceLeg($B$6,G18),"-")</f>
        <v>70.114875799235335</v>
      </c>
      <c r="M18" s="32">
        <f ca="1">IF(B18,_xll.BookPricingOutput.DirtyPriceLegConfidence($B$6,G18),"-")</f>
        <v>0</v>
      </c>
      <c r="N18" s="32">
        <f ca="1">IF(B18,_xll.BookPricingOutput.DirtyPriceLeg($B$6,H18),"-")</f>
        <v>93.088575632953791</v>
      </c>
      <c r="O18" s="32">
        <f ca="1">IF(B18,_xll.BookPricingOutput.DirtyPriceLegConfidence($B$6,H18),"-")</f>
        <v>0</v>
      </c>
      <c r="P18" s="32">
        <f ca="1">IF(B18,_xll.BookPricingOutput.GetPricingTime($B$6,A18),"-")</f>
        <v>1.2999999999999999E-2</v>
      </c>
      <c r="Q18" t="str">
        <f ca="1">IF(B18,_xll.BookPricingOutput.GetStatus($B$6,A18),"-")</f>
        <v>OK</v>
      </c>
      <c r="S18" s="34">
        <v>79.246620065616426</v>
      </c>
      <c r="T18" s="35">
        <f t="shared" ca="1" si="0"/>
        <v>-2.7210788450176437E-2</v>
      </c>
    </row>
    <row r="19" spans="1:20" x14ac:dyDescent="0.35">
      <c r="A19" t="str">
        <f ca="1"/>
        <v>Trade7</v>
      </c>
      <c r="B19" t="b">
        <v>1</v>
      </c>
      <c r="C19" t="s">
        <v>276</v>
      </c>
      <c r="D19" t="s">
        <v>33</v>
      </c>
      <c r="E19" s="27" t="s">
        <v>291</v>
      </c>
      <c r="F19" s="27" t="b">
        <v>0</v>
      </c>
      <c r="G19" t="str">
        <f ca="1">IF(B19,_xll.BookPricingOutput.GetLeg1($B$6,A19),"-")</f>
        <v>Trade7_AssetLeg</v>
      </c>
      <c r="H19" t="str">
        <f ca="1">IF(B19,_xll.BookPricingOutput.GetLeg2($B$6,A19),"-")</f>
        <v>Trade7_RateLeg</v>
      </c>
      <c r="I19" s="32">
        <f ca="1">IF(B19,_xll.BookPricingOutput.DirtyPrice($B$6,A19),"-")</f>
        <v>202.97630553267354</v>
      </c>
      <c r="J19" s="32">
        <f ca="1">IF(B19,_xll.BookPricingOutput.DirtyPriceConfidence($B$6,A19),"-")</f>
        <v>0</v>
      </c>
      <c r="K19" s="32">
        <f ca="1">IF(B19,_xll.BookPricingOutput.FairSpread($B$6,A19)*10000,"-")</f>
        <v>86.150636881772968</v>
      </c>
      <c r="L19" s="32">
        <f ca="1">IF(B19,_xll.BookPricingOutput.DirtyPriceLeg($B$6,G19),"-")</f>
        <v>104.62389399625692</v>
      </c>
      <c r="M19" s="32">
        <f ca="1">IF(B19,_xll.BookPricingOutput.DirtyPriceLegConfidence($B$6,G19),"-")</f>
        <v>0</v>
      </c>
      <c r="N19" s="32">
        <f ca="1">IF(B19,_xll.BookPricingOutput.DirtyPriceLeg($B$6,H19),"-")</f>
        <v>98.352411536416611</v>
      </c>
      <c r="O19" s="32">
        <f ca="1">IF(B19,_xll.BookPricingOutput.DirtyPriceLegConfidence($B$6,H19),"-")</f>
        <v>0</v>
      </c>
      <c r="P19" s="32">
        <f ca="1">IF(B19,_xll.BookPricingOutput.GetPricingTime($B$6,A19),"-")</f>
        <v>1.6E-2</v>
      </c>
      <c r="Q19" t="str">
        <f ca="1">IF(B19,_xll.BookPricingOutput.GetStatus($B$6,A19),"-")</f>
        <v>OK</v>
      </c>
      <c r="S19" s="34">
        <v>86.18015133272749</v>
      </c>
      <c r="T19" s="35">
        <f t="shared" ca="1" si="0"/>
        <v>-2.9514450954522431E-2</v>
      </c>
    </row>
    <row r="20" spans="1:20" x14ac:dyDescent="0.35">
      <c r="A20" t="str">
        <f ca="1"/>
        <v>Trade8</v>
      </c>
      <c r="B20" t="b">
        <v>1</v>
      </c>
      <c r="C20" t="s">
        <v>276</v>
      </c>
      <c r="D20" t="s">
        <v>33</v>
      </c>
      <c r="E20" s="27" t="s">
        <v>291</v>
      </c>
      <c r="F20" s="27" t="b">
        <v>0</v>
      </c>
      <c r="G20" t="str">
        <f ca="1">IF(B20,_xll.BookPricingOutput.GetLeg1($B$6,A20),"-")</f>
        <v>Trade8_AssetLeg</v>
      </c>
      <c r="H20" t="str">
        <f ca="1">IF(B20,_xll.BookPricingOutput.GetLeg2($B$6,A20),"-")</f>
        <v>Trade8_RateLeg</v>
      </c>
      <c r="I20" s="32">
        <f ca="1">IF(B20,_xll.BookPricingOutput.DirtyPrice($B$6,A20),"-")</f>
        <v>245.25272715005522</v>
      </c>
      <c r="J20" s="32">
        <f ca="1">IF(B20,_xll.BookPricingOutput.DirtyPriceConfidence($B$6,A20),"-")</f>
        <v>0</v>
      </c>
      <c r="K20" s="32">
        <f ca="1">IF(B20,_xll.BookPricingOutput.FairSpread($B$6,A20)*10000,"-")</f>
        <v>92.656876392521283</v>
      </c>
      <c r="L20" s="32">
        <f ca="1">IF(B20,_xll.BookPricingOutput.DirtyPriceLeg($B$6,G20),"-")</f>
        <v>144.78951751924319</v>
      </c>
      <c r="M20" s="32">
        <f ca="1">IF(B20,_xll.BookPricingOutput.DirtyPriceLegConfidence($B$6,G20),"-")</f>
        <v>0</v>
      </c>
      <c r="N20" s="32">
        <f ca="1">IF(B20,_xll.BookPricingOutput.DirtyPriceLeg($B$6,H20),"-")</f>
        <v>100.46320963081203</v>
      </c>
      <c r="O20" s="32">
        <f ca="1">IF(B20,_xll.BookPricingOutput.DirtyPriceLegConfidence($B$6,H20),"-")</f>
        <v>0</v>
      </c>
      <c r="P20" s="32">
        <f ca="1">IF(B20,_xll.BookPricingOutput.GetPricingTime($B$6,A20),"-")</f>
        <v>1.7000000000000001E-2</v>
      </c>
      <c r="Q20" t="str">
        <f ca="1">IF(B20,_xll.BookPricingOutput.GetStatus($B$6,A20),"-")</f>
        <v>OK</v>
      </c>
      <c r="S20" s="34">
        <v>92.671821879069157</v>
      </c>
      <c r="T20" s="35">
        <f t="shared" ca="1" si="0"/>
        <v>-1.4945486547873088E-2</v>
      </c>
    </row>
    <row r="21" spans="1:20" x14ac:dyDescent="0.35">
      <c r="A21" t="str">
        <f ca="1"/>
        <v>Trade9</v>
      </c>
      <c r="B21" t="b">
        <v>1</v>
      </c>
      <c r="C21" t="s">
        <v>276</v>
      </c>
      <c r="D21" t="s">
        <v>33</v>
      </c>
      <c r="E21" s="27" t="s">
        <v>291</v>
      </c>
      <c r="F21" s="27" t="b">
        <v>0</v>
      </c>
      <c r="G21" t="str">
        <f ca="1">IF(B21,_xll.BookPricingOutput.GetLeg1($B$6,A21),"-")</f>
        <v>Trade9_AssetLeg</v>
      </c>
      <c r="H21" t="str">
        <f ca="1">IF(B21,_xll.BookPricingOutput.GetLeg2($B$6,A21),"-")</f>
        <v>Trade9_RateLeg</v>
      </c>
      <c r="I21" s="32">
        <f ca="1">IF(B21,_xll.BookPricingOutput.DirtyPrice($B$6,A21),"-")</f>
        <v>-13.772740598281835</v>
      </c>
      <c r="J21" s="32">
        <f ca="1">IF(B21,_xll.BookPricingOutput.DirtyPriceConfidence($B$6,A21),"-")</f>
        <v>0</v>
      </c>
      <c r="K21" s="32">
        <f ca="1">IF(B21,_xll.BookPricingOutput.FairSpread($B$6,A21)*10000,"-")</f>
        <v>-198.92764557930849</v>
      </c>
      <c r="L21" s="32">
        <f ca="1">IF(B21,_xll.BookPricingOutput.DirtyPriceLeg($B$6,G21),"-")</f>
        <v>-16.998365386337795</v>
      </c>
      <c r="M21" s="32">
        <f ca="1">IF(B21,_xll.BookPricingOutput.DirtyPriceLegConfidence($B$6,G21),"-")</f>
        <v>0</v>
      </c>
      <c r="N21" s="32">
        <f ca="1">IF(B21,_xll.BookPricingOutput.DirtyPriceLeg($B$6,H21),"-")</f>
        <v>3.2256247880559594</v>
      </c>
      <c r="O21" s="32">
        <f ca="1">IF(B21,_xll.BookPricingOutput.DirtyPriceLegConfidence($B$6,H21),"-")</f>
        <v>0</v>
      </c>
      <c r="P21" s="32">
        <f ca="1">IF(B21,_xll.BookPricingOutput.GetPricingTime($B$6,A21),"-")</f>
        <v>0</v>
      </c>
      <c r="Q21" t="str">
        <f ca="1">IF(B21,_xll.BookPricingOutput.GetStatus($B$6,A21),"-")</f>
        <v>OK</v>
      </c>
      <c r="S21" s="34">
        <v>-198.06939961981666</v>
      </c>
      <c r="T21" s="35">
        <f t="shared" ca="1" si="0"/>
        <v>-0.85824595949182481</v>
      </c>
    </row>
    <row r="22" spans="1:20" x14ac:dyDescent="0.35">
      <c r="A22" t="str">
        <f ca="1"/>
        <v>Trade10</v>
      </c>
      <c r="B22" t="b">
        <v>1</v>
      </c>
      <c r="C22" t="s">
        <v>276</v>
      </c>
      <c r="D22" t="s">
        <v>33</v>
      </c>
      <c r="E22" s="27" t="s">
        <v>291</v>
      </c>
      <c r="F22" s="27" t="b">
        <v>0</v>
      </c>
      <c r="G22" t="str">
        <f ca="1">IF(B22,_xll.BookPricingOutput.GetLeg1($B$6,A22),"-")</f>
        <v>Trade10_AssetLeg</v>
      </c>
      <c r="H22" t="str">
        <f ca="1">IF(B22,_xll.BookPricingOutput.GetLeg2($B$6,A22),"-")</f>
        <v>Trade10_RateLeg</v>
      </c>
      <c r="I22" s="32">
        <f ca="1">IF(B22,_xll.BookPricingOutput.DirtyPrice($B$6,A22),"-")</f>
        <v>-23.630446572569131</v>
      </c>
      <c r="J22" s="32">
        <f ca="1">IF(B22,_xll.BookPricingOutput.DirtyPriceConfidence($B$6,A22),"-")</f>
        <v>0</v>
      </c>
      <c r="K22" s="32">
        <f ca="1">IF(B22,_xll.BookPricingOutput.FairSpread($B$6,A22)*10000,"-")</f>
        <v>-154.53455364714415</v>
      </c>
      <c r="L22" s="32">
        <f ca="1">IF(B22,_xll.BookPricingOutput.DirtyPriceLeg($B$6,G22),"-")</f>
        <v>-30.94619443751256</v>
      </c>
      <c r="M22" s="32">
        <f ca="1">IF(B22,_xll.BookPricingOutput.DirtyPriceLegConfidence($B$6,G22),"-")</f>
        <v>0</v>
      </c>
      <c r="N22" s="32">
        <f ca="1">IF(B22,_xll.BookPricingOutput.DirtyPriceLeg($B$6,H22),"-")</f>
        <v>7.3157478649434289</v>
      </c>
      <c r="O22" s="32">
        <f ca="1">IF(B22,_xll.BookPricingOutput.DirtyPriceLegConfidence($B$6,H22),"-")</f>
        <v>0</v>
      </c>
      <c r="P22" s="32">
        <f ca="1">IF(B22,_xll.BookPricingOutput.GetPricingTime($B$6,A22),"-")</f>
        <v>0</v>
      </c>
      <c r="Q22" t="str">
        <f ca="1">IF(B22,_xll.BookPricingOutput.GetStatus($B$6,A22),"-")</f>
        <v>OK</v>
      </c>
      <c r="S22" s="34">
        <v>-150.72248754812159</v>
      </c>
      <c r="T22" s="35">
        <f t="shared" ca="1" si="0"/>
        <v>-3.8120660990225588</v>
      </c>
    </row>
    <row r="23" spans="1:20" x14ac:dyDescent="0.35">
      <c r="A23" t="str">
        <f ca="1"/>
        <v/>
      </c>
      <c r="B23" t="b">
        <v>0</v>
      </c>
      <c r="C23" t="s">
        <v>276</v>
      </c>
      <c r="D23" t="s">
        <v>33</v>
      </c>
      <c r="E23" s="27" t="s">
        <v>291</v>
      </c>
      <c r="F23" s="27" t="b">
        <v>0</v>
      </c>
      <c r="G23" t="str">
        <f ca="1">IF(B23,_xll.BookPricingOutput.GetLeg1($B$6,A23),"-")</f>
        <v>-</v>
      </c>
      <c r="H23" t="str">
        <f ca="1">IF(B23,_xll.BookPricingOutput.GetLeg2($B$6,A23),"-")</f>
        <v>-</v>
      </c>
      <c r="I23" t="str">
        <f ca="1">IF(B23,_xll.BookPricingOutput.DirtyPrice($B$6,A23),"-")</f>
        <v>-</v>
      </c>
      <c r="J23" s="32" t="str">
        <f ca="1">IF(B23,_xll.BookPricingOutput.DirtyPriceConfidence($B$6,A23),"-")</f>
        <v>-</v>
      </c>
      <c r="K23" s="32" t="str">
        <f ca="1">IF(B23,_xll.BookPricingOutput.FairSpread($B$6,A23)*10000,"-")</f>
        <v>-</v>
      </c>
      <c r="L23" s="32" t="str">
        <f ca="1">IF(B23,_xll.BookPricingOutput.DirtyPriceLeg($B$6,G23),"-")</f>
        <v>-</v>
      </c>
      <c r="M23" s="32" t="str">
        <f ca="1">IF(B23,_xll.BookPricingOutput.DirtyPriceLegConfidence($B$6,G23),"-")</f>
        <v>-</v>
      </c>
      <c r="N23" s="32" t="str">
        <f ca="1">IF(B23,_xll.BookPricingOutput.DirtyPriceLeg($B$6,H23),"-")</f>
        <v>-</v>
      </c>
      <c r="O23" s="32" t="str">
        <f ca="1">IF(B23,_xll.BookPricingOutput.DirtyPriceLegConfidence($B$6,H23),"-")</f>
        <v>-</v>
      </c>
      <c r="P23" s="32" t="str">
        <f ca="1">IF(B23,_xll.BookPricingOutput.GetPricingTime($B$6,A23),"-")</f>
        <v>-</v>
      </c>
      <c r="Q23" t="str">
        <f ca="1">IF(B23,_xll.BookPricingOutput.GetStatus($B$6,A23),"-")</f>
        <v>-</v>
      </c>
    </row>
    <row r="24" spans="1:20" x14ac:dyDescent="0.35">
      <c r="A24" t="str">
        <f ca="1"/>
        <v/>
      </c>
      <c r="B24" t="b">
        <v>0</v>
      </c>
      <c r="C24" t="s">
        <v>276</v>
      </c>
      <c r="D24" t="s">
        <v>33</v>
      </c>
      <c r="E24" s="27" t="s">
        <v>291</v>
      </c>
      <c r="F24" s="27" t="b">
        <v>0</v>
      </c>
      <c r="G24" t="str">
        <f ca="1">IF(B24,_xll.BookPricingOutput.GetLeg1($B$6,A24),"-")</f>
        <v>-</v>
      </c>
      <c r="H24" t="str">
        <f ca="1">IF(B24,_xll.BookPricingOutput.GetLeg2($B$6,A24),"-")</f>
        <v>-</v>
      </c>
      <c r="I24" t="str">
        <f ca="1">IF(B24,_xll.BookPricingOutput.DirtyPrice($B$6,A24),"-")</f>
        <v>-</v>
      </c>
      <c r="J24" s="32" t="str">
        <f ca="1">IF(B24,_xll.BookPricingOutput.DirtyPriceConfidence($B$6,A24),"-")</f>
        <v>-</v>
      </c>
      <c r="K24" s="32" t="str">
        <f ca="1">IF(B24,_xll.BookPricingOutput.FairSpread($B$6,A24)*10000,"-")</f>
        <v>-</v>
      </c>
      <c r="L24" s="32" t="str">
        <f ca="1">IF(B24,_xll.BookPricingOutput.DirtyPriceLeg($B$6,G24),"-")</f>
        <v>-</v>
      </c>
      <c r="M24" s="32" t="str">
        <f ca="1">IF(B24,_xll.BookPricingOutput.DirtyPriceLegConfidence($B$6,G24),"-")</f>
        <v>-</v>
      </c>
      <c r="N24" s="32" t="str">
        <f ca="1">IF(B24,_xll.BookPricingOutput.DirtyPriceLeg($B$6,H24),"-")</f>
        <v>-</v>
      </c>
      <c r="O24" s="32" t="str">
        <f ca="1">IF(B24,_xll.BookPricingOutput.DirtyPriceLegConfidence($B$6,H24),"-")</f>
        <v>-</v>
      </c>
      <c r="P24" s="32" t="str">
        <f ca="1">IF(B24,_xll.BookPricingOutput.GetPricingTime($B$6,A24),"-")</f>
        <v>-</v>
      </c>
      <c r="Q24" t="str">
        <f ca="1">IF(B24,_xll.BookPricingOutput.GetStatus($B$6,A24),"-")</f>
        <v>-</v>
      </c>
    </row>
    <row r="25" spans="1:20" x14ac:dyDescent="0.35">
      <c r="A25" t="str">
        <f ca="1"/>
        <v/>
      </c>
      <c r="B25" t="b">
        <v>0</v>
      </c>
      <c r="C25" t="s">
        <v>276</v>
      </c>
      <c r="D25" t="s">
        <v>33</v>
      </c>
      <c r="E25" s="27" t="s">
        <v>291</v>
      </c>
      <c r="F25" s="27" t="b">
        <v>0</v>
      </c>
      <c r="G25" t="str">
        <f ca="1">IF(B25,_xll.BookPricingOutput.GetLeg1($B$6,A25),"-")</f>
        <v>-</v>
      </c>
      <c r="H25" t="str">
        <f ca="1">IF(B25,_xll.BookPricingOutput.GetLeg2($B$6,A25),"-")</f>
        <v>-</v>
      </c>
      <c r="I25" t="str">
        <f ca="1">IF(B25,_xll.BookPricingOutput.DirtyPrice($B$6,A25),"-")</f>
        <v>-</v>
      </c>
      <c r="J25" s="32" t="str">
        <f ca="1">IF(B25,_xll.BookPricingOutput.DirtyPriceConfidence($B$6,A25),"-")</f>
        <v>-</v>
      </c>
      <c r="K25" s="32" t="str">
        <f ca="1">IF(B25,_xll.BookPricingOutput.FairSpread($B$6,A25)*10000,"-")</f>
        <v>-</v>
      </c>
      <c r="L25" s="32" t="str">
        <f ca="1">IF(B25,_xll.BookPricingOutput.DirtyPriceLeg($B$6,G25),"-")</f>
        <v>-</v>
      </c>
      <c r="M25" s="32" t="str">
        <f ca="1">IF(B25,_xll.BookPricingOutput.DirtyPriceLegConfidence($B$6,G25),"-")</f>
        <v>-</v>
      </c>
      <c r="N25" s="32" t="str">
        <f ca="1">IF(B25,_xll.BookPricingOutput.DirtyPriceLeg($B$6,H25),"-")</f>
        <v>-</v>
      </c>
      <c r="O25" s="32" t="str">
        <f ca="1">IF(B25,_xll.BookPricingOutput.DirtyPriceLegConfidence($B$6,H25),"-")</f>
        <v>-</v>
      </c>
      <c r="P25" s="32" t="str">
        <f ca="1">IF(B25,_xll.BookPricingOutput.GetPricingTime($B$6,A25),"-")</f>
        <v>-</v>
      </c>
      <c r="Q25" t="str">
        <f ca="1">IF(B25,_xll.BookPricingOutput.GetStatus($B$6,A25),"-")</f>
        <v>-</v>
      </c>
    </row>
    <row r="26" spans="1:20" x14ac:dyDescent="0.35">
      <c r="A26" t="str">
        <f ca="1"/>
        <v/>
      </c>
      <c r="B26" t="b">
        <v>0</v>
      </c>
      <c r="C26" t="s">
        <v>276</v>
      </c>
      <c r="D26" t="s">
        <v>33</v>
      </c>
      <c r="E26" s="27" t="s">
        <v>291</v>
      </c>
      <c r="F26" s="27" t="b">
        <v>0</v>
      </c>
      <c r="G26" t="str">
        <f ca="1">IF(B26,_xll.BookPricingOutput.GetLeg1($B$6,A26),"-")</f>
        <v>-</v>
      </c>
      <c r="H26" t="str">
        <f ca="1">IF(B26,_xll.BookPricingOutput.GetLeg2($B$6,A26),"-")</f>
        <v>-</v>
      </c>
      <c r="I26" t="str">
        <f ca="1">IF(B26,_xll.BookPricingOutput.DirtyPrice($B$6,A26),"-")</f>
        <v>-</v>
      </c>
      <c r="J26" s="32" t="str">
        <f ca="1">IF(B26,_xll.BookPricingOutput.DirtyPriceConfidence($B$6,A26),"-")</f>
        <v>-</v>
      </c>
      <c r="K26" s="32" t="str">
        <f ca="1">IF(B26,_xll.BookPricingOutput.FairSpread($B$6,A26)*10000,"-")</f>
        <v>-</v>
      </c>
      <c r="L26" s="32" t="str">
        <f ca="1">IF(B26,_xll.BookPricingOutput.DirtyPriceLeg($B$6,G26),"-")</f>
        <v>-</v>
      </c>
      <c r="M26" s="32" t="str">
        <f ca="1">IF(B26,_xll.BookPricingOutput.DirtyPriceLegConfidence($B$6,G26),"-")</f>
        <v>-</v>
      </c>
      <c r="N26" s="32" t="str">
        <f ca="1">IF(B26,_xll.BookPricingOutput.DirtyPriceLeg($B$6,H26),"-")</f>
        <v>-</v>
      </c>
      <c r="O26" s="32" t="str">
        <f ca="1">IF(B26,_xll.BookPricingOutput.DirtyPriceLegConfidence($B$6,H26),"-")</f>
        <v>-</v>
      </c>
      <c r="P26" s="32" t="str">
        <f ca="1">IF(B26,_xll.BookPricingOutput.GetPricingTime($B$6,A26),"-")</f>
        <v>-</v>
      </c>
      <c r="Q26" t="str">
        <f ca="1">IF(B26,_xll.BookPricingOutput.GetStatus($B$6,A26),"-")</f>
        <v>-</v>
      </c>
    </row>
    <row r="27" spans="1:20" x14ac:dyDescent="0.35">
      <c r="A27" t="str">
        <f ca="1"/>
        <v/>
      </c>
      <c r="B27" t="b">
        <v>0</v>
      </c>
      <c r="C27" t="s">
        <v>276</v>
      </c>
      <c r="D27" t="s">
        <v>33</v>
      </c>
      <c r="E27" s="27" t="s">
        <v>291</v>
      </c>
      <c r="F27" s="27" t="b">
        <v>0</v>
      </c>
      <c r="G27" t="str">
        <f ca="1">IF(B27,_xll.BookPricingOutput.GetLeg1($B$6,A27),"-")</f>
        <v>-</v>
      </c>
      <c r="H27" t="str">
        <f ca="1">IF(B27,_xll.BookPricingOutput.GetLeg2($B$6,A27),"-")</f>
        <v>-</v>
      </c>
      <c r="I27" t="str">
        <f ca="1">IF(B27,_xll.BookPricingOutput.DirtyPrice($B$6,A27),"-")</f>
        <v>-</v>
      </c>
      <c r="J27" s="32" t="str">
        <f ca="1">IF(B27,_xll.BookPricingOutput.DirtyPriceConfidence($B$6,A27),"-")</f>
        <v>-</v>
      </c>
      <c r="K27" s="32" t="str">
        <f ca="1">IF(B27,_xll.BookPricingOutput.FairSpread($B$6,A27)*10000,"-")</f>
        <v>-</v>
      </c>
      <c r="L27" s="32" t="str">
        <f ca="1">IF(B27,_xll.BookPricingOutput.DirtyPriceLeg($B$6,G27),"-")</f>
        <v>-</v>
      </c>
      <c r="M27" s="32" t="str">
        <f ca="1">IF(B27,_xll.BookPricingOutput.DirtyPriceLegConfidence($B$6,G27),"-")</f>
        <v>-</v>
      </c>
      <c r="N27" s="32" t="str">
        <f ca="1">IF(B27,_xll.BookPricingOutput.DirtyPriceLeg($B$6,H27),"-")</f>
        <v>-</v>
      </c>
      <c r="O27" s="32" t="str">
        <f ca="1">IF(B27,_xll.BookPricingOutput.DirtyPriceLegConfidence($B$6,H27),"-")</f>
        <v>-</v>
      </c>
      <c r="P27" s="32" t="str">
        <f ca="1">IF(B27,_xll.BookPricingOutput.GetPricingTime($B$6,A27),"-")</f>
        <v>-</v>
      </c>
      <c r="Q27" t="str">
        <f ca="1">IF(B27,_xll.BookPricingOutput.GetStatus($B$6,A27),"-")</f>
        <v>-</v>
      </c>
    </row>
    <row r="28" spans="1:20" x14ac:dyDescent="0.35">
      <c r="A28" t="str">
        <f ca="1"/>
        <v/>
      </c>
      <c r="B28" t="b">
        <v>0</v>
      </c>
      <c r="C28" t="s">
        <v>276</v>
      </c>
      <c r="D28" t="s">
        <v>33</v>
      </c>
      <c r="E28" s="27" t="s">
        <v>291</v>
      </c>
      <c r="F28" s="27" t="b">
        <v>0</v>
      </c>
      <c r="G28" t="str">
        <f ca="1">IF(B28,_xll.BookPricingOutput.GetLeg1($B$6,A28),"-")</f>
        <v>-</v>
      </c>
      <c r="H28" t="str">
        <f ca="1">IF(B28,_xll.BookPricingOutput.GetLeg2($B$6,A28),"-")</f>
        <v>-</v>
      </c>
      <c r="I28" t="str">
        <f ca="1">IF(B28,_xll.BookPricingOutput.DirtyPrice($B$6,A28),"-")</f>
        <v>-</v>
      </c>
      <c r="J28" s="32" t="str">
        <f ca="1">IF(B28,_xll.BookPricingOutput.DirtyPriceConfidence($B$6,A28),"-")</f>
        <v>-</v>
      </c>
      <c r="K28" s="32" t="str">
        <f ca="1">IF(B28,_xll.BookPricingOutput.FairSpread($B$6,A28)*10000,"-")</f>
        <v>-</v>
      </c>
      <c r="L28" s="32" t="str">
        <f ca="1">IF(B28,_xll.BookPricingOutput.DirtyPriceLeg($B$6,G28),"-")</f>
        <v>-</v>
      </c>
      <c r="M28" s="32" t="str">
        <f ca="1">IF(B28,_xll.BookPricingOutput.DirtyPriceLegConfidence($B$6,G28),"-")</f>
        <v>-</v>
      </c>
      <c r="N28" s="32" t="str">
        <f ca="1">IF(B28,_xll.BookPricingOutput.DirtyPriceLeg($B$6,H28),"-")</f>
        <v>-</v>
      </c>
      <c r="O28" s="32" t="str">
        <f ca="1">IF(B28,_xll.BookPricingOutput.DirtyPriceLegConfidence($B$6,H28),"-")</f>
        <v>-</v>
      </c>
      <c r="P28" s="32" t="str">
        <f ca="1">IF(B28,_xll.BookPricingOutput.GetPricingTime($B$6,A28),"-")</f>
        <v>-</v>
      </c>
      <c r="Q28" t="str">
        <f ca="1">IF(B28,_xll.BookPricingOutput.GetStatus($B$6,A28),"-")</f>
        <v>-</v>
      </c>
    </row>
    <row r="29" spans="1:20" x14ac:dyDescent="0.35">
      <c r="A29" t="str">
        <f ca="1"/>
        <v/>
      </c>
      <c r="B29" t="b">
        <v>0</v>
      </c>
      <c r="C29" t="s">
        <v>276</v>
      </c>
      <c r="D29" t="s">
        <v>33</v>
      </c>
      <c r="E29" s="27" t="s">
        <v>291</v>
      </c>
      <c r="F29" s="27" t="b">
        <v>0</v>
      </c>
      <c r="G29" t="str">
        <f ca="1">IF(B29,_xll.BookPricingOutput.GetLeg1($B$6,A29),"-")</f>
        <v>-</v>
      </c>
      <c r="H29" t="str">
        <f ca="1">IF(B29,_xll.BookPricingOutput.GetLeg2($B$6,A29),"-")</f>
        <v>-</v>
      </c>
      <c r="I29" t="str">
        <f ca="1">IF(B29,_xll.BookPricingOutput.DirtyPrice($B$6,A29),"-")</f>
        <v>-</v>
      </c>
      <c r="J29" s="32" t="str">
        <f ca="1">IF(B29,_xll.BookPricingOutput.DirtyPriceConfidence($B$6,A29),"-")</f>
        <v>-</v>
      </c>
      <c r="K29" s="32" t="str">
        <f ca="1">IF(B29,_xll.BookPricingOutput.FairSpread($B$6,A29)*10000,"-")</f>
        <v>-</v>
      </c>
      <c r="L29" s="32" t="str">
        <f ca="1">IF(B29,_xll.BookPricingOutput.DirtyPriceLeg($B$6,G29),"-")</f>
        <v>-</v>
      </c>
      <c r="M29" s="32" t="str">
        <f ca="1">IF(B29,_xll.BookPricingOutput.DirtyPriceLegConfidence($B$6,G29),"-")</f>
        <v>-</v>
      </c>
      <c r="N29" s="32" t="str">
        <f ca="1">IF(B29,_xll.BookPricingOutput.DirtyPriceLeg($B$6,H29),"-")</f>
        <v>-</v>
      </c>
      <c r="O29" s="32" t="str">
        <f ca="1">IF(B29,_xll.BookPricingOutput.DirtyPriceLegConfidence($B$6,H29),"-")</f>
        <v>-</v>
      </c>
      <c r="P29" s="32" t="str">
        <f ca="1">IF(B29,_xll.BookPricingOutput.GetPricingTime($B$6,A29),"-")</f>
        <v>-</v>
      </c>
      <c r="Q29" t="str">
        <f ca="1">IF(B29,_xll.BookPricingOutput.GetStatus($B$6,A29),"-")</f>
        <v>-</v>
      </c>
    </row>
    <row r="30" spans="1:20" x14ac:dyDescent="0.35">
      <c r="A30" t="str">
        <f ca="1"/>
        <v/>
      </c>
      <c r="B30" t="b">
        <v>0</v>
      </c>
      <c r="C30" t="s">
        <v>276</v>
      </c>
      <c r="D30" t="s">
        <v>33</v>
      </c>
      <c r="E30" s="27" t="s">
        <v>291</v>
      </c>
      <c r="F30" s="27" t="b">
        <v>0</v>
      </c>
      <c r="G30" t="str">
        <f ca="1">IF(B30,_xll.BookPricingOutput.GetLeg1($B$6,A30),"-")</f>
        <v>-</v>
      </c>
      <c r="H30" t="str">
        <f ca="1">IF(B30,_xll.BookPricingOutput.GetLeg2($B$6,A30),"-")</f>
        <v>-</v>
      </c>
      <c r="I30" t="str">
        <f ca="1">IF(B30,_xll.BookPricingOutput.DirtyPrice($B$6,A30),"-")</f>
        <v>-</v>
      </c>
      <c r="J30" s="32" t="str">
        <f ca="1">IF(B30,_xll.BookPricingOutput.DirtyPriceConfidence($B$6,A30),"-")</f>
        <v>-</v>
      </c>
      <c r="K30" s="32" t="str">
        <f ca="1">IF(B30,_xll.BookPricingOutput.FairSpread($B$6,A30)*10000,"-")</f>
        <v>-</v>
      </c>
      <c r="L30" s="32" t="str">
        <f ca="1">IF(B30,_xll.BookPricingOutput.DirtyPriceLeg($B$6,G30),"-")</f>
        <v>-</v>
      </c>
      <c r="M30" s="32" t="str">
        <f ca="1">IF(B30,_xll.BookPricingOutput.DirtyPriceLegConfidence($B$6,G30),"-")</f>
        <v>-</v>
      </c>
      <c r="N30" s="32" t="str">
        <f ca="1">IF(B30,_xll.BookPricingOutput.DirtyPriceLeg($B$6,H30),"-")</f>
        <v>-</v>
      </c>
      <c r="O30" s="32" t="str">
        <f ca="1">IF(B30,_xll.BookPricingOutput.DirtyPriceLegConfidence($B$6,H30),"-")</f>
        <v>-</v>
      </c>
      <c r="P30" s="32" t="str">
        <f ca="1">IF(B30,_xll.BookPricingOutput.GetPricingTime($B$6,A30),"-")</f>
        <v>-</v>
      </c>
      <c r="Q30" t="str">
        <f ca="1">IF(B30,_xll.BookPricingOutput.GetStatus($B$6,A30),"-")</f>
        <v>-</v>
      </c>
    </row>
    <row r="31" spans="1:20" x14ac:dyDescent="0.35">
      <c r="A31" t="str">
        <f ca="1"/>
        <v/>
      </c>
      <c r="B31" t="b">
        <v>0</v>
      </c>
      <c r="C31" t="s">
        <v>276</v>
      </c>
      <c r="D31" t="s">
        <v>33</v>
      </c>
      <c r="E31" s="27" t="s">
        <v>291</v>
      </c>
      <c r="F31" s="27" t="b">
        <v>0</v>
      </c>
      <c r="G31" t="str">
        <f ca="1">IF(B31,_xll.BookPricingOutput.GetLeg1($B$6,A31),"-")</f>
        <v>-</v>
      </c>
      <c r="H31" t="str">
        <f ca="1">IF(B31,_xll.BookPricingOutput.GetLeg2($B$6,A31),"-")</f>
        <v>-</v>
      </c>
      <c r="I31" t="str">
        <f ca="1">IF(B31,_xll.BookPricingOutput.DirtyPrice($B$6,A31),"-")</f>
        <v>-</v>
      </c>
      <c r="J31" s="32" t="str">
        <f ca="1">IF(B31,_xll.BookPricingOutput.DirtyPriceConfidence($B$6,A31),"-")</f>
        <v>-</v>
      </c>
      <c r="K31" s="32" t="str">
        <f ca="1">IF(B31,_xll.BookPricingOutput.FairSpread($B$6,A31)*10000,"-")</f>
        <v>-</v>
      </c>
      <c r="L31" s="32" t="str">
        <f ca="1">IF(B31,_xll.BookPricingOutput.DirtyPriceLeg($B$6,G31),"-")</f>
        <v>-</v>
      </c>
      <c r="M31" s="32" t="str">
        <f ca="1">IF(B31,_xll.BookPricingOutput.DirtyPriceLegConfidence($B$6,G31),"-")</f>
        <v>-</v>
      </c>
      <c r="N31" s="32" t="str">
        <f ca="1">IF(B31,_xll.BookPricingOutput.DirtyPriceLeg($B$6,H31),"-")</f>
        <v>-</v>
      </c>
      <c r="O31" s="32" t="str">
        <f ca="1">IF(B31,_xll.BookPricingOutput.DirtyPriceLegConfidence($B$6,H31),"-")</f>
        <v>-</v>
      </c>
      <c r="P31" s="32" t="str">
        <f ca="1">IF(B31,_xll.BookPricingOutput.GetPricingTime($B$6,A31),"-")</f>
        <v>-</v>
      </c>
      <c r="Q31" t="str">
        <f ca="1">IF(B31,_xll.BookPricingOutput.GetStatus($B$6,A31),"-")</f>
        <v>-</v>
      </c>
    </row>
    <row r="32" spans="1:20" x14ac:dyDescent="0.35">
      <c r="A32" t="str">
        <f ca="1"/>
        <v/>
      </c>
      <c r="B32" t="b">
        <v>0</v>
      </c>
      <c r="C32" t="s">
        <v>276</v>
      </c>
      <c r="D32" t="s">
        <v>33</v>
      </c>
      <c r="E32" s="27" t="s">
        <v>291</v>
      </c>
      <c r="F32" s="27" t="b">
        <v>0</v>
      </c>
      <c r="G32" t="str">
        <f ca="1">IF(B32,_xll.BookPricingOutput.GetLeg1($B$6,A32),"-")</f>
        <v>-</v>
      </c>
      <c r="H32" t="str">
        <f ca="1">IF(B32,_xll.BookPricingOutput.GetLeg2($B$6,A32),"-")</f>
        <v>-</v>
      </c>
      <c r="I32" t="str">
        <f ca="1">IF(B32,_xll.BookPricingOutput.DirtyPrice($B$6,A32),"-")</f>
        <v>-</v>
      </c>
      <c r="J32" s="32" t="str">
        <f ca="1">IF(B32,_xll.BookPricingOutput.DirtyPriceConfidence($B$6,A32),"-")</f>
        <v>-</v>
      </c>
      <c r="K32" s="32" t="str">
        <f ca="1">IF(B32,_xll.BookPricingOutput.FairSpread($B$6,A32)*10000,"-")</f>
        <v>-</v>
      </c>
      <c r="L32" s="32" t="str">
        <f ca="1">IF(B32,_xll.BookPricingOutput.DirtyPriceLeg($B$6,G32),"-")</f>
        <v>-</v>
      </c>
      <c r="M32" s="32" t="str">
        <f ca="1">IF(B32,_xll.BookPricingOutput.DirtyPriceLegConfidence($B$6,G32),"-")</f>
        <v>-</v>
      </c>
      <c r="N32" s="32" t="str">
        <f ca="1">IF(B32,_xll.BookPricingOutput.DirtyPriceLeg($B$6,H32),"-")</f>
        <v>-</v>
      </c>
      <c r="O32" s="32" t="str">
        <f ca="1">IF(B32,_xll.BookPricingOutput.DirtyPriceLegConfidence($B$6,H32),"-")</f>
        <v>-</v>
      </c>
      <c r="P32" s="32" t="str">
        <f ca="1">IF(B32,_xll.BookPricingOutput.GetPricingTime($B$6,A32),"-")</f>
        <v>-</v>
      </c>
      <c r="Q32" t="str">
        <f ca="1">IF(B32,_xll.BookPricingOutput.GetStatus($B$6,A32),"-")</f>
        <v>-</v>
      </c>
    </row>
    <row r="33" spans="1:17" x14ac:dyDescent="0.35">
      <c r="A33" t="str">
        <f ca="1"/>
        <v/>
      </c>
      <c r="B33" t="b">
        <v>0</v>
      </c>
      <c r="C33" t="s">
        <v>276</v>
      </c>
      <c r="D33" t="s">
        <v>33</v>
      </c>
      <c r="E33" s="27" t="s">
        <v>291</v>
      </c>
      <c r="F33" s="27" t="b">
        <v>0</v>
      </c>
      <c r="G33" t="str">
        <f ca="1">IF(B33,_xll.BookPricingOutput.GetLeg1($B$6,A33),"-")</f>
        <v>-</v>
      </c>
      <c r="H33" t="str">
        <f ca="1">IF(B33,_xll.BookPricingOutput.GetLeg2($B$6,A33),"-")</f>
        <v>-</v>
      </c>
      <c r="I33" t="str">
        <f ca="1">IF(B33,_xll.BookPricingOutput.DirtyPrice($B$6,A33),"-")</f>
        <v>-</v>
      </c>
      <c r="J33" s="32" t="str">
        <f ca="1">IF(B33,_xll.BookPricingOutput.DirtyPriceConfidence($B$6,A33),"-")</f>
        <v>-</v>
      </c>
      <c r="K33" s="32" t="str">
        <f ca="1">IF(B33,_xll.BookPricingOutput.FairSpread($B$6,A33)*10000,"-")</f>
        <v>-</v>
      </c>
      <c r="L33" s="32" t="str">
        <f ca="1">IF(B33,_xll.BookPricingOutput.DirtyPriceLeg($B$6,G33),"-")</f>
        <v>-</v>
      </c>
      <c r="M33" s="32" t="str">
        <f ca="1">IF(B33,_xll.BookPricingOutput.DirtyPriceLegConfidence($B$6,G33),"-")</f>
        <v>-</v>
      </c>
      <c r="N33" s="32" t="str">
        <f ca="1">IF(B33,_xll.BookPricingOutput.DirtyPriceLeg($B$6,H33),"-")</f>
        <v>-</v>
      </c>
      <c r="O33" s="32" t="str">
        <f ca="1">IF(B33,_xll.BookPricingOutput.DirtyPriceLegConfidence($B$6,H33),"-")</f>
        <v>-</v>
      </c>
      <c r="P33" s="32" t="str">
        <f ca="1">IF(B33,_xll.BookPricingOutput.GetPricingTime($B$6,A33),"-")</f>
        <v>-</v>
      </c>
      <c r="Q33" t="str">
        <f ca="1">IF(B33,_xll.BookPricingOutput.GetStatus($B$6,A33),"-")</f>
        <v>-</v>
      </c>
    </row>
    <row r="34" spans="1:17" x14ac:dyDescent="0.35">
      <c r="A34" t="str">
        <f ca="1"/>
        <v/>
      </c>
      <c r="B34" t="b">
        <v>0</v>
      </c>
      <c r="C34" t="s">
        <v>276</v>
      </c>
      <c r="D34" t="s">
        <v>33</v>
      </c>
      <c r="E34" s="27" t="s">
        <v>291</v>
      </c>
      <c r="F34" s="27" t="b">
        <v>0</v>
      </c>
      <c r="G34" t="str">
        <f ca="1">IF(B34,_xll.BookPricingOutput.GetLeg1($B$6,A34),"-")</f>
        <v>-</v>
      </c>
      <c r="H34" t="str">
        <f ca="1">IF(B34,_xll.BookPricingOutput.GetLeg2($B$6,A34),"-")</f>
        <v>-</v>
      </c>
      <c r="I34" t="str">
        <f ca="1">IF(B34,_xll.BookPricingOutput.DirtyPrice($B$6,A34),"-")</f>
        <v>-</v>
      </c>
      <c r="J34" s="32" t="str">
        <f ca="1">IF(B34,_xll.BookPricingOutput.DirtyPriceConfidence($B$6,A34),"-")</f>
        <v>-</v>
      </c>
      <c r="K34" s="32" t="str">
        <f ca="1">IF(B34,_xll.BookPricingOutput.FairSpread($B$6,A34)*10000,"-")</f>
        <v>-</v>
      </c>
      <c r="L34" s="32" t="str">
        <f ca="1">IF(B34,_xll.BookPricingOutput.DirtyPriceLeg($B$6,G34),"-")</f>
        <v>-</v>
      </c>
      <c r="M34" s="32" t="str">
        <f ca="1">IF(B34,_xll.BookPricingOutput.DirtyPriceLegConfidence($B$6,G34),"-")</f>
        <v>-</v>
      </c>
      <c r="N34" s="32" t="str">
        <f ca="1">IF(B34,_xll.BookPricingOutput.DirtyPriceLeg($B$6,H34),"-")</f>
        <v>-</v>
      </c>
      <c r="O34" s="32" t="str">
        <f ca="1">IF(B34,_xll.BookPricingOutput.DirtyPriceLegConfidence($B$6,H34),"-")</f>
        <v>-</v>
      </c>
      <c r="P34" s="32" t="str">
        <f ca="1">IF(B34,_xll.BookPricingOutput.GetPricingTime($B$6,A34),"-")</f>
        <v>-</v>
      </c>
      <c r="Q34" t="str">
        <f ca="1">IF(B34,_xll.BookPricingOutput.GetStatus($B$6,A34),"-")</f>
        <v>-</v>
      </c>
    </row>
    <row r="35" spans="1:17" x14ac:dyDescent="0.35">
      <c r="A35" t="str">
        <f ca="1"/>
        <v/>
      </c>
      <c r="B35" t="b">
        <v>0</v>
      </c>
      <c r="C35" t="s">
        <v>276</v>
      </c>
      <c r="D35" t="s">
        <v>33</v>
      </c>
      <c r="E35" s="27" t="s">
        <v>291</v>
      </c>
      <c r="F35" s="27" t="b">
        <v>0</v>
      </c>
      <c r="G35" t="str">
        <f ca="1">IF(B35,_xll.BookPricingOutput.GetLeg1($B$6,A35),"-")</f>
        <v>-</v>
      </c>
      <c r="H35" t="str">
        <f ca="1">IF(B35,_xll.BookPricingOutput.GetLeg2($B$6,A35),"-")</f>
        <v>-</v>
      </c>
      <c r="I35" t="str">
        <f ca="1">IF(B35,_xll.BookPricingOutput.DirtyPrice($B$6,A35),"-")</f>
        <v>-</v>
      </c>
      <c r="J35" s="32" t="str">
        <f ca="1">IF(B35,_xll.BookPricingOutput.DirtyPriceConfidence($B$6,A35),"-")</f>
        <v>-</v>
      </c>
      <c r="K35" s="32" t="str">
        <f ca="1">IF(B35,_xll.BookPricingOutput.FairSpread($B$6,A35)*10000,"-")</f>
        <v>-</v>
      </c>
      <c r="L35" s="32" t="str">
        <f ca="1">IF(B35,_xll.BookPricingOutput.DirtyPriceLeg($B$6,G35),"-")</f>
        <v>-</v>
      </c>
      <c r="M35" s="32" t="str">
        <f ca="1">IF(B35,_xll.BookPricingOutput.DirtyPriceLegConfidence($B$6,G35),"-")</f>
        <v>-</v>
      </c>
      <c r="N35" s="32" t="str">
        <f ca="1">IF(B35,_xll.BookPricingOutput.DirtyPriceLeg($B$6,H35),"-")</f>
        <v>-</v>
      </c>
      <c r="O35" s="32" t="str">
        <f ca="1">IF(B35,_xll.BookPricingOutput.DirtyPriceLegConfidence($B$6,H35),"-")</f>
        <v>-</v>
      </c>
      <c r="P35" s="32" t="str">
        <f ca="1">IF(B35,_xll.BookPricingOutput.GetPricingTime($B$6,A35),"-")</f>
        <v>-</v>
      </c>
      <c r="Q35" t="str">
        <f ca="1">IF(B35,_xll.BookPricingOutput.GetStatus($B$6,A35),"-")</f>
        <v>-</v>
      </c>
    </row>
    <row r="36" spans="1:17" x14ac:dyDescent="0.35">
      <c r="A36" t="str">
        <f ca="1"/>
        <v/>
      </c>
      <c r="B36" t="b">
        <v>0</v>
      </c>
      <c r="C36" t="s">
        <v>276</v>
      </c>
      <c r="D36" t="s">
        <v>33</v>
      </c>
      <c r="E36" s="27" t="s">
        <v>291</v>
      </c>
      <c r="F36" s="27" t="b">
        <v>0</v>
      </c>
      <c r="G36" t="str">
        <f ca="1">IF(B36,_xll.BookPricingOutput.GetLeg1($B$6,A36),"-")</f>
        <v>-</v>
      </c>
      <c r="H36" t="str">
        <f ca="1">IF(B36,_xll.BookPricingOutput.GetLeg2($B$6,A36),"-")</f>
        <v>-</v>
      </c>
      <c r="I36" t="str">
        <f ca="1">IF(B36,_xll.BookPricingOutput.DirtyPrice($B$6,A36),"-")</f>
        <v>-</v>
      </c>
      <c r="J36" s="32" t="str">
        <f ca="1">IF(B36,_xll.BookPricingOutput.DirtyPriceConfidence($B$6,A36),"-")</f>
        <v>-</v>
      </c>
      <c r="K36" s="32" t="str">
        <f ca="1">IF(B36,_xll.BookPricingOutput.FairSpread($B$6,A36)*10000,"-")</f>
        <v>-</v>
      </c>
      <c r="L36" s="32" t="str">
        <f ca="1">IF(B36,_xll.BookPricingOutput.DirtyPriceLeg($B$6,G36),"-")</f>
        <v>-</v>
      </c>
      <c r="M36" s="32" t="str">
        <f ca="1">IF(B36,_xll.BookPricingOutput.DirtyPriceLegConfidence($B$6,G36),"-")</f>
        <v>-</v>
      </c>
      <c r="N36" s="32" t="str">
        <f ca="1">IF(B36,_xll.BookPricingOutput.DirtyPriceLeg($B$6,H36),"-")</f>
        <v>-</v>
      </c>
      <c r="O36" s="32" t="str">
        <f ca="1">IF(B36,_xll.BookPricingOutput.DirtyPriceLegConfidence($B$6,H36),"-")</f>
        <v>-</v>
      </c>
      <c r="P36" s="32" t="str">
        <f ca="1">IF(B36,_xll.BookPricingOutput.GetPricingTime($B$6,A36),"-")</f>
        <v>-</v>
      </c>
      <c r="Q36" t="str">
        <f ca="1">IF(B36,_xll.BookPricingOutput.GetStatus($B$6,A36),"-")</f>
        <v>-</v>
      </c>
    </row>
    <row r="37" spans="1:17" x14ac:dyDescent="0.35">
      <c r="A37" t="str">
        <f ca="1"/>
        <v/>
      </c>
      <c r="B37" t="b">
        <v>0</v>
      </c>
      <c r="C37" t="s">
        <v>276</v>
      </c>
      <c r="D37" t="s">
        <v>33</v>
      </c>
      <c r="E37" s="27" t="s">
        <v>291</v>
      </c>
      <c r="F37" s="27" t="b">
        <v>0</v>
      </c>
      <c r="G37" t="str">
        <f ca="1">IF(B37,_xll.BookPricingOutput.GetLeg1($B$6,A37),"-")</f>
        <v>-</v>
      </c>
      <c r="H37" t="str">
        <f ca="1">IF(B37,_xll.BookPricingOutput.GetLeg2($B$6,A37),"-")</f>
        <v>-</v>
      </c>
      <c r="I37" t="str">
        <f ca="1">IF(B37,_xll.BookPricingOutput.DirtyPrice($B$6,A37),"-")</f>
        <v>-</v>
      </c>
      <c r="J37" s="32" t="str">
        <f ca="1">IF(B37,_xll.BookPricingOutput.DirtyPriceConfidence($B$6,A37),"-")</f>
        <v>-</v>
      </c>
      <c r="K37" s="32" t="str">
        <f ca="1">IF(B37,_xll.BookPricingOutput.FairSpread($B$6,A37)*10000,"-")</f>
        <v>-</v>
      </c>
      <c r="L37" s="32" t="str">
        <f ca="1">IF(B37,_xll.BookPricingOutput.DirtyPriceLeg($B$6,G37),"-")</f>
        <v>-</v>
      </c>
      <c r="M37" s="32" t="str">
        <f ca="1">IF(B37,_xll.BookPricingOutput.DirtyPriceLegConfidence($B$6,G37),"-")</f>
        <v>-</v>
      </c>
      <c r="N37" s="32" t="str">
        <f ca="1">IF(B37,_xll.BookPricingOutput.DirtyPriceLeg($B$6,H37),"-")</f>
        <v>-</v>
      </c>
      <c r="O37" s="32" t="str">
        <f ca="1">IF(B37,_xll.BookPricingOutput.DirtyPriceLegConfidence($B$6,H37),"-")</f>
        <v>-</v>
      </c>
      <c r="P37" s="32" t="str">
        <f ca="1">IF(B37,_xll.BookPricingOutput.GetPricingTime($B$6,A37),"-")</f>
        <v>-</v>
      </c>
      <c r="Q37" t="str">
        <f ca="1">IF(B37,_xll.BookPricingOutput.GetStatus($B$6,A37),"-")</f>
        <v>-</v>
      </c>
    </row>
    <row r="38" spans="1:17" x14ac:dyDescent="0.35">
      <c r="A38" t="str">
        <f ca="1"/>
        <v/>
      </c>
      <c r="B38" t="b">
        <v>0</v>
      </c>
      <c r="C38" t="s">
        <v>276</v>
      </c>
      <c r="D38" t="s">
        <v>33</v>
      </c>
      <c r="E38" s="27" t="s">
        <v>291</v>
      </c>
      <c r="F38" s="27" t="b">
        <v>0</v>
      </c>
      <c r="G38" t="str">
        <f ca="1">IF(B38,_xll.BookPricingOutput.GetLeg1($B$6,A38),"-")</f>
        <v>-</v>
      </c>
      <c r="H38" t="str">
        <f ca="1">IF(B38,_xll.BookPricingOutput.GetLeg2($B$6,A38),"-")</f>
        <v>-</v>
      </c>
      <c r="I38" t="str">
        <f ca="1">IF(B38,_xll.BookPricingOutput.DirtyPrice($B$6,A38),"-")</f>
        <v>-</v>
      </c>
      <c r="J38" s="32" t="str">
        <f ca="1">IF(B38,_xll.BookPricingOutput.DirtyPriceConfidence($B$6,A38),"-")</f>
        <v>-</v>
      </c>
      <c r="K38" s="32" t="str">
        <f ca="1">IF(B38,_xll.BookPricingOutput.FairSpread($B$6,A38)*10000,"-")</f>
        <v>-</v>
      </c>
      <c r="L38" s="32" t="str">
        <f ca="1">IF(B38,_xll.BookPricingOutput.DirtyPriceLeg($B$6,G38),"-")</f>
        <v>-</v>
      </c>
      <c r="M38" s="32" t="str">
        <f ca="1">IF(B38,_xll.BookPricingOutput.DirtyPriceLegConfidence($B$6,G38),"-")</f>
        <v>-</v>
      </c>
      <c r="N38" s="32" t="str">
        <f ca="1">IF(B38,_xll.BookPricingOutput.DirtyPriceLeg($B$6,H38),"-")</f>
        <v>-</v>
      </c>
      <c r="O38" s="32" t="str">
        <f ca="1">IF(B38,_xll.BookPricingOutput.DirtyPriceLegConfidence($B$6,H38),"-")</f>
        <v>-</v>
      </c>
      <c r="P38" s="32" t="str">
        <f ca="1">IF(B38,_xll.BookPricingOutput.GetPricingTime($B$6,A38),"-")</f>
        <v>-</v>
      </c>
      <c r="Q38" t="str">
        <f ca="1">IF(B38,_xll.BookPricingOutput.GetStatus($B$6,A38),"-")</f>
        <v>-</v>
      </c>
    </row>
    <row r="39" spans="1:17" x14ac:dyDescent="0.35">
      <c r="A39" t="str">
        <f ca="1"/>
        <v/>
      </c>
      <c r="B39" t="b">
        <v>0</v>
      </c>
      <c r="C39" t="s">
        <v>276</v>
      </c>
      <c r="D39" t="s">
        <v>33</v>
      </c>
      <c r="E39" s="27" t="s">
        <v>291</v>
      </c>
      <c r="F39" s="27" t="b">
        <v>0</v>
      </c>
      <c r="G39" t="str">
        <f ca="1">IF(B39,_xll.BookPricingOutput.GetLeg1($B$6,A39),"-")</f>
        <v>-</v>
      </c>
      <c r="H39" t="str">
        <f ca="1">IF(B39,_xll.BookPricingOutput.GetLeg2($B$6,A39),"-")</f>
        <v>-</v>
      </c>
      <c r="I39" t="str">
        <f ca="1">IF(B39,_xll.BookPricingOutput.DirtyPrice($B$6,A39),"-")</f>
        <v>-</v>
      </c>
      <c r="J39" s="32" t="str">
        <f ca="1">IF(B39,_xll.BookPricingOutput.DirtyPriceConfidence($B$6,A39),"-")</f>
        <v>-</v>
      </c>
      <c r="K39" s="32" t="str">
        <f ca="1">IF(B39,_xll.BookPricingOutput.FairSpread($B$6,A39)*10000,"-")</f>
        <v>-</v>
      </c>
      <c r="L39" s="32" t="str">
        <f ca="1">IF(B39,_xll.BookPricingOutput.DirtyPriceLeg($B$6,G39),"-")</f>
        <v>-</v>
      </c>
      <c r="M39" s="32" t="str">
        <f ca="1">IF(B39,_xll.BookPricingOutput.DirtyPriceLegConfidence($B$6,G39),"-")</f>
        <v>-</v>
      </c>
      <c r="N39" s="32" t="str">
        <f ca="1">IF(B39,_xll.BookPricingOutput.DirtyPriceLeg($B$6,H39),"-")</f>
        <v>-</v>
      </c>
      <c r="O39" s="32" t="str">
        <f ca="1">IF(B39,_xll.BookPricingOutput.DirtyPriceLegConfidence($B$6,H39),"-")</f>
        <v>-</v>
      </c>
      <c r="P39" s="32" t="str">
        <f ca="1">IF(B39,_xll.BookPricingOutput.GetPricingTime($B$6,A39),"-")</f>
        <v>-</v>
      </c>
      <c r="Q39" t="str">
        <f ca="1">IF(B39,_xll.BookPricingOutput.GetStatus($B$6,A39),"-")</f>
        <v>-</v>
      </c>
    </row>
    <row r="40" spans="1:17" x14ac:dyDescent="0.35">
      <c r="A40" t="str">
        <f ca="1"/>
        <v/>
      </c>
      <c r="B40" t="b">
        <v>0</v>
      </c>
      <c r="C40" t="s">
        <v>276</v>
      </c>
      <c r="D40" t="s">
        <v>33</v>
      </c>
      <c r="E40" s="27" t="s">
        <v>291</v>
      </c>
      <c r="F40" s="27" t="b">
        <v>0</v>
      </c>
      <c r="G40" t="str">
        <f ca="1">IF(B40,_xll.BookPricingOutput.GetLeg1($B$6,A40),"-")</f>
        <v>-</v>
      </c>
      <c r="H40" t="str">
        <f ca="1">IF(B40,_xll.BookPricingOutput.GetLeg2($B$6,A40),"-")</f>
        <v>-</v>
      </c>
      <c r="I40" t="str">
        <f ca="1">IF(B40,_xll.BookPricingOutput.DirtyPrice($B$6,A40),"-")</f>
        <v>-</v>
      </c>
      <c r="J40" s="32" t="str">
        <f ca="1">IF(B40,_xll.BookPricingOutput.DirtyPriceConfidence($B$6,A40),"-")</f>
        <v>-</v>
      </c>
      <c r="K40" s="32" t="str">
        <f ca="1">IF(B40,_xll.BookPricingOutput.FairSpread($B$6,A40)*10000,"-")</f>
        <v>-</v>
      </c>
      <c r="L40" s="32" t="str">
        <f ca="1">IF(B40,_xll.BookPricingOutput.DirtyPriceLeg($B$6,G40),"-")</f>
        <v>-</v>
      </c>
      <c r="M40" s="32" t="str">
        <f ca="1">IF(B40,_xll.BookPricingOutput.DirtyPriceLegConfidence($B$6,G40),"-")</f>
        <v>-</v>
      </c>
      <c r="N40" s="32" t="str">
        <f ca="1">IF(B40,_xll.BookPricingOutput.DirtyPriceLeg($B$6,H40),"-")</f>
        <v>-</v>
      </c>
      <c r="O40" s="32" t="str">
        <f ca="1">IF(B40,_xll.BookPricingOutput.DirtyPriceLegConfidence($B$6,H40),"-")</f>
        <v>-</v>
      </c>
      <c r="P40" s="32" t="str">
        <f ca="1">IF(B40,_xll.BookPricingOutput.GetPricingTime($B$6,A40),"-")</f>
        <v>-</v>
      </c>
      <c r="Q40" t="str">
        <f ca="1">IF(B40,_xll.BookPricingOutput.GetStatus($B$6,A40),"-")</f>
        <v>-</v>
      </c>
    </row>
    <row r="41" spans="1:17" x14ac:dyDescent="0.35">
      <c r="A41" t="str">
        <f ca="1"/>
        <v/>
      </c>
      <c r="B41" t="b">
        <v>0</v>
      </c>
      <c r="C41" t="s">
        <v>276</v>
      </c>
      <c r="D41" t="s">
        <v>33</v>
      </c>
      <c r="E41" s="27" t="s">
        <v>291</v>
      </c>
      <c r="F41" s="27" t="b">
        <v>0</v>
      </c>
      <c r="G41" t="str">
        <f ca="1">IF(B41,_xll.BookPricingOutput.GetLeg1($B$6,A41),"-")</f>
        <v>-</v>
      </c>
      <c r="H41" t="str">
        <f ca="1">IF(B41,_xll.BookPricingOutput.GetLeg2($B$6,A41),"-")</f>
        <v>-</v>
      </c>
      <c r="I41" t="str">
        <f ca="1">IF(B41,_xll.BookPricingOutput.DirtyPrice($B$6,A41),"-")</f>
        <v>-</v>
      </c>
      <c r="J41" s="32" t="str">
        <f ca="1">IF(B41,_xll.BookPricingOutput.DirtyPriceConfidence($B$6,A41),"-")</f>
        <v>-</v>
      </c>
      <c r="K41" s="32" t="str">
        <f ca="1">IF(B41,_xll.BookPricingOutput.FairSpread($B$6,A41)*10000,"-")</f>
        <v>-</v>
      </c>
      <c r="L41" s="32" t="str">
        <f ca="1">IF(B41,_xll.BookPricingOutput.DirtyPriceLeg($B$6,G41),"-")</f>
        <v>-</v>
      </c>
      <c r="M41" s="32" t="str">
        <f ca="1">IF(B41,_xll.BookPricingOutput.DirtyPriceLegConfidence($B$6,G41),"-")</f>
        <v>-</v>
      </c>
      <c r="N41" s="32" t="str">
        <f ca="1">IF(B41,_xll.BookPricingOutput.DirtyPriceLeg($B$6,H41),"-")</f>
        <v>-</v>
      </c>
      <c r="O41" s="32" t="str">
        <f ca="1">IF(B41,_xll.BookPricingOutput.DirtyPriceLegConfidence($B$6,H41),"-")</f>
        <v>-</v>
      </c>
      <c r="P41" s="32" t="str">
        <f ca="1">IF(B41,_xll.BookPricingOutput.GetPricingTime($B$6,A41),"-")</f>
        <v>-</v>
      </c>
      <c r="Q41" t="str">
        <f ca="1">IF(B41,_xll.BookPricingOutput.GetStatus($B$6,A41),"-")</f>
        <v>-</v>
      </c>
    </row>
    <row r="42" spans="1:17" x14ac:dyDescent="0.35">
      <c r="A42" t="str">
        <f ca="1"/>
        <v/>
      </c>
      <c r="B42" t="b">
        <v>0</v>
      </c>
      <c r="C42" t="s">
        <v>276</v>
      </c>
      <c r="D42" t="s">
        <v>33</v>
      </c>
      <c r="E42" s="27" t="s">
        <v>291</v>
      </c>
      <c r="F42" s="27" t="b">
        <v>0</v>
      </c>
      <c r="G42" t="str">
        <f ca="1">IF(B42,_xll.BookPricingOutput.GetLeg1($B$6,A42),"-")</f>
        <v>-</v>
      </c>
      <c r="H42" t="str">
        <f ca="1">IF(B42,_xll.BookPricingOutput.GetLeg2($B$6,A42),"-")</f>
        <v>-</v>
      </c>
      <c r="I42" t="str">
        <f ca="1">IF(B42,_xll.BookPricingOutput.DirtyPrice($B$6,A42),"-")</f>
        <v>-</v>
      </c>
      <c r="J42" s="32" t="str">
        <f ca="1">IF(B42,_xll.BookPricingOutput.DirtyPriceConfidence($B$6,A42),"-")</f>
        <v>-</v>
      </c>
      <c r="K42" s="32" t="str">
        <f ca="1">IF(B42,_xll.BookPricingOutput.FairSpread($B$6,A42)*10000,"-")</f>
        <v>-</v>
      </c>
      <c r="L42" s="32" t="str">
        <f ca="1">IF(B42,_xll.BookPricingOutput.DirtyPriceLeg($B$6,G42),"-")</f>
        <v>-</v>
      </c>
      <c r="M42" s="32" t="str">
        <f ca="1">IF(B42,_xll.BookPricingOutput.DirtyPriceLegConfidence($B$6,G42),"-")</f>
        <v>-</v>
      </c>
      <c r="N42" s="32" t="str">
        <f ca="1">IF(B42,_xll.BookPricingOutput.DirtyPriceLeg($B$6,H42),"-")</f>
        <v>-</v>
      </c>
      <c r="O42" s="32" t="str">
        <f ca="1">IF(B42,_xll.BookPricingOutput.DirtyPriceLegConfidence($B$6,H42),"-")</f>
        <v>-</v>
      </c>
      <c r="P42" s="32" t="str">
        <f ca="1">IF(B42,_xll.BookPricingOutput.GetPricingTime($B$6,A42),"-")</f>
        <v>-</v>
      </c>
      <c r="Q42" t="str">
        <f ca="1">IF(B42,_xll.BookPricingOutput.GetStatus($B$6,A42),"-")</f>
        <v>-</v>
      </c>
    </row>
    <row r="43" spans="1:17" x14ac:dyDescent="0.35">
      <c r="A43" t="str">
        <f ca="1"/>
        <v/>
      </c>
      <c r="B43" t="b">
        <v>0</v>
      </c>
      <c r="C43" t="s">
        <v>276</v>
      </c>
      <c r="D43" t="s">
        <v>33</v>
      </c>
      <c r="E43" s="27" t="s">
        <v>291</v>
      </c>
      <c r="F43" s="27" t="b">
        <v>0</v>
      </c>
      <c r="G43" t="str">
        <f ca="1">IF(B43,_xll.BookPricingOutput.GetLeg1($B$6,A43),"-")</f>
        <v>-</v>
      </c>
      <c r="H43" t="str">
        <f ca="1">IF(B43,_xll.BookPricingOutput.GetLeg2($B$6,A43),"-")</f>
        <v>-</v>
      </c>
      <c r="I43" t="str">
        <f ca="1">IF(B43,_xll.BookPricingOutput.DirtyPrice($B$6,A43),"-")</f>
        <v>-</v>
      </c>
      <c r="J43" s="32" t="str">
        <f ca="1">IF(B43,_xll.BookPricingOutput.DirtyPriceConfidence($B$6,A43),"-")</f>
        <v>-</v>
      </c>
      <c r="K43" s="32" t="str">
        <f ca="1">IF(B43,_xll.BookPricingOutput.FairSpread($B$6,A43)*10000,"-")</f>
        <v>-</v>
      </c>
      <c r="L43" s="32" t="str">
        <f ca="1">IF(B43,_xll.BookPricingOutput.DirtyPriceLeg($B$6,G43),"-")</f>
        <v>-</v>
      </c>
      <c r="M43" s="32" t="str">
        <f ca="1">IF(B43,_xll.BookPricingOutput.DirtyPriceLegConfidence($B$6,G43),"-")</f>
        <v>-</v>
      </c>
      <c r="N43" s="32" t="str">
        <f ca="1">IF(B43,_xll.BookPricingOutput.DirtyPriceLeg($B$6,H43),"-")</f>
        <v>-</v>
      </c>
      <c r="O43" s="32" t="str">
        <f ca="1">IF(B43,_xll.BookPricingOutput.DirtyPriceLegConfidence($B$6,H43),"-")</f>
        <v>-</v>
      </c>
      <c r="P43" s="32" t="str">
        <f ca="1">IF(B43,_xll.BookPricingOutput.GetPricingTime($B$6,A43),"-")</f>
        <v>-</v>
      </c>
      <c r="Q43" t="str">
        <f ca="1">IF(B43,_xll.BookPricingOutput.GetStatus($B$6,A43),"-")</f>
        <v>-</v>
      </c>
    </row>
    <row r="44" spans="1:17" x14ac:dyDescent="0.35">
      <c r="A44" t="str">
        <f ca="1"/>
        <v/>
      </c>
      <c r="B44" t="b">
        <v>0</v>
      </c>
      <c r="C44" t="s">
        <v>276</v>
      </c>
      <c r="D44" t="s">
        <v>33</v>
      </c>
      <c r="E44" s="27" t="s">
        <v>291</v>
      </c>
      <c r="F44" s="27" t="b">
        <v>0</v>
      </c>
      <c r="G44" t="str">
        <f ca="1">IF(B44,_xll.BookPricingOutput.GetLeg1($B$6,A44),"-")</f>
        <v>-</v>
      </c>
      <c r="H44" t="str">
        <f ca="1">IF(B44,_xll.BookPricingOutput.GetLeg2($B$6,A44),"-")</f>
        <v>-</v>
      </c>
      <c r="I44" t="str">
        <f ca="1">IF(B44,_xll.BookPricingOutput.DirtyPrice($B$6,A44),"-")</f>
        <v>-</v>
      </c>
      <c r="J44" s="32" t="str">
        <f ca="1">IF(B44,_xll.BookPricingOutput.DirtyPriceConfidence($B$6,A44),"-")</f>
        <v>-</v>
      </c>
      <c r="K44" s="32" t="str">
        <f ca="1">IF(B44,_xll.BookPricingOutput.FairSpread($B$6,A44)*10000,"-")</f>
        <v>-</v>
      </c>
      <c r="L44" s="32" t="str">
        <f ca="1">IF(B44,_xll.BookPricingOutput.DirtyPriceLeg($B$6,G44),"-")</f>
        <v>-</v>
      </c>
      <c r="M44" s="32" t="str">
        <f ca="1">IF(B44,_xll.BookPricingOutput.DirtyPriceLegConfidence($B$6,G44),"-")</f>
        <v>-</v>
      </c>
      <c r="N44" s="32" t="str">
        <f ca="1">IF(B44,_xll.BookPricingOutput.DirtyPriceLeg($B$6,H44),"-")</f>
        <v>-</v>
      </c>
      <c r="O44" s="32" t="str">
        <f ca="1">IF(B44,_xll.BookPricingOutput.DirtyPriceLegConfidence($B$6,H44),"-")</f>
        <v>-</v>
      </c>
      <c r="P44" s="32" t="str">
        <f ca="1">IF(B44,_xll.BookPricingOutput.GetPricingTime($B$6,A44),"-")</f>
        <v>-</v>
      </c>
      <c r="Q44" t="str">
        <f ca="1">IF(B44,_xll.BookPricingOutput.GetStatus($B$6,A44),"-")</f>
        <v>-</v>
      </c>
    </row>
    <row r="45" spans="1:17" x14ac:dyDescent="0.35">
      <c r="A45" t="str">
        <f ca="1"/>
        <v/>
      </c>
      <c r="B45" t="b">
        <v>0</v>
      </c>
      <c r="C45" t="s">
        <v>276</v>
      </c>
      <c r="D45" t="s">
        <v>33</v>
      </c>
      <c r="E45" s="27" t="s">
        <v>291</v>
      </c>
      <c r="F45" s="27" t="b">
        <v>0</v>
      </c>
      <c r="G45" t="str">
        <f ca="1">IF(B45,_xll.BookPricingOutput.GetLeg1($B$6,A45),"-")</f>
        <v>-</v>
      </c>
      <c r="H45" t="str">
        <f ca="1">IF(B45,_xll.BookPricingOutput.GetLeg2($B$6,A45),"-")</f>
        <v>-</v>
      </c>
      <c r="I45" t="str">
        <f ca="1">IF(B45,_xll.BookPricingOutput.DirtyPrice($B$6,A45),"-")</f>
        <v>-</v>
      </c>
      <c r="J45" s="32" t="str">
        <f ca="1">IF(B45,_xll.BookPricingOutput.DirtyPriceConfidence($B$6,A45),"-")</f>
        <v>-</v>
      </c>
      <c r="K45" s="32" t="str">
        <f ca="1">IF(B45,_xll.BookPricingOutput.FairSpread($B$6,A45)*10000,"-")</f>
        <v>-</v>
      </c>
      <c r="L45" s="32" t="str">
        <f ca="1">IF(B45,_xll.BookPricingOutput.DirtyPriceLeg($B$6,G45),"-")</f>
        <v>-</v>
      </c>
      <c r="M45" s="32" t="str">
        <f ca="1">IF(B45,_xll.BookPricingOutput.DirtyPriceLegConfidence($B$6,G45),"-")</f>
        <v>-</v>
      </c>
      <c r="N45" s="32" t="str">
        <f ca="1">IF(B45,_xll.BookPricingOutput.DirtyPriceLeg($B$6,H45),"-")</f>
        <v>-</v>
      </c>
      <c r="O45" s="32" t="str">
        <f ca="1">IF(B45,_xll.BookPricingOutput.DirtyPriceLegConfidence($B$6,H45),"-")</f>
        <v>-</v>
      </c>
      <c r="P45" s="32" t="str">
        <f ca="1">IF(B45,_xll.BookPricingOutput.GetPricingTime($B$6,A45),"-")</f>
        <v>-</v>
      </c>
      <c r="Q45" t="str">
        <f ca="1">IF(B45,_xll.BookPricingOutput.GetStatus($B$6,A45),"-")</f>
        <v>-</v>
      </c>
    </row>
    <row r="46" spans="1:17" x14ac:dyDescent="0.35">
      <c r="A46" t="str">
        <f ca="1"/>
        <v/>
      </c>
      <c r="B46" t="b">
        <v>0</v>
      </c>
      <c r="C46" t="s">
        <v>276</v>
      </c>
      <c r="D46" t="s">
        <v>33</v>
      </c>
      <c r="E46" s="27" t="s">
        <v>291</v>
      </c>
      <c r="F46" s="27" t="b">
        <v>0</v>
      </c>
      <c r="G46" t="str">
        <f ca="1">IF(B46,_xll.BookPricingOutput.GetLeg1($B$6,A46),"-")</f>
        <v>-</v>
      </c>
      <c r="H46" t="str">
        <f ca="1">IF(B46,_xll.BookPricingOutput.GetLeg2($B$6,A46),"-")</f>
        <v>-</v>
      </c>
      <c r="I46" t="str">
        <f ca="1">IF(B46,_xll.BookPricingOutput.DirtyPrice($B$6,A46),"-")</f>
        <v>-</v>
      </c>
      <c r="J46" s="32" t="str">
        <f ca="1">IF(B46,_xll.BookPricingOutput.DirtyPriceConfidence($B$6,A46),"-")</f>
        <v>-</v>
      </c>
      <c r="K46" s="32" t="str">
        <f ca="1">IF(B46,_xll.BookPricingOutput.FairSpread($B$6,A46)*10000,"-")</f>
        <v>-</v>
      </c>
      <c r="L46" s="32" t="str">
        <f ca="1">IF(B46,_xll.BookPricingOutput.DirtyPriceLeg($B$6,G46),"-")</f>
        <v>-</v>
      </c>
      <c r="M46" s="32" t="str">
        <f ca="1">IF(B46,_xll.BookPricingOutput.DirtyPriceLegConfidence($B$6,G46),"-")</f>
        <v>-</v>
      </c>
      <c r="N46" s="32" t="str">
        <f ca="1">IF(B46,_xll.BookPricingOutput.DirtyPriceLeg($B$6,H46),"-")</f>
        <v>-</v>
      </c>
      <c r="O46" s="32" t="str">
        <f ca="1">IF(B46,_xll.BookPricingOutput.DirtyPriceLegConfidence($B$6,H46),"-")</f>
        <v>-</v>
      </c>
      <c r="P46" s="32" t="str">
        <f ca="1">IF(B46,_xll.BookPricingOutput.GetPricingTime($B$6,A46),"-")</f>
        <v>-</v>
      </c>
      <c r="Q46" t="str">
        <f ca="1">IF(B46,_xll.BookPricingOutput.GetStatus($B$6,A46),"-")</f>
        <v>-</v>
      </c>
    </row>
    <row r="47" spans="1:17" x14ac:dyDescent="0.35">
      <c r="A47" t="str">
        <f ca="1"/>
        <v/>
      </c>
      <c r="B47" t="b">
        <v>0</v>
      </c>
      <c r="C47" t="s">
        <v>276</v>
      </c>
      <c r="D47" t="s">
        <v>33</v>
      </c>
      <c r="E47" s="27" t="s">
        <v>291</v>
      </c>
      <c r="F47" s="27" t="b">
        <v>0</v>
      </c>
      <c r="G47" t="str">
        <f ca="1">IF(B47,_xll.BookPricingOutput.GetLeg1($B$6,A47),"-")</f>
        <v>-</v>
      </c>
      <c r="H47" t="str">
        <f ca="1">IF(B47,_xll.BookPricingOutput.GetLeg2($B$6,A47),"-")</f>
        <v>-</v>
      </c>
      <c r="I47" t="str">
        <f ca="1">IF(B47,_xll.BookPricingOutput.DirtyPrice($B$6,A47),"-")</f>
        <v>-</v>
      </c>
      <c r="J47" s="32" t="str">
        <f ca="1">IF(B47,_xll.BookPricingOutput.DirtyPriceConfidence($B$6,A47),"-")</f>
        <v>-</v>
      </c>
      <c r="K47" s="32" t="str">
        <f ca="1">IF(B47,_xll.BookPricingOutput.FairSpread($B$6,A47)*10000,"-")</f>
        <v>-</v>
      </c>
      <c r="L47" s="32" t="str">
        <f ca="1">IF(B47,_xll.BookPricingOutput.DirtyPriceLeg($B$6,G47),"-")</f>
        <v>-</v>
      </c>
      <c r="M47" s="32" t="str">
        <f ca="1">IF(B47,_xll.BookPricingOutput.DirtyPriceLegConfidence($B$6,G47),"-")</f>
        <v>-</v>
      </c>
      <c r="N47" s="32" t="str">
        <f ca="1">IF(B47,_xll.BookPricingOutput.DirtyPriceLeg($B$6,H47),"-")</f>
        <v>-</v>
      </c>
      <c r="O47" s="32" t="str">
        <f ca="1">IF(B47,_xll.BookPricingOutput.DirtyPriceLegConfidence($B$6,H47),"-")</f>
        <v>-</v>
      </c>
      <c r="P47" s="32" t="str">
        <f ca="1">IF(B47,_xll.BookPricingOutput.GetPricingTime($B$6,A47),"-")</f>
        <v>-</v>
      </c>
      <c r="Q47" t="str">
        <f ca="1">IF(B47,_xll.BookPricingOutput.GetStatus($B$6,A47),"-")</f>
        <v>-</v>
      </c>
    </row>
    <row r="48" spans="1:17" x14ac:dyDescent="0.35">
      <c r="A48" t="str">
        <f ca="1"/>
        <v/>
      </c>
      <c r="B48" t="b">
        <v>0</v>
      </c>
      <c r="C48" t="s">
        <v>276</v>
      </c>
      <c r="D48" t="s">
        <v>33</v>
      </c>
      <c r="E48" s="27" t="s">
        <v>291</v>
      </c>
      <c r="F48" s="27" t="b">
        <v>0</v>
      </c>
      <c r="G48" t="str">
        <f ca="1">IF(B48,_xll.BookPricingOutput.GetLeg1($B$6,A48),"-")</f>
        <v>-</v>
      </c>
      <c r="H48" t="str">
        <f ca="1">IF(B48,_xll.BookPricingOutput.GetLeg2($B$6,A48),"-")</f>
        <v>-</v>
      </c>
      <c r="I48" t="str">
        <f ca="1">IF(B48,_xll.BookPricingOutput.DirtyPrice($B$6,A48),"-")</f>
        <v>-</v>
      </c>
      <c r="J48" s="32" t="str">
        <f ca="1">IF(B48,_xll.BookPricingOutput.DirtyPriceConfidence($B$6,A48),"-")</f>
        <v>-</v>
      </c>
      <c r="K48" s="32" t="str">
        <f ca="1">IF(B48,_xll.BookPricingOutput.FairSpread($B$6,A48)*10000,"-")</f>
        <v>-</v>
      </c>
      <c r="L48" s="32" t="str">
        <f ca="1">IF(B48,_xll.BookPricingOutput.DirtyPriceLeg($B$6,G48),"-")</f>
        <v>-</v>
      </c>
      <c r="M48" s="32" t="str">
        <f ca="1">IF(B48,_xll.BookPricingOutput.DirtyPriceLegConfidence($B$6,G48),"-")</f>
        <v>-</v>
      </c>
      <c r="N48" s="32" t="str">
        <f ca="1">IF(B48,_xll.BookPricingOutput.DirtyPriceLeg($B$6,H48),"-")</f>
        <v>-</v>
      </c>
      <c r="O48" s="32" t="str">
        <f ca="1">IF(B48,_xll.BookPricingOutput.DirtyPriceLegConfidence($B$6,H48),"-")</f>
        <v>-</v>
      </c>
      <c r="P48" s="32" t="str">
        <f ca="1">IF(B48,_xll.BookPricingOutput.GetPricingTime($B$6,A48),"-")</f>
        <v>-</v>
      </c>
      <c r="Q48" t="str">
        <f ca="1">IF(B48,_xll.BookPricingOutput.GetStatus($B$6,A48),"-")</f>
        <v>-</v>
      </c>
    </row>
    <row r="49" spans="1:17" x14ac:dyDescent="0.35">
      <c r="A49" t="str">
        <f ca="1"/>
        <v/>
      </c>
      <c r="B49" t="b">
        <v>0</v>
      </c>
      <c r="C49" t="s">
        <v>276</v>
      </c>
      <c r="D49" t="s">
        <v>33</v>
      </c>
      <c r="E49" s="27" t="s">
        <v>291</v>
      </c>
      <c r="F49" s="27" t="b">
        <v>0</v>
      </c>
      <c r="G49" t="str">
        <f ca="1">IF(B49,_xll.BookPricingOutput.GetLeg1($B$6,A49),"-")</f>
        <v>-</v>
      </c>
      <c r="H49" t="str">
        <f ca="1">IF(B49,_xll.BookPricingOutput.GetLeg2($B$6,A49),"-")</f>
        <v>-</v>
      </c>
      <c r="I49" t="str">
        <f ca="1">IF(B49,_xll.BookPricingOutput.DirtyPrice($B$6,A49),"-")</f>
        <v>-</v>
      </c>
      <c r="J49" s="32" t="str">
        <f ca="1">IF(B49,_xll.BookPricingOutput.DirtyPriceConfidence($B$6,A49),"-")</f>
        <v>-</v>
      </c>
      <c r="K49" s="32" t="str">
        <f ca="1">IF(B49,_xll.BookPricingOutput.FairSpread($B$6,A49)*10000,"-")</f>
        <v>-</v>
      </c>
      <c r="L49" s="32" t="str">
        <f ca="1">IF(B49,_xll.BookPricingOutput.DirtyPriceLeg($B$6,G49),"-")</f>
        <v>-</v>
      </c>
      <c r="M49" s="32" t="str">
        <f ca="1">IF(B49,_xll.BookPricingOutput.DirtyPriceLegConfidence($B$6,G49),"-")</f>
        <v>-</v>
      </c>
      <c r="N49" s="32" t="str">
        <f ca="1">IF(B49,_xll.BookPricingOutput.DirtyPriceLeg($B$6,H49),"-")</f>
        <v>-</v>
      </c>
      <c r="O49" s="32" t="str">
        <f ca="1">IF(B49,_xll.BookPricingOutput.DirtyPriceLegConfidence($B$6,H49),"-")</f>
        <v>-</v>
      </c>
      <c r="P49" s="32" t="str">
        <f ca="1">IF(B49,_xll.BookPricingOutput.GetPricingTime($B$6,A49),"-")</f>
        <v>-</v>
      </c>
      <c r="Q49" t="str">
        <f ca="1">IF(B49,_xll.BookPricingOutput.GetStatus($B$6,A49),"-")</f>
        <v>-</v>
      </c>
    </row>
    <row r="50" spans="1:17" x14ac:dyDescent="0.35">
      <c r="A50" t="str">
        <f ca="1"/>
        <v/>
      </c>
      <c r="B50" t="b">
        <v>0</v>
      </c>
      <c r="C50" t="s">
        <v>276</v>
      </c>
      <c r="D50" t="s">
        <v>33</v>
      </c>
      <c r="E50" s="27" t="s">
        <v>291</v>
      </c>
      <c r="F50" s="27" t="b">
        <v>0</v>
      </c>
      <c r="G50" t="str">
        <f ca="1">IF(B50,_xll.BookPricingOutput.GetLeg1($B$6,A50),"-")</f>
        <v>-</v>
      </c>
      <c r="H50" t="str">
        <f ca="1">IF(B50,_xll.BookPricingOutput.GetLeg2($B$6,A50),"-")</f>
        <v>-</v>
      </c>
      <c r="I50" t="str">
        <f ca="1">IF(B50,_xll.BookPricingOutput.DirtyPrice($B$6,A50),"-")</f>
        <v>-</v>
      </c>
      <c r="J50" s="32" t="str">
        <f ca="1">IF(B50,_xll.BookPricingOutput.DirtyPriceConfidence($B$6,A50),"-")</f>
        <v>-</v>
      </c>
      <c r="K50" s="32" t="str">
        <f ca="1">IF(B50,_xll.BookPricingOutput.FairSpread($B$6,A50)*10000,"-")</f>
        <v>-</v>
      </c>
      <c r="L50" s="32" t="str">
        <f ca="1">IF(B50,_xll.BookPricingOutput.DirtyPriceLeg($B$6,G50),"-")</f>
        <v>-</v>
      </c>
      <c r="M50" s="32" t="str">
        <f ca="1">IF(B50,_xll.BookPricingOutput.DirtyPriceLegConfidence($B$6,G50),"-")</f>
        <v>-</v>
      </c>
      <c r="N50" s="32" t="str">
        <f ca="1">IF(B50,_xll.BookPricingOutput.DirtyPriceLeg($B$6,H50),"-")</f>
        <v>-</v>
      </c>
      <c r="O50" s="32" t="str">
        <f ca="1">IF(B50,_xll.BookPricingOutput.DirtyPriceLegConfidence($B$6,H50),"-")</f>
        <v>-</v>
      </c>
      <c r="P50" s="32" t="str">
        <f ca="1">IF(B50,_xll.BookPricingOutput.GetPricingTime($B$6,A50),"-")</f>
        <v>-</v>
      </c>
      <c r="Q50" t="str">
        <f ca="1">IF(B50,_xll.BookPricingOutput.GetStatus($B$6,A50),"-")</f>
        <v>-</v>
      </c>
    </row>
    <row r="51" spans="1:17" x14ac:dyDescent="0.35">
      <c r="A51" t="str">
        <f ca="1"/>
        <v/>
      </c>
      <c r="B51" t="b">
        <v>0</v>
      </c>
      <c r="C51" t="s">
        <v>276</v>
      </c>
      <c r="D51" t="s">
        <v>33</v>
      </c>
      <c r="E51" s="27" t="s">
        <v>291</v>
      </c>
      <c r="F51" s="27" t="b">
        <v>0</v>
      </c>
      <c r="G51" t="str">
        <f ca="1">IF(B51,_xll.BookPricingOutput.GetLeg1($B$6,A51),"-")</f>
        <v>-</v>
      </c>
      <c r="H51" t="str">
        <f ca="1">IF(B51,_xll.BookPricingOutput.GetLeg2($B$6,A51),"-")</f>
        <v>-</v>
      </c>
      <c r="I51" t="str">
        <f ca="1">IF(B51,_xll.BookPricingOutput.DirtyPrice($B$6,A51),"-")</f>
        <v>-</v>
      </c>
      <c r="J51" s="32" t="str">
        <f ca="1">IF(B51,_xll.BookPricingOutput.DirtyPriceConfidence($B$6,A51),"-")</f>
        <v>-</v>
      </c>
      <c r="K51" s="32" t="str">
        <f ca="1">IF(B51,_xll.BookPricingOutput.FairSpread($B$6,A51)*10000,"-")</f>
        <v>-</v>
      </c>
      <c r="L51" s="32" t="str">
        <f ca="1">IF(B51,_xll.BookPricingOutput.DirtyPriceLeg($B$6,G51),"-")</f>
        <v>-</v>
      </c>
      <c r="M51" s="32" t="str">
        <f ca="1">IF(B51,_xll.BookPricingOutput.DirtyPriceLegConfidence($B$6,G51),"-")</f>
        <v>-</v>
      </c>
      <c r="N51" s="32" t="str">
        <f ca="1">IF(B51,_xll.BookPricingOutput.DirtyPriceLeg($B$6,H51),"-")</f>
        <v>-</v>
      </c>
      <c r="O51" s="32" t="str">
        <f ca="1">IF(B51,_xll.BookPricingOutput.DirtyPriceLegConfidence($B$6,H51),"-")</f>
        <v>-</v>
      </c>
      <c r="P51" s="32" t="str">
        <f ca="1">IF(B51,_xll.BookPricingOutput.GetPricingTime($B$6,A51),"-")</f>
        <v>-</v>
      </c>
      <c r="Q51" t="str">
        <f ca="1">IF(B51,_xll.BookPricingOutput.GetStatus($B$6,A51),"-")</f>
        <v>-</v>
      </c>
    </row>
    <row r="52" spans="1:17" x14ac:dyDescent="0.35">
      <c r="A52" t="str">
        <f ca="1"/>
        <v/>
      </c>
      <c r="B52" t="b">
        <v>0</v>
      </c>
      <c r="C52" t="s">
        <v>276</v>
      </c>
      <c r="D52" t="s">
        <v>33</v>
      </c>
      <c r="E52" s="27" t="s">
        <v>291</v>
      </c>
      <c r="F52" s="27" t="b">
        <v>0</v>
      </c>
      <c r="G52" t="str">
        <f ca="1">IF(B52,_xll.BookPricingOutput.GetLeg1($B$6,A52),"-")</f>
        <v>-</v>
      </c>
      <c r="H52" t="str">
        <f ca="1">IF(B52,_xll.BookPricingOutput.GetLeg2($B$6,A52),"-")</f>
        <v>-</v>
      </c>
      <c r="I52" t="str">
        <f ca="1">IF(B52,_xll.BookPricingOutput.DirtyPrice($B$6,A52),"-")</f>
        <v>-</v>
      </c>
      <c r="J52" s="32" t="str">
        <f ca="1">IF(B52,_xll.BookPricingOutput.DirtyPriceConfidence($B$6,A52),"-")</f>
        <v>-</v>
      </c>
      <c r="K52" s="32" t="str">
        <f ca="1">IF(B52,_xll.BookPricingOutput.FairSpread($B$6,A52)*10000,"-")</f>
        <v>-</v>
      </c>
      <c r="L52" s="32" t="str">
        <f ca="1">IF(B52,_xll.BookPricingOutput.DirtyPriceLeg($B$6,G52),"-")</f>
        <v>-</v>
      </c>
      <c r="M52" s="32" t="str">
        <f ca="1">IF(B52,_xll.BookPricingOutput.DirtyPriceLegConfidence($B$6,G52),"-")</f>
        <v>-</v>
      </c>
      <c r="N52" s="32" t="str">
        <f ca="1">IF(B52,_xll.BookPricingOutput.DirtyPriceLeg($B$6,H52),"-")</f>
        <v>-</v>
      </c>
      <c r="O52" s="32" t="str">
        <f ca="1">IF(B52,_xll.BookPricingOutput.DirtyPriceLegConfidence($B$6,H52),"-")</f>
        <v>-</v>
      </c>
      <c r="P52" s="32" t="str">
        <f ca="1">IF(B52,_xll.BookPricingOutput.GetPricingTime($B$6,A52),"-")</f>
        <v>-</v>
      </c>
      <c r="Q52" t="str">
        <f ca="1">IF(B52,_xll.BookPricingOutput.GetStatus($B$6,A52),"-")</f>
        <v>-</v>
      </c>
    </row>
    <row r="53" spans="1:17" x14ac:dyDescent="0.35">
      <c r="A53" t="str">
        <f ca="1"/>
        <v/>
      </c>
      <c r="B53" t="b">
        <v>0</v>
      </c>
      <c r="C53" t="s">
        <v>276</v>
      </c>
      <c r="D53" t="s">
        <v>33</v>
      </c>
      <c r="E53" s="27" t="s">
        <v>291</v>
      </c>
      <c r="F53" s="27" t="b">
        <v>0</v>
      </c>
      <c r="G53" t="str">
        <f ca="1">IF(B53,_xll.BookPricingOutput.GetLeg1($B$6,A53),"-")</f>
        <v>-</v>
      </c>
      <c r="H53" t="str">
        <f ca="1">IF(B53,_xll.BookPricingOutput.GetLeg2($B$6,A53),"-")</f>
        <v>-</v>
      </c>
      <c r="I53" t="str">
        <f ca="1">IF(B53,_xll.BookPricingOutput.DirtyPrice($B$6,A53),"-")</f>
        <v>-</v>
      </c>
      <c r="J53" s="32" t="str">
        <f ca="1">IF(B53,_xll.BookPricingOutput.DirtyPriceConfidence($B$6,A53),"-")</f>
        <v>-</v>
      </c>
      <c r="K53" s="32" t="str">
        <f ca="1">IF(B53,_xll.BookPricingOutput.FairSpread($B$6,A53)*10000,"-")</f>
        <v>-</v>
      </c>
      <c r="L53" s="32" t="str">
        <f ca="1">IF(B53,_xll.BookPricingOutput.DirtyPriceLeg($B$6,G53),"-")</f>
        <v>-</v>
      </c>
      <c r="M53" s="32" t="str">
        <f ca="1">IF(B53,_xll.BookPricingOutput.DirtyPriceLegConfidence($B$6,G53),"-")</f>
        <v>-</v>
      </c>
      <c r="N53" s="32" t="str">
        <f ca="1">IF(B53,_xll.BookPricingOutput.DirtyPriceLeg($B$6,H53),"-")</f>
        <v>-</v>
      </c>
      <c r="O53" s="32" t="str">
        <f ca="1">IF(B53,_xll.BookPricingOutput.DirtyPriceLegConfidence($B$6,H53),"-")</f>
        <v>-</v>
      </c>
      <c r="P53" s="32" t="str">
        <f ca="1">IF(B53,_xll.BookPricingOutput.GetPricingTime($B$6,A53),"-")</f>
        <v>-</v>
      </c>
      <c r="Q53" t="str">
        <f ca="1">IF(B53,_xll.BookPricingOutput.GetStatus($B$6,A53),"-")</f>
        <v>-</v>
      </c>
    </row>
    <row r="54" spans="1:17" x14ac:dyDescent="0.35">
      <c r="A54" t="str">
        <f ca="1"/>
        <v/>
      </c>
      <c r="B54" t="b">
        <v>0</v>
      </c>
      <c r="C54" t="s">
        <v>276</v>
      </c>
      <c r="D54" t="s">
        <v>33</v>
      </c>
      <c r="E54" s="27" t="s">
        <v>291</v>
      </c>
      <c r="F54" s="27" t="b">
        <v>0</v>
      </c>
      <c r="G54" t="str">
        <f ca="1">IF(B54,_xll.BookPricingOutput.GetLeg1($B$6,A54),"-")</f>
        <v>-</v>
      </c>
      <c r="H54" t="str">
        <f ca="1">IF(B54,_xll.BookPricingOutput.GetLeg2($B$6,A54),"-")</f>
        <v>-</v>
      </c>
      <c r="I54" t="str">
        <f ca="1">IF(B54,_xll.BookPricingOutput.DirtyPrice($B$6,A54),"-")</f>
        <v>-</v>
      </c>
      <c r="J54" s="32" t="str">
        <f ca="1">IF(B54,_xll.BookPricingOutput.DirtyPriceConfidence($B$6,A54),"-")</f>
        <v>-</v>
      </c>
      <c r="K54" s="32" t="str">
        <f ca="1">IF(B54,_xll.BookPricingOutput.FairSpread($B$6,A54)*10000,"-")</f>
        <v>-</v>
      </c>
      <c r="L54" s="32" t="str">
        <f ca="1">IF(B54,_xll.BookPricingOutput.DirtyPriceLeg($B$6,G54),"-")</f>
        <v>-</v>
      </c>
      <c r="M54" s="32" t="str">
        <f ca="1">IF(B54,_xll.BookPricingOutput.DirtyPriceLegConfidence($B$6,G54),"-")</f>
        <v>-</v>
      </c>
      <c r="N54" s="32" t="str">
        <f ca="1">IF(B54,_xll.BookPricingOutput.DirtyPriceLeg($B$6,H54),"-")</f>
        <v>-</v>
      </c>
      <c r="O54" s="32" t="str">
        <f ca="1">IF(B54,_xll.BookPricingOutput.DirtyPriceLegConfidence($B$6,H54),"-")</f>
        <v>-</v>
      </c>
      <c r="P54" s="32" t="str">
        <f ca="1">IF(B54,_xll.BookPricingOutput.GetPricingTime($B$6,A54),"-")</f>
        <v>-</v>
      </c>
      <c r="Q54" t="str">
        <f ca="1">IF(B54,_xll.BookPricingOutput.GetStatus($B$6,A54),"-")</f>
        <v>-</v>
      </c>
    </row>
    <row r="55" spans="1:17" x14ac:dyDescent="0.35">
      <c r="A55" t="str">
        <f ca="1"/>
        <v/>
      </c>
      <c r="B55" t="b">
        <v>0</v>
      </c>
      <c r="C55" t="s">
        <v>276</v>
      </c>
      <c r="D55" t="s">
        <v>33</v>
      </c>
      <c r="E55" s="27" t="s">
        <v>291</v>
      </c>
      <c r="F55" s="27" t="b">
        <v>0</v>
      </c>
      <c r="G55" t="str">
        <f ca="1">IF(B55,_xll.BookPricingOutput.GetLeg1($B$6,A55),"-")</f>
        <v>-</v>
      </c>
      <c r="H55" t="str">
        <f ca="1">IF(B55,_xll.BookPricingOutput.GetLeg2($B$6,A55),"-")</f>
        <v>-</v>
      </c>
      <c r="I55" t="str">
        <f ca="1">IF(B55,_xll.BookPricingOutput.DirtyPrice($B$6,A55),"-")</f>
        <v>-</v>
      </c>
      <c r="J55" s="32" t="str">
        <f ca="1">IF(B55,_xll.BookPricingOutput.DirtyPriceConfidence($B$6,A55),"-")</f>
        <v>-</v>
      </c>
      <c r="K55" s="32" t="str">
        <f ca="1">IF(B55,_xll.BookPricingOutput.FairSpread($B$6,A55)*10000,"-")</f>
        <v>-</v>
      </c>
      <c r="L55" s="32" t="str">
        <f ca="1">IF(B55,_xll.BookPricingOutput.DirtyPriceLeg($B$6,G55),"-")</f>
        <v>-</v>
      </c>
      <c r="M55" s="32" t="str">
        <f ca="1">IF(B55,_xll.BookPricingOutput.DirtyPriceLegConfidence($B$6,G55),"-")</f>
        <v>-</v>
      </c>
      <c r="N55" s="32" t="str">
        <f ca="1">IF(B55,_xll.BookPricingOutput.DirtyPriceLeg($B$6,H55),"-")</f>
        <v>-</v>
      </c>
      <c r="O55" s="32" t="str">
        <f ca="1">IF(B55,_xll.BookPricingOutput.DirtyPriceLegConfidence($B$6,H55),"-")</f>
        <v>-</v>
      </c>
      <c r="P55" s="32" t="str">
        <f ca="1">IF(B55,_xll.BookPricingOutput.GetPricingTime($B$6,A55),"-")</f>
        <v>-</v>
      </c>
      <c r="Q55" t="str">
        <f ca="1">IF(B55,_xll.BookPricingOutput.GetStatus($B$6,A55),"-")</f>
        <v>-</v>
      </c>
    </row>
    <row r="56" spans="1:17" x14ac:dyDescent="0.35">
      <c r="A56" t="str">
        <f ca="1"/>
        <v/>
      </c>
      <c r="B56" t="b">
        <v>0</v>
      </c>
      <c r="C56" t="s">
        <v>276</v>
      </c>
      <c r="D56" t="s">
        <v>33</v>
      </c>
      <c r="E56" s="27" t="s">
        <v>291</v>
      </c>
      <c r="F56" s="27" t="b">
        <v>0</v>
      </c>
      <c r="G56" t="str">
        <f ca="1">IF(B56,_xll.BookPricingOutput.GetLeg1($B$6,A56),"-")</f>
        <v>-</v>
      </c>
      <c r="H56" t="str">
        <f ca="1">IF(B56,_xll.BookPricingOutput.GetLeg2($B$6,A56),"-")</f>
        <v>-</v>
      </c>
      <c r="I56" t="str">
        <f ca="1">IF(B56,_xll.BookPricingOutput.DirtyPrice($B$6,A56),"-")</f>
        <v>-</v>
      </c>
      <c r="J56" s="32" t="str">
        <f ca="1">IF(B56,_xll.BookPricingOutput.DirtyPriceConfidence($B$6,A56),"-")</f>
        <v>-</v>
      </c>
      <c r="K56" s="32" t="str">
        <f ca="1">IF(B56,_xll.BookPricingOutput.FairSpread($B$6,A56)*10000,"-")</f>
        <v>-</v>
      </c>
      <c r="L56" s="32" t="str">
        <f ca="1">IF(B56,_xll.BookPricingOutput.DirtyPriceLeg($B$6,G56),"-")</f>
        <v>-</v>
      </c>
      <c r="M56" s="32" t="str">
        <f ca="1">IF(B56,_xll.BookPricingOutput.DirtyPriceLegConfidence($B$6,G56),"-")</f>
        <v>-</v>
      </c>
      <c r="N56" s="32" t="str">
        <f ca="1">IF(B56,_xll.BookPricingOutput.DirtyPriceLeg($B$6,H56),"-")</f>
        <v>-</v>
      </c>
      <c r="O56" s="32" t="str">
        <f ca="1">IF(B56,_xll.BookPricingOutput.DirtyPriceLegConfidence($B$6,H56),"-")</f>
        <v>-</v>
      </c>
      <c r="P56" s="32" t="str">
        <f ca="1">IF(B56,_xll.BookPricingOutput.GetPricingTime($B$6,A56),"-")</f>
        <v>-</v>
      </c>
      <c r="Q56" t="str">
        <f ca="1">IF(B56,_xll.BookPricingOutput.GetStatus($B$6,A56),"-")</f>
        <v>-</v>
      </c>
    </row>
    <row r="57" spans="1:17" x14ac:dyDescent="0.35">
      <c r="A57" t="str">
        <f ca="1"/>
        <v/>
      </c>
      <c r="B57" t="b">
        <v>0</v>
      </c>
      <c r="C57" t="s">
        <v>276</v>
      </c>
      <c r="D57" t="s">
        <v>33</v>
      </c>
      <c r="E57" s="27" t="s">
        <v>291</v>
      </c>
      <c r="F57" s="27" t="b">
        <v>0</v>
      </c>
      <c r="G57" t="str">
        <f ca="1">IF(B57,_xll.BookPricingOutput.GetLeg1($B$6,A57),"-")</f>
        <v>-</v>
      </c>
      <c r="H57" t="str">
        <f ca="1">IF(B57,_xll.BookPricingOutput.GetLeg2($B$6,A57),"-")</f>
        <v>-</v>
      </c>
      <c r="I57" t="str">
        <f ca="1">IF(B57,_xll.BookPricingOutput.DirtyPrice($B$6,A57),"-")</f>
        <v>-</v>
      </c>
      <c r="J57" s="32" t="str">
        <f ca="1">IF(B57,_xll.BookPricingOutput.DirtyPriceConfidence($B$6,A57),"-")</f>
        <v>-</v>
      </c>
      <c r="K57" s="32" t="str">
        <f ca="1">IF(B57,_xll.BookPricingOutput.FairSpread($B$6,A57)*10000,"-")</f>
        <v>-</v>
      </c>
      <c r="L57" s="32" t="str">
        <f ca="1">IF(B57,_xll.BookPricingOutput.DirtyPriceLeg($B$6,G57),"-")</f>
        <v>-</v>
      </c>
      <c r="M57" s="32" t="str">
        <f ca="1">IF(B57,_xll.BookPricingOutput.DirtyPriceLegConfidence($B$6,G57),"-")</f>
        <v>-</v>
      </c>
      <c r="N57" s="32" t="str">
        <f ca="1">IF(B57,_xll.BookPricingOutput.DirtyPriceLeg($B$6,H57),"-")</f>
        <v>-</v>
      </c>
      <c r="O57" s="32" t="str">
        <f ca="1">IF(B57,_xll.BookPricingOutput.DirtyPriceLegConfidence($B$6,H57),"-")</f>
        <v>-</v>
      </c>
      <c r="P57" s="32" t="str">
        <f ca="1">IF(B57,_xll.BookPricingOutput.GetPricingTime($B$6,A57),"-")</f>
        <v>-</v>
      </c>
      <c r="Q57" t="str">
        <f ca="1">IF(B57,_xll.BookPricingOutput.GetStatus($B$6,A57),"-")</f>
        <v>-</v>
      </c>
    </row>
    <row r="58" spans="1:17" x14ac:dyDescent="0.35">
      <c r="A58" t="str">
        <f ca="1"/>
        <v/>
      </c>
      <c r="B58" t="b">
        <v>0</v>
      </c>
      <c r="C58" t="s">
        <v>276</v>
      </c>
      <c r="D58" t="s">
        <v>33</v>
      </c>
      <c r="E58" s="27" t="s">
        <v>291</v>
      </c>
      <c r="F58" s="27" t="b">
        <v>0</v>
      </c>
      <c r="G58" t="str">
        <f ca="1">IF(B58,_xll.BookPricingOutput.GetLeg1($B$6,A58),"-")</f>
        <v>-</v>
      </c>
      <c r="H58" t="str">
        <f ca="1">IF(B58,_xll.BookPricingOutput.GetLeg2($B$6,A58),"-")</f>
        <v>-</v>
      </c>
      <c r="I58" t="str">
        <f ca="1">IF(B58,_xll.BookPricingOutput.DirtyPrice($B$6,A58),"-")</f>
        <v>-</v>
      </c>
      <c r="J58" s="32" t="str">
        <f ca="1">IF(B58,_xll.BookPricingOutput.DirtyPriceConfidence($B$6,A58),"-")</f>
        <v>-</v>
      </c>
      <c r="K58" s="32" t="str">
        <f ca="1">IF(B58,_xll.BookPricingOutput.FairSpread($B$6,A58)*10000,"-")</f>
        <v>-</v>
      </c>
      <c r="L58" s="32" t="str">
        <f ca="1">IF(B58,_xll.BookPricingOutput.DirtyPriceLeg($B$6,G58),"-")</f>
        <v>-</v>
      </c>
      <c r="M58" s="32" t="str">
        <f ca="1">IF(B58,_xll.BookPricingOutput.DirtyPriceLegConfidence($B$6,G58),"-")</f>
        <v>-</v>
      </c>
      <c r="N58" s="32" t="str">
        <f ca="1">IF(B58,_xll.BookPricingOutput.DirtyPriceLeg($B$6,H58),"-")</f>
        <v>-</v>
      </c>
      <c r="O58" s="32" t="str">
        <f ca="1">IF(B58,_xll.BookPricingOutput.DirtyPriceLegConfidence($B$6,H58),"-")</f>
        <v>-</v>
      </c>
      <c r="P58" s="32" t="str">
        <f ca="1">IF(B58,_xll.BookPricingOutput.GetPricingTime($B$6,A58),"-")</f>
        <v>-</v>
      </c>
      <c r="Q58" t="str">
        <f ca="1">IF(B58,_xll.BookPricingOutput.GetStatus($B$6,A58),"-")</f>
        <v>-</v>
      </c>
    </row>
    <row r="59" spans="1:17" x14ac:dyDescent="0.35">
      <c r="A59" t="str">
        <f ca="1"/>
        <v/>
      </c>
      <c r="B59" t="b">
        <v>0</v>
      </c>
      <c r="C59" t="s">
        <v>276</v>
      </c>
      <c r="D59" t="s">
        <v>33</v>
      </c>
      <c r="E59" s="27" t="s">
        <v>291</v>
      </c>
      <c r="F59" s="27" t="b">
        <v>0</v>
      </c>
      <c r="G59" t="str">
        <f ca="1">IF(B59,_xll.BookPricingOutput.GetLeg1($B$6,A59),"-")</f>
        <v>-</v>
      </c>
      <c r="H59" t="str">
        <f ca="1">IF(B59,_xll.BookPricingOutput.GetLeg2($B$6,A59),"-")</f>
        <v>-</v>
      </c>
      <c r="I59" t="str">
        <f ca="1">IF(B59,_xll.BookPricingOutput.DirtyPrice($B$6,A59),"-")</f>
        <v>-</v>
      </c>
      <c r="J59" s="32" t="str">
        <f ca="1">IF(B59,_xll.BookPricingOutput.DirtyPriceConfidence($B$6,A59),"-")</f>
        <v>-</v>
      </c>
      <c r="K59" s="32" t="str">
        <f ca="1">IF(B59,_xll.BookPricingOutput.FairSpread($B$6,A59)*10000,"-")</f>
        <v>-</v>
      </c>
      <c r="L59" s="32" t="str">
        <f ca="1">IF(B59,_xll.BookPricingOutput.DirtyPriceLeg($B$6,G59),"-")</f>
        <v>-</v>
      </c>
      <c r="M59" s="32" t="str">
        <f ca="1">IF(B59,_xll.BookPricingOutput.DirtyPriceLegConfidence($B$6,G59),"-")</f>
        <v>-</v>
      </c>
      <c r="N59" s="32" t="str">
        <f ca="1">IF(B59,_xll.BookPricingOutput.DirtyPriceLeg($B$6,H59),"-")</f>
        <v>-</v>
      </c>
      <c r="O59" s="32" t="str">
        <f ca="1">IF(B59,_xll.BookPricingOutput.DirtyPriceLegConfidence($B$6,H59),"-")</f>
        <v>-</v>
      </c>
      <c r="P59" s="32" t="str">
        <f ca="1">IF(B59,_xll.BookPricingOutput.GetPricingTime($B$6,A59),"-")</f>
        <v>-</v>
      </c>
      <c r="Q59" t="str">
        <f ca="1">IF(B59,_xll.BookPricingOutput.GetStatus($B$6,A59),"-")</f>
        <v>-</v>
      </c>
    </row>
    <row r="60" spans="1:17" x14ac:dyDescent="0.35">
      <c r="A60" t="str">
        <f ca="1"/>
        <v/>
      </c>
      <c r="B60" t="b">
        <v>0</v>
      </c>
      <c r="C60" t="s">
        <v>276</v>
      </c>
      <c r="D60" t="s">
        <v>33</v>
      </c>
      <c r="E60" s="27" t="s">
        <v>291</v>
      </c>
      <c r="F60" s="27" t="b">
        <v>0</v>
      </c>
      <c r="G60" t="str">
        <f ca="1">IF(B60,_xll.BookPricingOutput.GetLeg1($B$6,A60),"-")</f>
        <v>-</v>
      </c>
      <c r="H60" t="str">
        <f ca="1">IF(B60,_xll.BookPricingOutput.GetLeg2($B$6,A60),"-")</f>
        <v>-</v>
      </c>
      <c r="I60" t="str">
        <f ca="1">IF(B60,_xll.BookPricingOutput.DirtyPrice($B$6,A60),"-")</f>
        <v>-</v>
      </c>
      <c r="J60" s="32" t="str">
        <f ca="1">IF(B60,_xll.BookPricingOutput.DirtyPriceConfidence($B$6,A60),"-")</f>
        <v>-</v>
      </c>
      <c r="K60" s="32" t="str">
        <f ca="1">IF(B60,_xll.BookPricingOutput.FairSpread($B$6,A60)*10000,"-")</f>
        <v>-</v>
      </c>
      <c r="L60" s="32" t="str">
        <f ca="1">IF(B60,_xll.BookPricingOutput.DirtyPriceLeg($B$6,G60),"-")</f>
        <v>-</v>
      </c>
      <c r="M60" s="32" t="str">
        <f ca="1">IF(B60,_xll.BookPricingOutput.DirtyPriceLegConfidence($B$6,G60),"-")</f>
        <v>-</v>
      </c>
      <c r="N60" s="32" t="str">
        <f ca="1">IF(B60,_xll.BookPricingOutput.DirtyPriceLeg($B$6,H60),"-")</f>
        <v>-</v>
      </c>
      <c r="O60" s="32" t="str">
        <f ca="1">IF(B60,_xll.BookPricingOutput.DirtyPriceLegConfidence($B$6,H60),"-")</f>
        <v>-</v>
      </c>
      <c r="P60" s="32" t="str">
        <f ca="1">IF(B60,_xll.BookPricingOutput.GetPricingTime($B$6,A60),"-")</f>
        <v>-</v>
      </c>
      <c r="Q60" t="str">
        <f ca="1">IF(B60,_xll.BookPricingOutput.GetStatus($B$6,A60),"-")</f>
        <v>-</v>
      </c>
    </row>
    <row r="61" spans="1:17" x14ac:dyDescent="0.35">
      <c r="A61" t="str">
        <f ca="1"/>
        <v/>
      </c>
      <c r="B61" t="b">
        <v>0</v>
      </c>
      <c r="C61" t="s">
        <v>276</v>
      </c>
      <c r="D61" t="s">
        <v>33</v>
      </c>
      <c r="E61" s="27" t="s">
        <v>291</v>
      </c>
      <c r="F61" s="27" t="b">
        <v>0</v>
      </c>
      <c r="G61" t="str">
        <f ca="1">IF(B61,_xll.BookPricingOutput.GetLeg1($B$6,A61),"-")</f>
        <v>-</v>
      </c>
      <c r="H61" t="str">
        <f ca="1">IF(B61,_xll.BookPricingOutput.GetLeg2($B$6,A61),"-")</f>
        <v>-</v>
      </c>
      <c r="I61" t="str">
        <f ca="1">IF(B61,_xll.BookPricingOutput.DirtyPrice($B$6,A61),"-")</f>
        <v>-</v>
      </c>
      <c r="J61" s="32" t="str">
        <f ca="1">IF(B61,_xll.BookPricingOutput.DirtyPriceConfidence($B$6,A61),"-")</f>
        <v>-</v>
      </c>
      <c r="K61" s="32" t="str">
        <f ca="1">IF(B61,_xll.BookPricingOutput.FairSpread($B$6,A61)*10000,"-")</f>
        <v>-</v>
      </c>
      <c r="L61" s="32" t="str">
        <f ca="1">IF(B61,_xll.BookPricingOutput.DirtyPriceLeg($B$6,G61),"-")</f>
        <v>-</v>
      </c>
      <c r="M61" s="32" t="str">
        <f ca="1">IF(B61,_xll.BookPricingOutput.DirtyPriceLegConfidence($B$6,G61),"-")</f>
        <v>-</v>
      </c>
      <c r="N61" s="32" t="str">
        <f ca="1">IF(B61,_xll.BookPricingOutput.DirtyPriceLeg($B$6,H61),"-")</f>
        <v>-</v>
      </c>
      <c r="O61" s="32" t="str">
        <f ca="1">IF(B61,_xll.BookPricingOutput.DirtyPriceLegConfidence($B$6,H61),"-")</f>
        <v>-</v>
      </c>
      <c r="P61" s="32" t="str">
        <f ca="1">IF(B61,_xll.BookPricingOutput.GetPricingTime($B$6,A61),"-")</f>
        <v>-</v>
      </c>
      <c r="Q61" t="str">
        <f ca="1">IF(B61,_xll.BookPricingOutput.GetStatus($B$6,A61),"-")</f>
        <v>-</v>
      </c>
    </row>
    <row r="62" spans="1:17" x14ac:dyDescent="0.35">
      <c r="A62" t="str">
        <f ca="1"/>
        <v/>
      </c>
      <c r="B62" t="b">
        <v>0</v>
      </c>
      <c r="C62" t="s">
        <v>276</v>
      </c>
      <c r="D62" t="s">
        <v>33</v>
      </c>
      <c r="E62" s="27" t="s">
        <v>291</v>
      </c>
      <c r="F62" s="27" t="b">
        <v>0</v>
      </c>
      <c r="G62" t="str">
        <f ca="1">IF(B62,_xll.BookPricingOutput.GetLeg1($B$6,A62),"-")</f>
        <v>-</v>
      </c>
      <c r="H62" t="str">
        <f ca="1">IF(B62,_xll.BookPricingOutput.GetLeg2($B$6,A62),"-")</f>
        <v>-</v>
      </c>
      <c r="I62" t="str">
        <f ca="1">IF(B62,_xll.BookPricingOutput.DirtyPrice($B$6,A62),"-")</f>
        <v>-</v>
      </c>
      <c r="J62" s="32" t="str">
        <f ca="1">IF(B62,_xll.BookPricingOutput.DirtyPriceConfidence($B$6,A62),"-")</f>
        <v>-</v>
      </c>
      <c r="K62" s="32" t="str">
        <f ca="1">IF(B62,_xll.BookPricingOutput.FairSpread($B$6,A62)*10000,"-")</f>
        <v>-</v>
      </c>
      <c r="L62" s="32" t="str">
        <f ca="1">IF(B62,_xll.BookPricingOutput.DirtyPriceLeg($B$6,G62),"-")</f>
        <v>-</v>
      </c>
      <c r="M62" s="32" t="str">
        <f ca="1">IF(B62,_xll.BookPricingOutput.DirtyPriceLegConfidence($B$6,G62),"-")</f>
        <v>-</v>
      </c>
      <c r="N62" s="32" t="str">
        <f ca="1">IF(B62,_xll.BookPricingOutput.DirtyPriceLeg($B$6,H62),"-")</f>
        <v>-</v>
      </c>
      <c r="O62" s="32" t="str">
        <f ca="1">IF(B62,_xll.BookPricingOutput.DirtyPriceLegConfidence($B$6,H62),"-")</f>
        <v>-</v>
      </c>
      <c r="P62" s="32" t="str">
        <f ca="1">IF(B62,_xll.BookPricingOutput.GetPricingTime($B$6,A62),"-")</f>
        <v>-</v>
      </c>
      <c r="Q62" t="str">
        <f ca="1">IF(B62,_xll.BookPricingOutput.GetStatus($B$6,A62),"-")</f>
        <v>-</v>
      </c>
    </row>
    <row r="63" spans="1:17" x14ac:dyDescent="0.35">
      <c r="A63" t="str">
        <f ca="1"/>
        <v/>
      </c>
      <c r="B63" t="b">
        <v>0</v>
      </c>
      <c r="C63" t="s">
        <v>276</v>
      </c>
      <c r="D63" t="s">
        <v>33</v>
      </c>
      <c r="E63" s="27" t="s">
        <v>291</v>
      </c>
      <c r="F63" s="27" t="b">
        <v>0</v>
      </c>
      <c r="G63" t="str">
        <f ca="1">IF(B63,_xll.BookPricingOutput.GetLeg1($B$6,A63),"-")</f>
        <v>-</v>
      </c>
      <c r="H63" t="str">
        <f ca="1">IF(B63,_xll.BookPricingOutput.GetLeg2($B$6,A63),"-")</f>
        <v>-</v>
      </c>
      <c r="I63" t="str">
        <f ca="1">IF(B63,_xll.BookPricingOutput.DirtyPrice($B$6,A63),"-")</f>
        <v>-</v>
      </c>
      <c r="J63" s="32" t="str">
        <f ca="1">IF(B63,_xll.BookPricingOutput.DirtyPriceConfidence($B$6,A63),"-")</f>
        <v>-</v>
      </c>
      <c r="K63" s="32" t="str">
        <f ca="1">IF(B63,_xll.BookPricingOutput.FairSpread($B$6,A63)*10000,"-")</f>
        <v>-</v>
      </c>
      <c r="L63" s="32" t="str">
        <f ca="1">IF(B63,_xll.BookPricingOutput.DirtyPriceLeg($B$6,G63),"-")</f>
        <v>-</v>
      </c>
      <c r="M63" s="32" t="str">
        <f ca="1">IF(B63,_xll.BookPricingOutput.DirtyPriceLegConfidence($B$6,G63),"-")</f>
        <v>-</v>
      </c>
      <c r="N63" s="32" t="str">
        <f ca="1">IF(B63,_xll.BookPricingOutput.DirtyPriceLeg($B$6,H63),"-")</f>
        <v>-</v>
      </c>
      <c r="O63" s="32" t="str">
        <f ca="1">IF(B63,_xll.BookPricingOutput.DirtyPriceLegConfidence($B$6,H63),"-")</f>
        <v>-</v>
      </c>
      <c r="P63" s="32" t="str">
        <f ca="1">IF(B63,_xll.BookPricingOutput.GetPricingTime($B$6,A63),"-")</f>
        <v>-</v>
      </c>
      <c r="Q63" t="str">
        <f ca="1">IF(B63,_xll.BookPricingOutput.GetStatus($B$6,A63),"-")</f>
        <v>-</v>
      </c>
    </row>
    <row r="64" spans="1:17" x14ac:dyDescent="0.35">
      <c r="A64" t="str">
        <f ca="1"/>
        <v/>
      </c>
      <c r="B64" t="b">
        <v>0</v>
      </c>
      <c r="C64" t="s">
        <v>276</v>
      </c>
      <c r="D64" t="s">
        <v>33</v>
      </c>
      <c r="E64" s="27" t="s">
        <v>291</v>
      </c>
      <c r="F64" s="27" t="b">
        <v>0</v>
      </c>
      <c r="G64" t="str">
        <f ca="1">IF(B64,_xll.BookPricingOutput.GetLeg1($B$6,A64),"-")</f>
        <v>-</v>
      </c>
      <c r="H64" t="str">
        <f ca="1">IF(B64,_xll.BookPricingOutput.GetLeg2($B$6,A64),"-")</f>
        <v>-</v>
      </c>
      <c r="I64" t="str">
        <f ca="1">IF(B64,_xll.BookPricingOutput.DirtyPrice($B$6,A64),"-")</f>
        <v>-</v>
      </c>
      <c r="J64" s="32" t="str">
        <f ca="1">IF(B64,_xll.BookPricingOutput.DirtyPriceConfidence($B$6,A64),"-")</f>
        <v>-</v>
      </c>
      <c r="K64" s="32" t="str">
        <f ca="1">IF(B64,_xll.BookPricingOutput.FairSpread($B$6,A64)*10000,"-")</f>
        <v>-</v>
      </c>
      <c r="L64" s="32" t="str">
        <f ca="1">IF(B64,_xll.BookPricingOutput.DirtyPriceLeg($B$6,G64),"-")</f>
        <v>-</v>
      </c>
      <c r="M64" s="32" t="str">
        <f ca="1">IF(B64,_xll.BookPricingOutput.DirtyPriceLegConfidence($B$6,G64),"-")</f>
        <v>-</v>
      </c>
      <c r="N64" s="32" t="str">
        <f ca="1">IF(B64,_xll.BookPricingOutput.DirtyPriceLeg($B$6,H64),"-")</f>
        <v>-</v>
      </c>
      <c r="O64" s="32" t="str">
        <f ca="1">IF(B64,_xll.BookPricingOutput.DirtyPriceLegConfidence($B$6,H64),"-")</f>
        <v>-</v>
      </c>
      <c r="P64" s="32" t="str">
        <f ca="1">IF(B64,_xll.BookPricingOutput.GetPricingTime($B$6,A64),"-")</f>
        <v>-</v>
      </c>
      <c r="Q64" t="str">
        <f ca="1">IF(B64,_xll.BookPricingOutput.GetStatus($B$6,A64),"-")</f>
        <v>-</v>
      </c>
    </row>
    <row r="65" spans="1:17" x14ac:dyDescent="0.35">
      <c r="A65" t="str">
        <f ca="1"/>
        <v/>
      </c>
      <c r="B65" t="b">
        <v>0</v>
      </c>
      <c r="C65" t="s">
        <v>276</v>
      </c>
      <c r="D65" t="s">
        <v>33</v>
      </c>
      <c r="E65" s="27" t="s">
        <v>291</v>
      </c>
      <c r="F65" s="27" t="b">
        <v>0</v>
      </c>
      <c r="G65" t="str">
        <f ca="1">IF(B65,_xll.BookPricingOutput.GetLeg1($B$6,A65),"-")</f>
        <v>-</v>
      </c>
      <c r="H65" t="str">
        <f ca="1">IF(B65,_xll.BookPricingOutput.GetLeg2($B$6,A65),"-")</f>
        <v>-</v>
      </c>
      <c r="I65" t="str">
        <f ca="1">IF(B65,_xll.BookPricingOutput.DirtyPrice($B$6,A65),"-")</f>
        <v>-</v>
      </c>
      <c r="J65" s="32" t="str">
        <f ca="1">IF(B65,_xll.BookPricingOutput.DirtyPriceConfidence($B$6,A65),"-")</f>
        <v>-</v>
      </c>
      <c r="K65" s="32" t="str">
        <f ca="1">IF(B65,_xll.BookPricingOutput.FairSpread($B$6,A65)*10000,"-")</f>
        <v>-</v>
      </c>
      <c r="L65" s="32" t="str">
        <f ca="1">IF(B65,_xll.BookPricingOutput.DirtyPriceLeg($B$6,G65),"-")</f>
        <v>-</v>
      </c>
      <c r="M65" s="32" t="str">
        <f ca="1">IF(B65,_xll.BookPricingOutput.DirtyPriceLegConfidence($B$6,G65),"-")</f>
        <v>-</v>
      </c>
      <c r="N65" s="32" t="str">
        <f ca="1">IF(B65,_xll.BookPricingOutput.DirtyPriceLeg($B$6,H65),"-")</f>
        <v>-</v>
      </c>
      <c r="O65" s="32" t="str">
        <f ca="1">IF(B65,_xll.BookPricingOutput.DirtyPriceLegConfidence($B$6,H65),"-")</f>
        <v>-</v>
      </c>
      <c r="P65" s="32" t="str">
        <f ca="1">IF(B65,_xll.BookPricingOutput.GetPricingTime($B$6,A65),"-")</f>
        <v>-</v>
      </c>
      <c r="Q65" t="str">
        <f ca="1">IF(B65,_xll.BookPricingOutput.GetStatus($B$6,A65),"-")</f>
        <v>-</v>
      </c>
    </row>
    <row r="66" spans="1:17" x14ac:dyDescent="0.35">
      <c r="A66" t="str">
        <f ca="1"/>
        <v/>
      </c>
      <c r="B66" t="b">
        <v>0</v>
      </c>
      <c r="C66" t="s">
        <v>276</v>
      </c>
      <c r="D66" t="s">
        <v>33</v>
      </c>
      <c r="E66" s="27" t="s">
        <v>291</v>
      </c>
      <c r="F66" s="27" t="b">
        <v>0</v>
      </c>
      <c r="G66" t="str">
        <f ca="1">IF(B66,_xll.BookPricingOutput.GetLeg1($B$6,A66),"-")</f>
        <v>-</v>
      </c>
      <c r="H66" t="str">
        <f ca="1">IF(B66,_xll.BookPricingOutput.GetLeg2($B$6,A66),"-")</f>
        <v>-</v>
      </c>
      <c r="I66" t="str">
        <f ca="1">IF(B66,_xll.BookPricingOutput.DirtyPrice($B$6,A66),"-")</f>
        <v>-</v>
      </c>
      <c r="J66" s="32" t="str">
        <f ca="1">IF(B66,_xll.BookPricingOutput.DirtyPriceConfidence($B$6,A66),"-")</f>
        <v>-</v>
      </c>
      <c r="K66" s="32" t="str">
        <f ca="1">IF(B66,_xll.BookPricingOutput.FairSpread($B$6,A66)*10000,"-")</f>
        <v>-</v>
      </c>
      <c r="L66" s="32" t="str">
        <f ca="1">IF(B66,_xll.BookPricingOutput.DirtyPriceLeg($B$6,G66),"-")</f>
        <v>-</v>
      </c>
      <c r="M66" s="32" t="str">
        <f ca="1">IF(B66,_xll.BookPricingOutput.DirtyPriceLegConfidence($B$6,G66),"-")</f>
        <v>-</v>
      </c>
      <c r="N66" s="32" t="str">
        <f ca="1">IF(B66,_xll.BookPricingOutput.DirtyPriceLeg($B$6,H66),"-")</f>
        <v>-</v>
      </c>
      <c r="O66" s="32" t="str">
        <f ca="1">IF(B66,_xll.BookPricingOutput.DirtyPriceLegConfidence($B$6,H66),"-")</f>
        <v>-</v>
      </c>
      <c r="P66" s="32" t="str">
        <f ca="1">IF(B66,_xll.BookPricingOutput.GetPricingTime($B$6,A66),"-")</f>
        <v>-</v>
      </c>
      <c r="Q66" t="str">
        <f ca="1">IF(B66,_xll.BookPricingOutput.GetStatus($B$6,A66),"-")</f>
        <v>-</v>
      </c>
    </row>
    <row r="67" spans="1:17" x14ac:dyDescent="0.35">
      <c r="A67" t="str">
        <f ca="1"/>
        <v/>
      </c>
      <c r="B67" t="b">
        <v>0</v>
      </c>
      <c r="C67" t="s">
        <v>276</v>
      </c>
      <c r="D67" t="s">
        <v>33</v>
      </c>
      <c r="E67" s="27" t="s">
        <v>291</v>
      </c>
      <c r="F67" s="27" t="b">
        <v>0</v>
      </c>
      <c r="G67" t="str">
        <f ca="1">IF(B67,_xll.BookPricingOutput.GetLeg1($B$6,A67),"-")</f>
        <v>-</v>
      </c>
      <c r="H67" t="str">
        <f ca="1">IF(B67,_xll.BookPricingOutput.GetLeg2($B$6,A67),"-")</f>
        <v>-</v>
      </c>
      <c r="I67" t="str">
        <f ca="1">IF(B67,_xll.BookPricingOutput.DirtyPrice($B$6,A67),"-")</f>
        <v>-</v>
      </c>
      <c r="J67" s="32" t="str">
        <f ca="1">IF(B67,_xll.BookPricingOutput.DirtyPriceConfidence($B$6,A67),"-")</f>
        <v>-</v>
      </c>
      <c r="K67" s="32" t="str">
        <f ca="1">IF(B67,_xll.BookPricingOutput.FairSpread($B$6,A67)*10000,"-")</f>
        <v>-</v>
      </c>
      <c r="L67" s="32" t="str">
        <f ca="1">IF(B67,_xll.BookPricingOutput.DirtyPriceLeg($B$6,G67),"-")</f>
        <v>-</v>
      </c>
      <c r="M67" s="32" t="str">
        <f ca="1">IF(B67,_xll.BookPricingOutput.DirtyPriceLegConfidence($B$6,G67),"-")</f>
        <v>-</v>
      </c>
      <c r="N67" s="32" t="str">
        <f ca="1">IF(B67,_xll.BookPricingOutput.DirtyPriceLeg($B$6,H67),"-")</f>
        <v>-</v>
      </c>
      <c r="O67" s="32" t="str">
        <f ca="1">IF(B67,_xll.BookPricingOutput.DirtyPriceLegConfidence($B$6,H67),"-")</f>
        <v>-</v>
      </c>
      <c r="P67" s="32" t="str">
        <f ca="1">IF(B67,_xll.BookPricingOutput.GetPricingTime($B$6,A67),"-")</f>
        <v>-</v>
      </c>
      <c r="Q67" t="str">
        <f ca="1">IF(B67,_xll.BookPricingOutput.GetStatus($B$6,A67),"-")</f>
        <v>-</v>
      </c>
    </row>
    <row r="68" spans="1:17" x14ac:dyDescent="0.35">
      <c r="A68" t="str">
        <f ca="1"/>
        <v/>
      </c>
      <c r="B68" t="b">
        <v>0</v>
      </c>
      <c r="C68" t="s">
        <v>276</v>
      </c>
      <c r="D68" t="s">
        <v>33</v>
      </c>
      <c r="E68" s="27" t="s">
        <v>291</v>
      </c>
      <c r="F68" s="27" t="b">
        <v>0</v>
      </c>
      <c r="G68" t="str">
        <f ca="1">IF(B68,_xll.BookPricingOutput.GetLeg1($B$6,A68),"-")</f>
        <v>-</v>
      </c>
      <c r="H68" t="str">
        <f ca="1">IF(B68,_xll.BookPricingOutput.GetLeg2($B$6,A68),"-")</f>
        <v>-</v>
      </c>
      <c r="I68" t="str">
        <f ca="1">IF(B68,_xll.BookPricingOutput.DirtyPrice($B$6,A68),"-")</f>
        <v>-</v>
      </c>
      <c r="J68" s="32" t="str">
        <f ca="1">IF(B68,_xll.BookPricingOutput.DirtyPriceConfidence($B$6,A68),"-")</f>
        <v>-</v>
      </c>
      <c r="K68" s="32" t="str">
        <f ca="1">IF(B68,_xll.BookPricingOutput.FairSpread($B$6,A68)*10000,"-")</f>
        <v>-</v>
      </c>
      <c r="L68" s="32" t="str">
        <f ca="1">IF(B68,_xll.BookPricingOutput.DirtyPriceLeg($B$6,G68),"-")</f>
        <v>-</v>
      </c>
      <c r="M68" s="32" t="str">
        <f ca="1">IF(B68,_xll.BookPricingOutput.DirtyPriceLegConfidence($B$6,G68),"-")</f>
        <v>-</v>
      </c>
      <c r="N68" s="32" t="str">
        <f ca="1">IF(B68,_xll.BookPricingOutput.DirtyPriceLeg($B$6,H68),"-")</f>
        <v>-</v>
      </c>
      <c r="O68" s="32" t="str">
        <f ca="1">IF(B68,_xll.BookPricingOutput.DirtyPriceLegConfidence($B$6,H68),"-")</f>
        <v>-</v>
      </c>
      <c r="P68" s="32" t="str">
        <f ca="1">IF(B68,_xll.BookPricingOutput.GetPricingTime($B$6,A68),"-")</f>
        <v>-</v>
      </c>
      <c r="Q68" t="str">
        <f ca="1">IF(B68,_xll.BookPricingOutput.GetStatus($B$6,A68),"-")</f>
        <v>-</v>
      </c>
    </row>
    <row r="69" spans="1:17" x14ac:dyDescent="0.35">
      <c r="A69" t="str">
        <f ca="1"/>
        <v/>
      </c>
      <c r="B69" t="b">
        <v>0</v>
      </c>
      <c r="C69" t="s">
        <v>276</v>
      </c>
      <c r="D69" t="s">
        <v>33</v>
      </c>
      <c r="E69" s="27" t="s">
        <v>291</v>
      </c>
      <c r="F69" s="27" t="b">
        <v>0</v>
      </c>
      <c r="G69" t="str">
        <f ca="1">IF(B69,_xll.BookPricingOutput.GetLeg1($B$6,A69),"-")</f>
        <v>-</v>
      </c>
      <c r="H69" t="str">
        <f ca="1">IF(B69,_xll.BookPricingOutput.GetLeg2($B$6,A69),"-")</f>
        <v>-</v>
      </c>
      <c r="I69" t="str">
        <f ca="1">IF(B69,_xll.BookPricingOutput.DirtyPrice($B$6,A69),"-")</f>
        <v>-</v>
      </c>
      <c r="J69" s="32" t="str">
        <f ca="1">IF(B69,_xll.BookPricingOutput.DirtyPriceConfidence($B$6,A69),"-")</f>
        <v>-</v>
      </c>
      <c r="K69" s="32" t="str">
        <f ca="1">IF(B69,_xll.BookPricingOutput.FairSpread($B$6,A69)*10000,"-")</f>
        <v>-</v>
      </c>
      <c r="L69" s="32" t="str">
        <f ca="1">IF(B69,_xll.BookPricingOutput.DirtyPriceLeg($B$6,G69),"-")</f>
        <v>-</v>
      </c>
      <c r="M69" s="32" t="str">
        <f ca="1">IF(B69,_xll.BookPricingOutput.DirtyPriceLegConfidence($B$6,G69),"-")</f>
        <v>-</v>
      </c>
      <c r="N69" s="32" t="str">
        <f ca="1">IF(B69,_xll.BookPricingOutput.DirtyPriceLeg($B$6,H69),"-")</f>
        <v>-</v>
      </c>
      <c r="O69" s="32" t="str">
        <f ca="1">IF(B69,_xll.BookPricingOutput.DirtyPriceLegConfidence($B$6,H69),"-")</f>
        <v>-</v>
      </c>
      <c r="P69" s="32" t="str">
        <f ca="1">IF(B69,_xll.BookPricingOutput.GetPricingTime($B$6,A69),"-")</f>
        <v>-</v>
      </c>
      <c r="Q69" t="str">
        <f ca="1">IF(B69,_xll.BookPricingOutput.GetStatus($B$6,A69),"-")</f>
        <v>-</v>
      </c>
    </row>
    <row r="70" spans="1:17" x14ac:dyDescent="0.35">
      <c r="A70" t="str">
        <f ca="1"/>
        <v/>
      </c>
      <c r="B70" t="b">
        <v>0</v>
      </c>
      <c r="C70" t="s">
        <v>276</v>
      </c>
      <c r="D70" t="s">
        <v>33</v>
      </c>
      <c r="E70" s="27" t="s">
        <v>291</v>
      </c>
      <c r="F70" s="27" t="b">
        <v>0</v>
      </c>
      <c r="G70" t="str">
        <f ca="1">IF(B70,_xll.BookPricingOutput.GetLeg1($B$6,A70),"-")</f>
        <v>-</v>
      </c>
      <c r="H70" t="str">
        <f ca="1">IF(B70,_xll.BookPricingOutput.GetLeg2($B$6,A70),"-")</f>
        <v>-</v>
      </c>
      <c r="I70" t="str">
        <f ca="1">IF(B70,_xll.BookPricingOutput.DirtyPrice($B$6,A70),"-")</f>
        <v>-</v>
      </c>
      <c r="J70" s="32" t="str">
        <f ca="1">IF(B70,_xll.BookPricingOutput.DirtyPriceConfidence($B$6,A70),"-")</f>
        <v>-</v>
      </c>
      <c r="K70" s="32" t="str">
        <f ca="1">IF(B70,_xll.BookPricingOutput.FairSpread($B$6,A70)*10000,"-")</f>
        <v>-</v>
      </c>
      <c r="L70" s="32" t="str">
        <f ca="1">IF(B70,_xll.BookPricingOutput.DirtyPriceLeg($B$6,G70),"-")</f>
        <v>-</v>
      </c>
      <c r="M70" s="32" t="str">
        <f ca="1">IF(B70,_xll.BookPricingOutput.DirtyPriceLegConfidence($B$6,G70),"-")</f>
        <v>-</v>
      </c>
      <c r="N70" s="32" t="str">
        <f ca="1">IF(B70,_xll.BookPricingOutput.DirtyPriceLeg($B$6,H70),"-")</f>
        <v>-</v>
      </c>
      <c r="O70" s="32" t="str">
        <f ca="1">IF(B70,_xll.BookPricingOutput.DirtyPriceLegConfidence($B$6,H70),"-")</f>
        <v>-</v>
      </c>
      <c r="P70" s="32" t="str">
        <f ca="1">IF(B70,_xll.BookPricingOutput.GetPricingTime($B$6,A70),"-")</f>
        <v>-</v>
      </c>
      <c r="Q70" t="str">
        <f ca="1">IF(B70,_xll.BookPricingOutput.GetStatus($B$6,A70),"-")</f>
        <v>-</v>
      </c>
    </row>
    <row r="71" spans="1:17" x14ac:dyDescent="0.35">
      <c r="A71" t="str">
        <f ca="1"/>
        <v/>
      </c>
      <c r="B71" t="b">
        <v>0</v>
      </c>
      <c r="C71" t="s">
        <v>276</v>
      </c>
      <c r="D71" t="s">
        <v>33</v>
      </c>
      <c r="E71" s="27" t="s">
        <v>291</v>
      </c>
      <c r="F71" s="27" t="b">
        <v>0</v>
      </c>
      <c r="G71" t="str">
        <f ca="1">IF(B71,_xll.BookPricingOutput.GetLeg1($B$6,A71),"-")</f>
        <v>-</v>
      </c>
      <c r="H71" t="str">
        <f ca="1">IF(B71,_xll.BookPricingOutput.GetLeg2($B$6,A71),"-")</f>
        <v>-</v>
      </c>
      <c r="I71" t="str">
        <f ca="1">IF(B71,_xll.BookPricingOutput.DirtyPrice($B$6,A71),"-")</f>
        <v>-</v>
      </c>
      <c r="J71" s="32" t="str">
        <f ca="1">IF(B71,_xll.BookPricingOutput.DirtyPriceConfidence($B$6,A71),"-")</f>
        <v>-</v>
      </c>
      <c r="K71" s="32" t="str">
        <f ca="1">IF(B71,_xll.BookPricingOutput.FairSpread($B$6,A71)*10000,"-")</f>
        <v>-</v>
      </c>
      <c r="L71" s="32" t="str">
        <f ca="1">IF(B71,_xll.BookPricingOutput.DirtyPriceLeg($B$6,G71),"-")</f>
        <v>-</v>
      </c>
      <c r="M71" s="32" t="str">
        <f ca="1">IF(B71,_xll.BookPricingOutput.DirtyPriceLegConfidence($B$6,G71),"-")</f>
        <v>-</v>
      </c>
      <c r="N71" s="32" t="str">
        <f ca="1">IF(B71,_xll.BookPricingOutput.DirtyPriceLeg($B$6,H71),"-")</f>
        <v>-</v>
      </c>
      <c r="O71" s="32" t="str">
        <f ca="1">IF(B71,_xll.BookPricingOutput.DirtyPriceLegConfidence($B$6,H71),"-")</f>
        <v>-</v>
      </c>
      <c r="P71" s="32" t="str">
        <f ca="1">IF(B71,_xll.BookPricingOutput.GetPricingTime($B$6,A71),"-")</f>
        <v>-</v>
      </c>
      <c r="Q71" t="str">
        <f ca="1">IF(B71,_xll.BookPricingOutput.GetStatus($B$6,A71),"-")</f>
        <v>-</v>
      </c>
    </row>
    <row r="72" spans="1:17" x14ac:dyDescent="0.35">
      <c r="A72" t="str">
        <f ca="1"/>
        <v/>
      </c>
      <c r="B72" t="b">
        <v>0</v>
      </c>
      <c r="C72" t="s">
        <v>276</v>
      </c>
      <c r="D72" t="s">
        <v>33</v>
      </c>
      <c r="E72" s="27" t="s">
        <v>291</v>
      </c>
      <c r="F72" s="27" t="b">
        <v>0</v>
      </c>
      <c r="G72" t="str">
        <f ca="1">IF(B72,_xll.BookPricingOutput.GetLeg1($B$6,A72),"-")</f>
        <v>-</v>
      </c>
      <c r="H72" t="str">
        <f ca="1">IF(B72,_xll.BookPricingOutput.GetLeg2($B$6,A72),"-")</f>
        <v>-</v>
      </c>
      <c r="I72" t="str">
        <f ca="1">IF(B72,_xll.BookPricingOutput.DirtyPrice($B$6,A72),"-")</f>
        <v>-</v>
      </c>
      <c r="J72" s="32" t="str">
        <f ca="1">IF(B72,_xll.BookPricingOutput.DirtyPriceConfidence($B$6,A72),"-")</f>
        <v>-</v>
      </c>
      <c r="K72" s="32" t="str">
        <f ca="1">IF(B72,_xll.BookPricingOutput.FairSpread($B$6,A72)*10000,"-")</f>
        <v>-</v>
      </c>
      <c r="L72" s="32" t="str">
        <f ca="1">IF(B72,_xll.BookPricingOutput.DirtyPriceLeg($B$6,G72),"-")</f>
        <v>-</v>
      </c>
      <c r="M72" s="32" t="str">
        <f ca="1">IF(B72,_xll.BookPricingOutput.DirtyPriceLegConfidence($B$6,G72),"-")</f>
        <v>-</v>
      </c>
      <c r="N72" s="32" t="str">
        <f ca="1">IF(B72,_xll.BookPricingOutput.DirtyPriceLeg($B$6,H72),"-")</f>
        <v>-</v>
      </c>
      <c r="O72" s="32" t="str">
        <f ca="1">IF(B72,_xll.BookPricingOutput.DirtyPriceLegConfidence($B$6,H72),"-")</f>
        <v>-</v>
      </c>
      <c r="P72" s="32" t="str">
        <f ca="1">IF(B72,_xll.BookPricingOutput.GetPricingTime($B$6,A72),"-")</f>
        <v>-</v>
      </c>
      <c r="Q72" t="str">
        <f ca="1">IF(B72,_xll.BookPricingOutput.GetStatus($B$6,A72),"-")</f>
        <v>-</v>
      </c>
    </row>
    <row r="73" spans="1:17" x14ac:dyDescent="0.35">
      <c r="A73" t="str">
        <f ca="1"/>
        <v/>
      </c>
      <c r="B73" t="b">
        <v>0</v>
      </c>
      <c r="C73" t="s">
        <v>276</v>
      </c>
      <c r="D73" t="s">
        <v>33</v>
      </c>
      <c r="E73" s="27" t="s">
        <v>291</v>
      </c>
      <c r="F73" s="27" t="b">
        <v>0</v>
      </c>
      <c r="G73" t="str">
        <f ca="1">IF(B73,_xll.BookPricingOutput.GetLeg1($B$6,A73),"-")</f>
        <v>-</v>
      </c>
      <c r="H73" t="str">
        <f ca="1">IF(B73,_xll.BookPricingOutput.GetLeg2($B$6,A73),"-")</f>
        <v>-</v>
      </c>
      <c r="I73" t="str">
        <f ca="1">IF(B73,_xll.BookPricingOutput.DirtyPrice($B$6,A73),"-")</f>
        <v>-</v>
      </c>
      <c r="J73" s="32" t="str">
        <f ca="1">IF(B73,_xll.BookPricingOutput.DirtyPriceConfidence($B$6,A73),"-")</f>
        <v>-</v>
      </c>
      <c r="K73" s="32" t="str">
        <f ca="1">IF(B73,_xll.BookPricingOutput.FairSpread($B$6,A73)*10000,"-")</f>
        <v>-</v>
      </c>
      <c r="L73" s="32" t="str">
        <f ca="1">IF(B73,_xll.BookPricingOutput.DirtyPriceLeg($B$6,G73),"-")</f>
        <v>-</v>
      </c>
      <c r="M73" s="32" t="str">
        <f ca="1">IF(B73,_xll.BookPricingOutput.DirtyPriceLegConfidence($B$6,G73),"-")</f>
        <v>-</v>
      </c>
      <c r="N73" s="32" t="str">
        <f ca="1">IF(B73,_xll.BookPricingOutput.DirtyPriceLeg($B$6,H73),"-")</f>
        <v>-</v>
      </c>
      <c r="O73" s="32" t="str">
        <f ca="1">IF(B73,_xll.BookPricingOutput.DirtyPriceLegConfidence($B$6,H73),"-")</f>
        <v>-</v>
      </c>
      <c r="P73" s="32" t="str">
        <f ca="1">IF(B73,_xll.BookPricingOutput.GetPricingTime($B$6,A73),"-")</f>
        <v>-</v>
      </c>
      <c r="Q73" t="str">
        <f ca="1">IF(B73,_xll.BookPricingOutput.GetStatus($B$6,A73),"-")</f>
        <v>-</v>
      </c>
    </row>
    <row r="74" spans="1:17" x14ac:dyDescent="0.35">
      <c r="A74" t="str">
        <f ca="1"/>
        <v/>
      </c>
      <c r="B74" t="b">
        <v>0</v>
      </c>
      <c r="C74" t="s">
        <v>276</v>
      </c>
      <c r="D74" t="s">
        <v>33</v>
      </c>
      <c r="E74" s="27" t="s">
        <v>291</v>
      </c>
      <c r="F74" s="27" t="b">
        <v>0</v>
      </c>
      <c r="G74" t="str">
        <f ca="1">IF(B74,_xll.BookPricingOutput.GetLeg1($B$6,A74),"-")</f>
        <v>-</v>
      </c>
      <c r="H74" t="str">
        <f ca="1">IF(B74,_xll.BookPricingOutput.GetLeg2($B$6,A74),"-")</f>
        <v>-</v>
      </c>
      <c r="I74" t="str">
        <f ca="1">IF(B74,_xll.BookPricingOutput.DirtyPrice($B$6,A74),"-")</f>
        <v>-</v>
      </c>
      <c r="J74" s="32" t="str">
        <f ca="1">IF(B74,_xll.BookPricingOutput.DirtyPriceConfidence($B$6,A74),"-")</f>
        <v>-</v>
      </c>
      <c r="K74" s="32" t="str">
        <f ca="1">IF(B74,_xll.BookPricingOutput.FairSpread($B$6,A74)*10000,"-")</f>
        <v>-</v>
      </c>
      <c r="L74" s="32" t="str">
        <f ca="1">IF(B74,_xll.BookPricingOutput.DirtyPriceLeg($B$6,G74),"-")</f>
        <v>-</v>
      </c>
      <c r="M74" s="32" t="str">
        <f ca="1">IF(B74,_xll.BookPricingOutput.DirtyPriceLegConfidence($B$6,G74),"-")</f>
        <v>-</v>
      </c>
      <c r="N74" s="32" t="str">
        <f ca="1">IF(B74,_xll.BookPricingOutput.DirtyPriceLeg($B$6,H74),"-")</f>
        <v>-</v>
      </c>
      <c r="O74" s="32" t="str">
        <f ca="1">IF(B74,_xll.BookPricingOutput.DirtyPriceLegConfidence($B$6,H74),"-")</f>
        <v>-</v>
      </c>
      <c r="P74" s="32" t="str">
        <f ca="1">IF(B74,_xll.BookPricingOutput.GetPricingTime($B$6,A74),"-")</f>
        <v>-</v>
      </c>
      <c r="Q74" t="str">
        <f ca="1">IF(B74,_xll.BookPricingOutput.GetStatus($B$6,A74),"-")</f>
        <v>-</v>
      </c>
    </row>
    <row r="75" spans="1:17" x14ac:dyDescent="0.35">
      <c r="A75" t="str">
        <f ca="1"/>
        <v/>
      </c>
      <c r="B75" t="b">
        <v>0</v>
      </c>
      <c r="C75" t="s">
        <v>276</v>
      </c>
      <c r="D75" t="s">
        <v>33</v>
      </c>
      <c r="E75" s="27" t="s">
        <v>291</v>
      </c>
      <c r="F75" s="27" t="b">
        <v>0</v>
      </c>
      <c r="G75" t="str">
        <f ca="1">IF(B75,_xll.BookPricingOutput.GetLeg1($B$6,A75),"-")</f>
        <v>-</v>
      </c>
      <c r="H75" t="str">
        <f ca="1">IF(B75,_xll.BookPricingOutput.GetLeg2($B$6,A75),"-")</f>
        <v>-</v>
      </c>
      <c r="I75" t="str">
        <f ca="1">IF(B75,_xll.BookPricingOutput.DirtyPrice($B$6,A75),"-")</f>
        <v>-</v>
      </c>
      <c r="J75" s="32" t="str">
        <f ca="1">IF(B75,_xll.BookPricingOutput.DirtyPriceConfidence($B$6,A75),"-")</f>
        <v>-</v>
      </c>
      <c r="K75" s="32" t="str">
        <f ca="1">IF(B75,_xll.BookPricingOutput.FairSpread($B$6,A75)*10000,"-")</f>
        <v>-</v>
      </c>
      <c r="L75" s="32" t="str">
        <f ca="1">IF(B75,_xll.BookPricingOutput.DirtyPriceLeg($B$6,G75),"-")</f>
        <v>-</v>
      </c>
      <c r="M75" s="32" t="str">
        <f ca="1">IF(B75,_xll.BookPricingOutput.DirtyPriceLegConfidence($B$6,G75),"-")</f>
        <v>-</v>
      </c>
      <c r="N75" s="32" t="str">
        <f ca="1">IF(B75,_xll.BookPricingOutput.DirtyPriceLeg($B$6,H75),"-")</f>
        <v>-</v>
      </c>
      <c r="O75" s="32" t="str">
        <f ca="1">IF(B75,_xll.BookPricingOutput.DirtyPriceLegConfidence($B$6,H75),"-")</f>
        <v>-</v>
      </c>
      <c r="P75" s="32" t="str">
        <f ca="1">IF(B75,_xll.BookPricingOutput.GetPricingTime($B$6,A75),"-")</f>
        <v>-</v>
      </c>
      <c r="Q75" t="str">
        <f ca="1">IF(B75,_xll.BookPricingOutput.GetStatus($B$6,A75),"-")</f>
        <v>-</v>
      </c>
    </row>
    <row r="76" spans="1:17" x14ac:dyDescent="0.35">
      <c r="A76" t="str">
        <f ca="1"/>
        <v/>
      </c>
      <c r="B76" t="b">
        <v>0</v>
      </c>
      <c r="C76" t="s">
        <v>276</v>
      </c>
      <c r="D76" t="s">
        <v>33</v>
      </c>
      <c r="E76" s="27" t="s">
        <v>291</v>
      </c>
      <c r="F76" s="27" t="b">
        <v>0</v>
      </c>
      <c r="G76" t="str">
        <f ca="1">IF(B76,_xll.BookPricingOutput.GetLeg1($B$6,A76),"-")</f>
        <v>-</v>
      </c>
      <c r="H76" t="str">
        <f ca="1">IF(B76,_xll.BookPricingOutput.GetLeg2($B$6,A76),"-")</f>
        <v>-</v>
      </c>
      <c r="I76" t="str">
        <f ca="1">IF(B76,_xll.BookPricingOutput.DirtyPrice($B$6,A76),"-")</f>
        <v>-</v>
      </c>
      <c r="J76" s="32" t="str">
        <f ca="1">IF(B76,_xll.BookPricingOutput.DirtyPriceConfidence($B$6,A76),"-")</f>
        <v>-</v>
      </c>
      <c r="K76" s="32" t="str">
        <f ca="1">IF(B76,_xll.BookPricingOutput.FairSpread($B$6,A76)*10000,"-")</f>
        <v>-</v>
      </c>
      <c r="L76" s="32" t="str">
        <f ca="1">IF(B76,_xll.BookPricingOutput.DirtyPriceLeg($B$6,G76),"-")</f>
        <v>-</v>
      </c>
      <c r="M76" s="32" t="str">
        <f ca="1">IF(B76,_xll.BookPricingOutput.DirtyPriceLegConfidence($B$6,G76),"-")</f>
        <v>-</v>
      </c>
      <c r="N76" s="32" t="str">
        <f ca="1">IF(B76,_xll.BookPricingOutput.DirtyPriceLeg($B$6,H76),"-")</f>
        <v>-</v>
      </c>
      <c r="O76" s="32" t="str">
        <f ca="1">IF(B76,_xll.BookPricingOutput.DirtyPriceLegConfidence($B$6,H76),"-")</f>
        <v>-</v>
      </c>
      <c r="P76" s="32" t="str">
        <f ca="1">IF(B76,_xll.BookPricingOutput.GetPricingTime($B$6,A76),"-")</f>
        <v>-</v>
      </c>
      <c r="Q76" t="str">
        <f ca="1">IF(B76,_xll.BookPricingOutput.GetStatus($B$6,A76),"-")</f>
        <v>-</v>
      </c>
    </row>
    <row r="77" spans="1:17" x14ac:dyDescent="0.35">
      <c r="A77" t="str">
        <f ca="1"/>
        <v/>
      </c>
      <c r="B77" t="b">
        <v>0</v>
      </c>
      <c r="C77" t="s">
        <v>276</v>
      </c>
      <c r="D77" t="s">
        <v>33</v>
      </c>
      <c r="E77" s="27" t="s">
        <v>291</v>
      </c>
      <c r="F77" s="27" t="b">
        <v>0</v>
      </c>
      <c r="G77" t="str">
        <f ca="1">IF(B77,_xll.BookPricingOutput.GetLeg1($B$6,A77),"-")</f>
        <v>-</v>
      </c>
      <c r="H77" t="str">
        <f ca="1">IF(B77,_xll.BookPricingOutput.GetLeg2($B$6,A77),"-")</f>
        <v>-</v>
      </c>
      <c r="I77" t="str">
        <f ca="1">IF(B77,_xll.BookPricingOutput.DirtyPrice($B$6,A77),"-")</f>
        <v>-</v>
      </c>
      <c r="J77" s="32" t="str">
        <f ca="1">IF(B77,_xll.BookPricingOutput.DirtyPriceConfidence($B$6,A77),"-")</f>
        <v>-</v>
      </c>
      <c r="K77" s="32" t="str">
        <f ca="1">IF(B77,_xll.BookPricingOutput.FairSpread($B$6,A77)*10000,"-")</f>
        <v>-</v>
      </c>
      <c r="L77" s="32" t="str">
        <f ca="1">IF(B77,_xll.BookPricingOutput.DirtyPriceLeg($B$6,G77),"-")</f>
        <v>-</v>
      </c>
      <c r="M77" s="32" t="str">
        <f ca="1">IF(B77,_xll.BookPricingOutput.DirtyPriceLegConfidence($B$6,G77),"-")</f>
        <v>-</v>
      </c>
      <c r="N77" s="32" t="str">
        <f ca="1">IF(B77,_xll.BookPricingOutput.DirtyPriceLeg($B$6,H77),"-")</f>
        <v>-</v>
      </c>
      <c r="O77" s="32" t="str">
        <f ca="1">IF(B77,_xll.BookPricingOutput.DirtyPriceLegConfidence($B$6,H77),"-")</f>
        <v>-</v>
      </c>
      <c r="P77" s="32" t="str">
        <f ca="1">IF(B77,_xll.BookPricingOutput.GetPricingTime($B$6,A77),"-")</f>
        <v>-</v>
      </c>
      <c r="Q77" t="str">
        <f ca="1">IF(B77,_xll.BookPricingOutput.GetStatus($B$6,A77),"-")</f>
        <v>-</v>
      </c>
    </row>
    <row r="78" spans="1:17" x14ac:dyDescent="0.35">
      <c r="A78" t="str">
        <f ca="1"/>
        <v/>
      </c>
      <c r="B78" t="b">
        <v>0</v>
      </c>
      <c r="C78" t="s">
        <v>276</v>
      </c>
      <c r="D78" t="s">
        <v>33</v>
      </c>
      <c r="E78" s="27" t="s">
        <v>291</v>
      </c>
      <c r="F78" s="27" t="b">
        <v>0</v>
      </c>
      <c r="G78" t="str">
        <f ca="1">IF(B78,_xll.BookPricingOutput.GetLeg1($B$6,A78),"-")</f>
        <v>-</v>
      </c>
      <c r="H78" t="str">
        <f ca="1">IF(B78,_xll.BookPricingOutput.GetLeg2($B$6,A78),"-")</f>
        <v>-</v>
      </c>
      <c r="I78" t="str">
        <f ca="1">IF(B78,_xll.BookPricingOutput.DirtyPrice($B$6,A78),"-")</f>
        <v>-</v>
      </c>
      <c r="J78" s="32" t="str">
        <f ca="1">IF(B78,_xll.BookPricingOutput.DirtyPriceConfidence($B$6,A78),"-")</f>
        <v>-</v>
      </c>
      <c r="K78" s="32" t="str">
        <f ca="1">IF(B78,_xll.BookPricingOutput.FairSpread($B$6,A78)*10000,"-")</f>
        <v>-</v>
      </c>
      <c r="L78" s="32" t="str">
        <f ca="1">IF(B78,_xll.BookPricingOutput.DirtyPriceLeg($B$6,G78),"-")</f>
        <v>-</v>
      </c>
      <c r="M78" s="32" t="str">
        <f ca="1">IF(B78,_xll.BookPricingOutput.DirtyPriceLegConfidence($B$6,G78),"-")</f>
        <v>-</v>
      </c>
      <c r="N78" s="32" t="str">
        <f ca="1">IF(B78,_xll.BookPricingOutput.DirtyPriceLeg($B$6,H78),"-")</f>
        <v>-</v>
      </c>
      <c r="O78" s="32" t="str">
        <f ca="1">IF(B78,_xll.BookPricingOutput.DirtyPriceLegConfidence($B$6,H78),"-")</f>
        <v>-</v>
      </c>
      <c r="P78" s="32" t="str">
        <f ca="1">IF(B78,_xll.BookPricingOutput.GetPricingTime($B$6,A78),"-")</f>
        <v>-</v>
      </c>
      <c r="Q78" t="str">
        <f ca="1">IF(B78,_xll.BookPricingOutput.GetStatus($B$6,A78),"-")</f>
        <v>-</v>
      </c>
    </row>
    <row r="79" spans="1:17" x14ac:dyDescent="0.35">
      <c r="A79" t="str">
        <f ca="1"/>
        <v/>
      </c>
      <c r="B79" t="b">
        <v>0</v>
      </c>
      <c r="C79" t="s">
        <v>276</v>
      </c>
      <c r="D79" t="s">
        <v>33</v>
      </c>
      <c r="E79" s="27" t="s">
        <v>291</v>
      </c>
      <c r="F79" s="27" t="b">
        <v>0</v>
      </c>
      <c r="G79" t="str">
        <f ca="1">IF(B79,_xll.BookPricingOutput.GetLeg1($B$6,A79),"-")</f>
        <v>-</v>
      </c>
      <c r="H79" t="str">
        <f ca="1">IF(B79,_xll.BookPricingOutput.GetLeg2($B$6,A79),"-")</f>
        <v>-</v>
      </c>
      <c r="I79" t="str">
        <f ca="1">IF(B79,_xll.BookPricingOutput.DirtyPrice($B$6,A79),"-")</f>
        <v>-</v>
      </c>
      <c r="J79" s="32" t="str">
        <f ca="1">IF(B79,_xll.BookPricingOutput.DirtyPriceConfidence($B$6,A79),"-")</f>
        <v>-</v>
      </c>
      <c r="K79" s="32" t="str">
        <f ca="1">IF(B79,_xll.BookPricingOutput.FairSpread($B$6,A79)*10000,"-")</f>
        <v>-</v>
      </c>
      <c r="L79" s="32" t="str">
        <f ca="1">IF(B79,_xll.BookPricingOutput.DirtyPriceLeg($B$6,G79),"-")</f>
        <v>-</v>
      </c>
      <c r="M79" s="32" t="str">
        <f ca="1">IF(B79,_xll.BookPricingOutput.DirtyPriceLegConfidence($B$6,G79),"-")</f>
        <v>-</v>
      </c>
      <c r="N79" s="32" t="str">
        <f ca="1">IF(B79,_xll.BookPricingOutput.DirtyPriceLeg($B$6,H79),"-")</f>
        <v>-</v>
      </c>
      <c r="O79" s="32" t="str">
        <f ca="1">IF(B79,_xll.BookPricingOutput.DirtyPriceLegConfidence($B$6,H79),"-")</f>
        <v>-</v>
      </c>
      <c r="P79" s="32" t="str">
        <f ca="1">IF(B79,_xll.BookPricingOutput.GetPricingTime($B$6,A79),"-")</f>
        <v>-</v>
      </c>
      <c r="Q79" t="str">
        <f ca="1">IF(B79,_xll.BookPricingOutput.GetStatus($B$6,A79),"-")</f>
        <v>-</v>
      </c>
    </row>
    <row r="80" spans="1:17" x14ac:dyDescent="0.35">
      <c r="A80" t="str">
        <f ca="1"/>
        <v/>
      </c>
      <c r="B80" t="b">
        <v>0</v>
      </c>
      <c r="C80" t="s">
        <v>276</v>
      </c>
      <c r="D80" t="s">
        <v>33</v>
      </c>
      <c r="E80" s="27" t="s">
        <v>291</v>
      </c>
      <c r="F80" s="27" t="b">
        <v>0</v>
      </c>
      <c r="G80" t="str">
        <f ca="1">IF(B80,_xll.BookPricingOutput.GetLeg1($B$6,A80),"-")</f>
        <v>-</v>
      </c>
      <c r="H80" t="str">
        <f ca="1">IF(B80,_xll.BookPricingOutput.GetLeg2($B$6,A80),"-")</f>
        <v>-</v>
      </c>
      <c r="I80" t="str">
        <f ca="1">IF(B80,_xll.BookPricingOutput.DirtyPrice($B$6,A80),"-")</f>
        <v>-</v>
      </c>
      <c r="J80" s="32" t="str">
        <f ca="1">IF(B80,_xll.BookPricingOutput.DirtyPriceConfidence($B$6,A80),"-")</f>
        <v>-</v>
      </c>
      <c r="K80" s="32" t="str">
        <f ca="1">IF(B80,_xll.BookPricingOutput.FairSpread($B$6,A80)*10000,"-")</f>
        <v>-</v>
      </c>
      <c r="L80" s="32" t="str">
        <f ca="1">IF(B80,_xll.BookPricingOutput.DirtyPriceLeg($B$6,G80),"-")</f>
        <v>-</v>
      </c>
      <c r="M80" s="32" t="str">
        <f ca="1">IF(B80,_xll.BookPricingOutput.DirtyPriceLegConfidence($B$6,G80),"-")</f>
        <v>-</v>
      </c>
      <c r="N80" s="32" t="str">
        <f ca="1">IF(B80,_xll.BookPricingOutput.DirtyPriceLeg($B$6,H80),"-")</f>
        <v>-</v>
      </c>
      <c r="O80" s="32" t="str">
        <f ca="1">IF(B80,_xll.BookPricingOutput.DirtyPriceLegConfidence($B$6,H80),"-")</f>
        <v>-</v>
      </c>
      <c r="P80" s="32" t="str">
        <f ca="1">IF(B80,_xll.BookPricingOutput.GetPricingTime($B$6,A80),"-")</f>
        <v>-</v>
      </c>
      <c r="Q80" t="str">
        <f ca="1">IF(B80,_xll.BookPricingOutput.GetStatus($B$6,A80),"-")</f>
        <v>-</v>
      </c>
    </row>
    <row r="81" spans="1:17" x14ac:dyDescent="0.35">
      <c r="A81" t="str">
        <f ca="1"/>
        <v/>
      </c>
      <c r="B81" t="b">
        <v>0</v>
      </c>
      <c r="C81" t="s">
        <v>276</v>
      </c>
      <c r="D81" t="s">
        <v>33</v>
      </c>
      <c r="E81" s="27" t="s">
        <v>291</v>
      </c>
      <c r="F81" s="27" t="b">
        <v>0</v>
      </c>
      <c r="G81" t="str">
        <f ca="1">IF(B81,_xll.BookPricingOutput.GetLeg1($B$6,A81),"-")</f>
        <v>-</v>
      </c>
      <c r="H81" t="str">
        <f ca="1">IF(B81,_xll.BookPricingOutput.GetLeg2($B$6,A81),"-")</f>
        <v>-</v>
      </c>
      <c r="I81" t="str">
        <f ca="1">IF(B81,_xll.BookPricingOutput.DirtyPrice($B$6,A81),"-")</f>
        <v>-</v>
      </c>
      <c r="J81" s="32" t="str">
        <f ca="1">IF(B81,_xll.BookPricingOutput.DirtyPriceConfidence($B$6,A81),"-")</f>
        <v>-</v>
      </c>
      <c r="K81" s="32" t="str">
        <f ca="1">IF(B81,_xll.BookPricingOutput.FairSpread($B$6,A81)*10000,"-")</f>
        <v>-</v>
      </c>
      <c r="L81" s="32" t="str">
        <f ca="1">IF(B81,_xll.BookPricingOutput.DirtyPriceLeg($B$6,G81),"-")</f>
        <v>-</v>
      </c>
      <c r="M81" s="32" t="str">
        <f ca="1">IF(B81,_xll.BookPricingOutput.DirtyPriceLegConfidence($B$6,G81),"-")</f>
        <v>-</v>
      </c>
      <c r="N81" s="32" t="str">
        <f ca="1">IF(B81,_xll.BookPricingOutput.DirtyPriceLeg($B$6,H81),"-")</f>
        <v>-</v>
      </c>
      <c r="O81" s="32" t="str">
        <f ca="1">IF(B81,_xll.BookPricingOutput.DirtyPriceLegConfidence($B$6,H81),"-")</f>
        <v>-</v>
      </c>
      <c r="P81" s="32" t="str">
        <f ca="1">IF(B81,_xll.BookPricingOutput.GetPricingTime($B$6,A81),"-")</f>
        <v>-</v>
      </c>
      <c r="Q81" t="str">
        <f ca="1">IF(B81,_xll.BookPricingOutput.GetStatus($B$6,A81),"-")</f>
        <v>-</v>
      </c>
    </row>
    <row r="82" spans="1:17" x14ac:dyDescent="0.35">
      <c r="A82" t="str">
        <f ca="1"/>
        <v/>
      </c>
      <c r="B82" t="b">
        <v>0</v>
      </c>
      <c r="C82" t="s">
        <v>276</v>
      </c>
      <c r="D82" t="s">
        <v>33</v>
      </c>
      <c r="E82" s="27" t="s">
        <v>291</v>
      </c>
      <c r="F82" s="27" t="b">
        <v>0</v>
      </c>
      <c r="G82" t="str">
        <f ca="1">IF(B82,_xll.BookPricingOutput.GetLeg1($B$6,A82),"-")</f>
        <v>-</v>
      </c>
      <c r="H82" t="str">
        <f ca="1">IF(B82,_xll.BookPricingOutput.GetLeg2($B$6,A82),"-")</f>
        <v>-</v>
      </c>
      <c r="I82" t="str">
        <f ca="1">IF(B82,_xll.BookPricingOutput.DirtyPrice($B$6,A82),"-")</f>
        <v>-</v>
      </c>
      <c r="J82" s="32" t="str">
        <f ca="1">IF(B82,_xll.BookPricingOutput.DirtyPriceConfidence($B$6,A82),"-")</f>
        <v>-</v>
      </c>
      <c r="K82" s="32" t="str">
        <f ca="1">IF(B82,_xll.BookPricingOutput.FairSpread($B$6,A82)*10000,"-")</f>
        <v>-</v>
      </c>
      <c r="L82" s="32" t="str">
        <f ca="1">IF(B82,_xll.BookPricingOutput.DirtyPriceLeg($B$6,G82),"-")</f>
        <v>-</v>
      </c>
      <c r="M82" s="32" t="str">
        <f ca="1">IF(B82,_xll.BookPricingOutput.DirtyPriceLegConfidence($B$6,G82),"-")</f>
        <v>-</v>
      </c>
      <c r="N82" s="32" t="str">
        <f ca="1">IF(B82,_xll.BookPricingOutput.DirtyPriceLeg($B$6,H82),"-")</f>
        <v>-</v>
      </c>
      <c r="O82" s="32" t="str">
        <f ca="1">IF(B82,_xll.BookPricingOutput.DirtyPriceLegConfidence($B$6,H82),"-")</f>
        <v>-</v>
      </c>
      <c r="P82" s="32" t="str">
        <f ca="1">IF(B82,_xll.BookPricingOutput.GetPricingTime($B$6,A82),"-")</f>
        <v>-</v>
      </c>
      <c r="Q82" t="str">
        <f ca="1">IF(B82,_xll.BookPricingOutput.GetStatus($B$6,A82),"-")</f>
        <v>-</v>
      </c>
    </row>
    <row r="83" spans="1:17" x14ac:dyDescent="0.35">
      <c r="A83" t="str">
        <f ca="1"/>
        <v/>
      </c>
      <c r="B83" t="b">
        <v>0</v>
      </c>
      <c r="C83" t="s">
        <v>276</v>
      </c>
      <c r="D83" t="s">
        <v>33</v>
      </c>
      <c r="E83" s="27" t="s">
        <v>291</v>
      </c>
      <c r="F83" s="27" t="b">
        <v>0</v>
      </c>
      <c r="G83" t="str">
        <f ca="1">IF(B83,_xll.BookPricingOutput.GetLeg1($B$6,A83),"-")</f>
        <v>-</v>
      </c>
      <c r="H83" t="str">
        <f ca="1">IF(B83,_xll.BookPricingOutput.GetLeg2($B$6,A83),"-")</f>
        <v>-</v>
      </c>
      <c r="I83" t="str">
        <f ca="1">IF(B83,_xll.BookPricingOutput.DirtyPrice($B$6,A83),"-")</f>
        <v>-</v>
      </c>
      <c r="J83" s="32" t="str">
        <f ca="1">IF(B83,_xll.BookPricingOutput.DirtyPriceConfidence($B$6,A83),"-")</f>
        <v>-</v>
      </c>
      <c r="K83" s="32" t="str">
        <f ca="1">IF(B83,_xll.BookPricingOutput.FairSpread($B$6,A83)*10000,"-")</f>
        <v>-</v>
      </c>
      <c r="L83" s="32" t="str">
        <f ca="1">IF(B83,_xll.BookPricingOutput.DirtyPriceLeg($B$6,G83),"-")</f>
        <v>-</v>
      </c>
      <c r="M83" s="32" t="str">
        <f ca="1">IF(B83,_xll.BookPricingOutput.DirtyPriceLegConfidence($B$6,G83),"-")</f>
        <v>-</v>
      </c>
      <c r="N83" s="32" t="str">
        <f ca="1">IF(B83,_xll.BookPricingOutput.DirtyPriceLeg($B$6,H83),"-")</f>
        <v>-</v>
      </c>
      <c r="O83" s="32" t="str">
        <f ca="1">IF(B83,_xll.BookPricingOutput.DirtyPriceLegConfidence($B$6,H83),"-")</f>
        <v>-</v>
      </c>
      <c r="P83" s="32" t="str">
        <f ca="1">IF(B83,_xll.BookPricingOutput.GetPricingTime($B$6,A83),"-")</f>
        <v>-</v>
      </c>
      <c r="Q83" t="str">
        <f ca="1">IF(B83,_xll.BookPricingOutput.GetStatus($B$6,A83),"-")</f>
        <v>-</v>
      </c>
    </row>
    <row r="84" spans="1:17" x14ac:dyDescent="0.35">
      <c r="A84" t="str">
        <f ca="1"/>
        <v/>
      </c>
      <c r="B84" t="b">
        <v>0</v>
      </c>
      <c r="C84" t="s">
        <v>276</v>
      </c>
      <c r="D84" t="s">
        <v>33</v>
      </c>
      <c r="E84" s="27" t="s">
        <v>291</v>
      </c>
      <c r="F84" s="27" t="b">
        <v>0</v>
      </c>
      <c r="G84" t="str">
        <f ca="1">IF(B84,_xll.BookPricingOutput.GetLeg1($B$6,A84),"-")</f>
        <v>-</v>
      </c>
      <c r="H84" t="str">
        <f ca="1">IF(B84,_xll.BookPricingOutput.GetLeg2($B$6,A84),"-")</f>
        <v>-</v>
      </c>
      <c r="I84" t="str">
        <f ca="1">IF(B84,_xll.BookPricingOutput.DirtyPrice($B$6,A84),"-")</f>
        <v>-</v>
      </c>
      <c r="J84" s="32" t="str">
        <f ca="1">IF(B84,_xll.BookPricingOutput.DirtyPriceConfidence($B$6,A84),"-")</f>
        <v>-</v>
      </c>
      <c r="K84" s="32" t="str">
        <f ca="1">IF(B84,_xll.BookPricingOutput.FairSpread($B$6,A84)*10000,"-")</f>
        <v>-</v>
      </c>
      <c r="L84" s="32" t="str">
        <f ca="1">IF(B84,_xll.BookPricingOutput.DirtyPriceLeg($B$6,G84),"-")</f>
        <v>-</v>
      </c>
      <c r="M84" s="32" t="str">
        <f ca="1">IF(B84,_xll.BookPricingOutput.DirtyPriceLegConfidence($B$6,G84),"-")</f>
        <v>-</v>
      </c>
      <c r="N84" s="32" t="str">
        <f ca="1">IF(B84,_xll.BookPricingOutput.DirtyPriceLeg($B$6,H84),"-")</f>
        <v>-</v>
      </c>
      <c r="O84" s="32" t="str">
        <f ca="1">IF(B84,_xll.BookPricingOutput.DirtyPriceLegConfidence($B$6,H84),"-")</f>
        <v>-</v>
      </c>
      <c r="P84" s="32" t="str">
        <f ca="1">IF(B84,_xll.BookPricingOutput.GetPricingTime($B$6,A84),"-")</f>
        <v>-</v>
      </c>
      <c r="Q84" t="str">
        <f ca="1">IF(B84,_xll.BookPricingOutput.GetStatus($B$6,A84),"-")</f>
        <v>-</v>
      </c>
    </row>
    <row r="85" spans="1:17" x14ac:dyDescent="0.35">
      <c r="A85" t="str">
        <f ca="1"/>
        <v/>
      </c>
      <c r="B85" t="b">
        <v>0</v>
      </c>
      <c r="C85" t="s">
        <v>276</v>
      </c>
      <c r="D85" t="s">
        <v>33</v>
      </c>
      <c r="E85" s="27" t="s">
        <v>291</v>
      </c>
      <c r="F85" s="27" t="b">
        <v>0</v>
      </c>
      <c r="G85" t="str">
        <f ca="1">IF(B85,_xll.BookPricingOutput.GetLeg1($B$6,A85),"-")</f>
        <v>-</v>
      </c>
      <c r="H85" t="str">
        <f ca="1">IF(B85,_xll.BookPricingOutput.GetLeg2($B$6,A85),"-")</f>
        <v>-</v>
      </c>
      <c r="I85" t="str">
        <f ca="1">IF(B85,_xll.BookPricingOutput.DirtyPrice($B$6,A85),"-")</f>
        <v>-</v>
      </c>
      <c r="J85" s="32" t="str">
        <f ca="1">IF(B85,_xll.BookPricingOutput.DirtyPriceConfidence($B$6,A85),"-")</f>
        <v>-</v>
      </c>
      <c r="K85" s="32" t="str">
        <f ca="1">IF(B85,_xll.BookPricingOutput.FairSpread($B$6,A85)*10000,"-")</f>
        <v>-</v>
      </c>
      <c r="L85" s="32" t="str">
        <f ca="1">IF(B85,_xll.BookPricingOutput.DirtyPriceLeg($B$6,G85),"-")</f>
        <v>-</v>
      </c>
      <c r="M85" s="32" t="str">
        <f ca="1">IF(B85,_xll.BookPricingOutput.DirtyPriceLegConfidence($B$6,G85),"-")</f>
        <v>-</v>
      </c>
      <c r="N85" s="32" t="str">
        <f ca="1">IF(B85,_xll.BookPricingOutput.DirtyPriceLeg($B$6,H85),"-")</f>
        <v>-</v>
      </c>
      <c r="O85" s="32" t="str">
        <f ca="1">IF(B85,_xll.BookPricingOutput.DirtyPriceLegConfidence($B$6,H85),"-")</f>
        <v>-</v>
      </c>
      <c r="P85" s="32" t="str">
        <f ca="1">IF(B85,_xll.BookPricingOutput.GetPricingTime($B$6,A85),"-")</f>
        <v>-</v>
      </c>
      <c r="Q85" t="str">
        <f ca="1">IF(B85,_xll.BookPricingOutput.GetStatus($B$6,A85),"-")</f>
        <v>-</v>
      </c>
    </row>
    <row r="86" spans="1:17" x14ac:dyDescent="0.35">
      <c r="A86" t="str">
        <f ca="1"/>
        <v/>
      </c>
      <c r="B86" t="b">
        <v>0</v>
      </c>
      <c r="C86" t="s">
        <v>276</v>
      </c>
      <c r="D86" t="s">
        <v>33</v>
      </c>
      <c r="E86" s="27" t="s">
        <v>291</v>
      </c>
      <c r="F86" s="27" t="b">
        <v>0</v>
      </c>
      <c r="G86" t="str">
        <f ca="1">IF(B86,_xll.BookPricingOutput.GetLeg1($B$6,A86),"-")</f>
        <v>-</v>
      </c>
      <c r="H86" t="str">
        <f ca="1">IF(B86,_xll.BookPricingOutput.GetLeg2($B$6,A86),"-")</f>
        <v>-</v>
      </c>
      <c r="I86" t="str">
        <f ca="1">IF(B86,_xll.BookPricingOutput.DirtyPrice($B$6,A86),"-")</f>
        <v>-</v>
      </c>
      <c r="J86" s="32" t="str">
        <f ca="1">IF(B86,_xll.BookPricingOutput.DirtyPriceConfidence($B$6,A86),"-")</f>
        <v>-</v>
      </c>
      <c r="K86" s="32" t="str">
        <f ca="1">IF(B86,_xll.BookPricingOutput.FairSpread($B$6,A86)*10000,"-")</f>
        <v>-</v>
      </c>
      <c r="L86" s="32" t="str">
        <f ca="1">IF(B86,_xll.BookPricingOutput.DirtyPriceLeg($B$6,G86),"-")</f>
        <v>-</v>
      </c>
      <c r="M86" s="32" t="str">
        <f ca="1">IF(B86,_xll.BookPricingOutput.DirtyPriceLegConfidence($B$6,G86),"-")</f>
        <v>-</v>
      </c>
      <c r="N86" s="32" t="str">
        <f ca="1">IF(B86,_xll.BookPricingOutput.DirtyPriceLeg($B$6,H86),"-")</f>
        <v>-</v>
      </c>
      <c r="O86" s="32" t="str">
        <f ca="1">IF(B86,_xll.BookPricingOutput.DirtyPriceLegConfidence($B$6,H86),"-")</f>
        <v>-</v>
      </c>
      <c r="P86" s="32" t="str">
        <f ca="1">IF(B86,_xll.BookPricingOutput.GetPricingTime($B$6,A86),"-")</f>
        <v>-</v>
      </c>
      <c r="Q86" t="str">
        <f ca="1">IF(B86,_xll.BookPricingOutput.GetStatus($B$6,A86),"-")</f>
        <v>-</v>
      </c>
    </row>
    <row r="87" spans="1:17" x14ac:dyDescent="0.35">
      <c r="A87" t="str">
        <f ca="1"/>
        <v/>
      </c>
      <c r="B87" t="b">
        <v>0</v>
      </c>
      <c r="C87" t="s">
        <v>276</v>
      </c>
      <c r="D87" t="s">
        <v>33</v>
      </c>
      <c r="E87" s="27" t="s">
        <v>291</v>
      </c>
      <c r="F87" s="27" t="b">
        <v>0</v>
      </c>
      <c r="G87" t="str">
        <f ca="1">IF(B87,_xll.BookPricingOutput.GetLeg1($B$6,A87),"-")</f>
        <v>-</v>
      </c>
      <c r="H87" t="str">
        <f ca="1">IF(B87,_xll.BookPricingOutput.GetLeg2($B$6,A87),"-")</f>
        <v>-</v>
      </c>
      <c r="I87" t="str">
        <f ca="1">IF(B87,_xll.BookPricingOutput.DirtyPrice($B$6,A87),"-")</f>
        <v>-</v>
      </c>
      <c r="J87" s="32" t="str">
        <f ca="1">IF(B87,_xll.BookPricingOutput.DirtyPriceConfidence($B$6,A87),"-")</f>
        <v>-</v>
      </c>
      <c r="K87" s="32" t="str">
        <f ca="1">IF(B87,_xll.BookPricingOutput.FairSpread($B$6,A87)*10000,"-")</f>
        <v>-</v>
      </c>
      <c r="L87" s="32" t="str">
        <f ca="1">IF(B87,_xll.BookPricingOutput.DirtyPriceLeg($B$6,G87),"-")</f>
        <v>-</v>
      </c>
      <c r="M87" s="32" t="str">
        <f ca="1">IF(B87,_xll.BookPricingOutput.DirtyPriceLegConfidence($B$6,G87),"-")</f>
        <v>-</v>
      </c>
      <c r="N87" s="32" t="str">
        <f ca="1">IF(B87,_xll.BookPricingOutput.DirtyPriceLeg($B$6,H87),"-")</f>
        <v>-</v>
      </c>
      <c r="O87" s="32" t="str">
        <f ca="1">IF(B87,_xll.BookPricingOutput.DirtyPriceLegConfidence($B$6,H87),"-")</f>
        <v>-</v>
      </c>
      <c r="P87" s="32" t="str">
        <f ca="1">IF(B87,_xll.BookPricingOutput.GetPricingTime($B$6,A87),"-")</f>
        <v>-</v>
      </c>
      <c r="Q87" t="str">
        <f ca="1">IF(B87,_xll.BookPricingOutput.GetStatus($B$6,A87),"-")</f>
        <v>-</v>
      </c>
    </row>
    <row r="88" spans="1:17" x14ac:dyDescent="0.35">
      <c r="A88" t="str">
        <f ca="1"/>
        <v/>
      </c>
      <c r="B88" t="b">
        <v>0</v>
      </c>
      <c r="C88" t="s">
        <v>276</v>
      </c>
      <c r="D88" t="s">
        <v>33</v>
      </c>
      <c r="E88" s="27" t="s">
        <v>291</v>
      </c>
      <c r="F88" s="27" t="b">
        <v>0</v>
      </c>
      <c r="G88" t="str">
        <f ca="1">IF(B88,_xll.BookPricingOutput.GetLeg1($B$6,A88),"-")</f>
        <v>-</v>
      </c>
      <c r="H88" t="str">
        <f ca="1">IF(B88,_xll.BookPricingOutput.GetLeg2($B$6,A88),"-")</f>
        <v>-</v>
      </c>
      <c r="I88" t="str">
        <f ca="1">IF(B88,_xll.BookPricingOutput.DirtyPrice($B$6,A88),"-")</f>
        <v>-</v>
      </c>
      <c r="J88" s="32" t="str">
        <f ca="1">IF(B88,_xll.BookPricingOutput.DirtyPriceConfidence($B$6,A88),"-")</f>
        <v>-</v>
      </c>
      <c r="K88" s="32" t="str">
        <f ca="1">IF(B88,_xll.BookPricingOutput.FairSpread($B$6,A88)*10000,"-")</f>
        <v>-</v>
      </c>
      <c r="L88" s="32" t="str">
        <f ca="1">IF(B88,_xll.BookPricingOutput.DirtyPriceLeg($B$6,G88),"-")</f>
        <v>-</v>
      </c>
      <c r="M88" s="32" t="str">
        <f ca="1">IF(B88,_xll.BookPricingOutput.DirtyPriceLegConfidence($B$6,G88),"-")</f>
        <v>-</v>
      </c>
      <c r="N88" s="32" t="str">
        <f ca="1">IF(B88,_xll.BookPricingOutput.DirtyPriceLeg($B$6,H88),"-")</f>
        <v>-</v>
      </c>
      <c r="O88" s="32" t="str">
        <f ca="1">IF(B88,_xll.BookPricingOutput.DirtyPriceLegConfidence($B$6,H88),"-")</f>
        <v>-</v>
      </c>
      <c r="P88" s="32" t="str">
        <f ca="1">IF(B88,_xll.BookPricingOutput.GetPricingTime($B$6,A88),"-")</f>
        <v>-</v>
      </c>
      <c r="Q88" t="str">
        <f ca="1">IF(B88,_xll.BookPricingOutput.GetStatus($B$6,A88),"-")</f>
        <v>-</v>
      </c>
    </row>
    <row r="89" spans="1:17" x14ac:dyDescent="0.35">
      <c r="A89" t="str">
        <f ca="1"/>
        <v/>
      </c>
      <c r="B89" t="b">
        <v>0</v>
      </c>
      <c r="C89" t="s">
        <v>276</v>
      </c>
      <c r="D89" t="s">
        <v>33</v>
      </c>
      <c r="E89" s="27" t="s">
        <v>291</v>
      </c>
      <c r="F89" s="27" t="b">
        <v>0</v>
      </c>
      <c r="G89" t="str">
        <f ca="1">IF(B89,_xll.BookPricingOutput.GetLeg1($B$6,A89),"-")</f>
        <v>-</v>
      </c>
      <c r="H89" t="str">
        <f ca="1">IF(B89,_xll.BookPricingOutput.GetLeg2($B$6,A89),"-")</f>
        <v>-</v>
      </c>
      <c r="I89" t="str">
        <f ca="1">IF(B89,_xll.BookPricingOutput.DirtyPrice($B$6,A89),"-")</f>
        <v>-</v>
      </c>
      <c r="J89" s="32" t="str">
        <f ca="1">IF(B89,_xll.BookPricingOutput.DirtyPriceConfidence($B$6,A89),"-")</f>
        <v>-</v>
      </c>
      <c r="K89" s="32" t="str">
        <f ca="1">IF(B89,_xll.BookPricingOutput.FairSpread($B$6,A89)*10000,"-")</f>
        <v>-</v>
      </c>
      <c r="L89" s="32" t="str">
        <f ca="1">IF(B89,_xll.BookPricingOutput.DirtyPriceLeg($B$6,G89),"-")</f>
        <v>-</v>
      </c>
      <c r="M89" s="32" t="str">
        <f ca="1">IF(B89,_xll.BookPricingOutput.DirtyPriceLegConfidence($B$6,G89),"-")</f>
        <v>-</v>
      </c>
      <c r="N89" s="32" t="str">
        <f ca="1">IF(B89,_xll.BookPricingOutput.DirtyPriceLeg($B$6,H89),"-")</f>
        <v>-</v>
      </c>
      <c r="O89" s="32" t="str">
        <f ca="1">IF(B89,_xll.BookPricingOutput.DirtyPriceLegConfidence($B$6,H89),"-")</f>
        <v>-</v>
      </c>
      <c r="P89" s="32" t="str">
        <f ca="1">IF(B89,_xll.BookPricingOutput.GetPricingTime($B$6,A89),"-")</f>
        <v>-</v>
      </c>
      <c r="Q89" t="str">
        <f ca="1">IF(B89,_xll.BookPricingOutput.GetStatus($B$6,A89),"-")</f>
        <v>-</v>
      </c>
    </row>
    <row r="90" spans="1:17" x14ac:dyDescent="0.35">
      <c r="A90" t="str">
        <f ca="1"/>
        <v/>
      </c>
      <c r="B90" t="b">
        <v>0</v>
      </c>
      <c r="C90" t="s">
        <v>276</v>
      </c>
      <c r="D90" t="s">
        <v>33</v>
      </c>
      <c r="E90" s="27" t="s">
        <v>291</v>
      </c>
      <c r="F90" s="27" t="b">
        <v>0</v>
      </c>
      <c r="G90" t="str">
        <f ca="1">IF(B90,_xll.BookPricingOutput.GetLeg1($B$6,A90),"-")</f>
        <v>-</v>
      </c>
      <c r="H90" t="str">
        <f ca="1">IF(B90,_xll.BookPricingOutput.GetLeg2($B$6,A90),"-")</f>
        <v>-</v>
      </c>
      <c r="I90" t="str">
        <f ca="1">IF(B90,_xll.BookPricingOutput.DirtyPrice($B$6,A90),"-")</f>
        <v>-</v>
      </c>
      <c r="J90" s="32" t="str">
        <f ca="1">IF(B90,_xll.BookPricingOutput.DirtyPriceConfidence($B$6,A90),"-")</f>
        <v>-</v>
      </c>
      <c r="K90" s="32" t="str">
        <f ca="1">IF(B90,_xll.BookPricingOutput.FairSpread($B$6,A90)*10000,"-")</f>
        <v>-</v>
      </c>
      <c r="L90" s="32" t="str">
        <f ca="1">IF(B90,_xll.BookPricingOutput.DirtyPriceLeg($B$6,G90),"-")</f>
        <v>-</v>
      </c>
      <c r="M90" s="32" t="str">
        <f ca="1">IF(B90,_xll.BookPricingOutput.DirtyPriceLegConfidence($B$6,G90),"-")</f>
        <v>-</v>
      </c>
      <c r="N90" s="32" t="str">
        <f ca="1">IF(B90,_xll.BookPricingOutput.DirtyPriceLeg($B$6,H90),"-")</f>
        <v>-</v>
      </c>
      <c r="O90" s="32" t="str">
        <f ca="1">IF(B90,_xll.BookPricingOutput.DirtyPriceLegConfidence($B$6,H90),"-")</f>
        <v>-</v>
      </c>
      <c r="P90" s="32" t="str">
        <f ca="1">IF(B90,_xll.BookPricingOutput.GetPricingTime($B$6,A90),"-")</f>
        <v>-</v>
      </c>
      <c r="Q90" t="str">
        <f ca="1">IF(B90,_xll.BookPricingOutput.GetStatus($B$6,A90),"-")</f>
        <v>-</v>
      </c>
    </row>
    <row r="91" spans="1:17" x14ac:dyDescent="0.35">
      <c r="A91" t="str">
        <f ca="1"/>
        <v/>
      </c>
      <c r="B91" t="b">
        <v>0</v>
      </c>
      <c r="C91" t="s">
        <v>276</v>
      </c>
      <c r="D91" t="s">
        <v>33</v>
      </c>
      <c r="E91" s="27" t="s">
        <v>291</v>
      </c>
      <c r="F91" s="27" t="b">
        <v>0</v>
      </c>
      <c r="G91" t="str">
        <f ca="1">IF(B91,_xll.BookPricingOutput.GetLeg1($B$6,A91),"-")</f>
        <v>-</v>
      </c>
      <c r="H91" t="str">
        <f ca="1">IF(B91,_xll.BookPricingOutput.GetLeg2($B$6,A91),"-")</f>
        <v>-</v>
      </c>
      <c r="I91" t="str">
        <f ca="1">IF(B91,_xll.BookPricingOutput.DirtyPrice($B$6,A91),"-")</f>
        <v>-</v>
      </c>
      <c r="J91" s="32" t="str">
        <f ca="1">IF(B91,_xll.BookPricingOutput.DirtyPriceConfidence($B$6,A91),"-")</f>
        <v>-</v>
      </c>
      <c r="K91" s="32" t="str">
        <f ca="1">IF(B91,_xll.BookPricingOutput.FairSpread($B$6,A91)*10000,"-")</f>
        <v>-</v>
      </c>
      <c r="L91" s="32" t="str">
        <f ca="1">IF(B91,_xll.BookPricingOutput.DirtyPriceLeg($B$6,G91),"-")</f>
        <v>-</v>
      </c>
      <c r="M91" s="32" t="str">
        <f ca="1">IF(B91,_xll.BookPricingOutput.DirtyPriceLegConfidence($B$6,G91),"-")</f>
        <v>-</v>
      </c>
      <c r="N91" s="32" t="str">
        <f ca="1">IF(B91,_xll.BookPricingOutput.DirtyPriceLeg($B$6,H91),"-")</f>
        <v>-</v>
      </c>
      <c r="O91" s="32" t="str">
        <f ca="1">IF(B91,_xll.BookPricingOutput.DirtyPriceLegConfidence($B$6,H91),"-")</f>
        <v>-</v>
      </c>
      <c r="P91" s="32" t="str">
        <f ca="1">IF(B91,_xll.BookPricingOutput.GetPricingTime($B$6,A91),"-")</f>
        <v>-</v>
      </c>
      <c r="Q91" t="str">
        <f ca="1">IF(B91,_xll.BookPricingOutput.GetStatus($B$6,A91),"-")</f>
        <v>-</v>
      </c>
    </row>
    <row r="92" spans="1:17" x14ac:dyDescent="0.35">
      <c r="A92" t="str">
        <f ca="1"/>
        <v/>
      </c>
      <c r="B92" t="b">
        <v>0</v>
      </c>
      <c r="C92" t="s">
        <v>276</v>
      </c>
      <c r="D92" t="s">
        <v>33</v>
      </c>
      <c r="E92" s="27" t="s">
        <v>291</v>
      </c>
      <c r="F92" s="27" t="b">
        <v>0</v>
      </c>
      <c r="G92" t="str">
        <f ca="1">IF(B92,_xll.BookPricingOutput.GetLeg1($B$6,A92),"-")</f>
        <v>-</v>
      </c>
      <c r="H92" t="str">
        <f ca="1">IF(B92,_xll.BookPricingOutput.GetLeg2($B$6,A92),"-")</f>
        <v>-</v>
      </c>
      <c r="I92" t="str">
        <f ca="1">IF(B92,_xll.BookPricingOutput.DirtyPrice($B$6,A92),"-")</f>
        <v>-</v>
      </c>
      <c r="J92" s="32" t="str">
        <f ca="1">IF(B92,_xll.BookPricingOutput.DirtyPriceConfidence($B$6,A92),"-")</f>
        <v>-</v>
      </c>
      <c r="K92" s="32" t="str">
        <f ca="1">IF(B92,_xll.BookPricingOutput.FairSpread($B$6,A92)*10000,"-")</f>
        <v>-</v>
      </c>
      <c r="L92" s="32" t="str">
        <f ca="1">IF(B92,_xll.BookPricingOutput.DirtyPriceLeg($B$6,G92),"-")</f>
        <v>-</v>
      </c>
      <c r="M92" s="32" t="str">
        <f ca="1">IF(B92,_xll.BookPricingOutput.DirtyPriceLegConfidence($B$6,G92),"-")</f>
        <v>-</v>
      </c>
      <c r="N92" s="32" t="str">
        <f ca="1">IF(B92,_xll.BookPricingOutput.DirtyPriceLeg($B$6,H92),"-")</f>
        <v>-</v>
      </c>
      <c r="O92" s="32" t="str">
        <f ca="1">IF(B92,_xll.BookPricingOutput.DirtyPriceLegConfidence($B$6,H92),"-")</f>
        <v>-</v>
      </c>
      <c r="P92" s="32" t="str">
        <f ca="1">IF(B92,_xll.BookPricingOutput.GetPricingTime($B$6,A92),"-")</f>
        <v>-</v>
      </c>
      <c r="Q92" t="str">
        <f ca="1">IF(B92,_xll.BookPricingOutput.GetStatus($B$6,A92),"-")</f>
        <v>-</v>
      </c>
    </row>
    <row r="93" spans="1:17" x14ac:dyDescent="0.35">
      <c r="A93" t="str">
        <f ca="1"/>
        <v/>
      </c>
      <c r="B93" t="b">
        <v>0</v>
      </c>
      <c r="C93" t="s">
        <v>276</v>
      </c>
      <c r="D93" t="s">
        <v>33</v>
      </c>
      <c r="E93" s="27" t="s">
        <v>291</v>
      </c>
      <c r="F93" s="27" t="b">
        <v>0</v>
      </c>
      <c r="G93" t="str">
        <f ca="1">IF(B93,_xll.BookPricingOutput.GetLeg1($B$6,A93),"-")</f>
        <v>-</v>
      </c>
      <c r="H93" t="str">
        <f ca="1">IF(B93,_xll.BookPricingOutput.GetLeg2($B$6,A93),"-")</f>
        <v>-</v>
      </c>
      <c r="I93" t="str">
        <f ca="1">IF(B93,_xll.BookPricingOutput.DirtyPrice($B$6,A93),"-")</f>
        <v>-</v>
      </c>
      <c r="J93" s="32" t="str">
        <f ca="1">IF(B93,_xll.BookPricingOutput.DirtyPriceConfidence($B$6,A93),"-")</f>
        <v>-</v>
      </c>
      <c r="K93" s="32" t="str">
        <f ca="1">IF(B93,_xll.BookPricingOutput.FairSpread($B$6,A93)*10000,"-")</f>
        <v>-</v>
      </c>
      <c r="L93" s="32" t="str">
        <f ca="1">IF(B93,_xll.BookPricingOutput.DirtyPriceLeg($B$6,G93),"-")</f>
        <v>-</v>
      </c>
      <c r="M93" s="32" t="str">
        <f ca="1">IF(B93,_xll.BookPricingOutput.DirtyPriceLegConfidence($B$6,G93),"-")</f>
        <v>-</v>
      </c>
      <c r="N93" s="32" t="str">
        <f ca="1">IF(B93,_xll.BookPricingOutput.DirtyPriceLeg($B$6,H93),"-")</f>
        <v>-</v>
      </c>
      <c r="O93" s="32" t="str">
        <f ca="1">IF(B93,_xll.BookPricingOutput.DirtyPriceLegConfidence($B$6,H93),"-")</f>
        <v>-</v>
      </c>
      <c r="P93" s="32" t="str">
        <f ca="1">IF(B93,_xll.BookPricingOutput.GetPricingTime($B$6,A93),"-")</f>
        <v>-</v>
      </c>
      <c r="Q93" t="str">
        <f ca="1">IF(B93,_xll.BookPricingOutput.GetStatus($B$6,A93),"-")</f>
        <v>-</v>
      </c>
    </row>
    <row r="94" spans="1:17" x14ac:dyDescent="0.35">
      <c r="A94" t="str">
        <f ca="1"/>
        <v/>
      </c>
      <c r="B94" t="b">
        <v>0</v>
      </c>
      <c r="C94" t="s">
        <v>276</v>
      </c>
      <c r="D94" t="s">
        <v>33</v>
      </c>
      <c r="E94" s="27" t="s">
        <v>291</v>
      </c>
      <c r="F94" s="27" t="b">
        <v>0</v>
      </c>
      <c r="G94" t="str">
        <f ca="1">IF(B94,_xll.BookPricingOutput.GetLeg1($B$6,A94),"-")</f>
        <v>-</v>
      </c>
      <c r="H94" t="str">
        <f ca="1">IF(B94,_xll.BookPricingOutput.GetLeg2($B$6,A94),"-")</f>
        <v>-</v>
      </c>
      <c r="I94" t="str">
        <f ca="1">IF(B94,_xll.BookPricingOutput.DirtyPrice($B$6,A94),"-")</f>
        <v>-</v>
      </c>
      <c r="J94" s="32" t="str">
        <f ca="1">IF(B94,_xll.BookPricingOutput.DirtyPriceConfidence($B$6,A94),"-")</f>
        <v>-</v>
      </c>
      <c r="K94" s="32" t="str">
        <f ca="1">IF(B94,_xll.BookPricingOutput.FairSpread($B$6,A94)*10000,"-")</f>
        <v>-</v>
      </c>
      <c r="L94" s="32" t="str">
        <f ca="1">IF(B94,_xll.BookPricingOutput.DirtyPriceLeg($B$6,G94),"-")</f>
        <v>-</v>
      </c>
      <c r="M94" s="32" t="str">
        <f ca="1">IF(B94,_xll.BookPricingOutput.DirtyPriceLegConfidence($B$6,G94),"-")</f>
        <v>-</v>
      </c>
      <c r="N94" s="32" t="str">
        <f ca="1">IF(B94,_xll.BookPricingOutput.DirtyPriceLeg($B$6,H94),"-")</f>
        <v>-</v>
      </c>
      <c r="O94" s="32" t="str">
        <f ca="1">IF(B94,_xll.BookPricingOutput.DirtyPriceLegConfidence($B$6,H94),"-")</f>
        <v>-</v>
      </c>
      <c r="P94" s="32" t="str">
        <f ca="1">IF(B94,_xll.BookPricingOutput.GetPricingTime($B$6,A94),"-")</f>
        <v>-</v>
      </c>
      <c r="Q94" t="str">
        <f ca="1">IF(B94,_xll.BookPricingOutput.GetStatus($B$6,A94),"-")</f>
        <v>-</v>
      </c>
    </row>
    <row r="95" spans="1:17" x14ac:dyDescent="0.35">
      <c r="A95" t="str">
        <f ca="1"/>
        <v/>
      </c>
      <c r="B95" t="b">
        <v>0</v>
      </c>
      <c r="C95" t="s">
        <v>276</v>
      </c>
      <c r="D95" t="s">
        <v>33</v>
      </c>
      <c r="E95" s="27" t="s">
        <v>291</v>
      </c>
      <c r="F95" s="27" t="b">
        <v>0</v>
      </c>
      <c r="G95" t="str">
        <f ca="1">IF(B95,_xll.BookPricingOutput.GetLeg1($B$6,A95),"-")</f>
        <v>-</v>
      </c>
      <c r="H95" t="str">
        <f ca="1">IF(B95,_xll.BookPricingOutput.GetLeg2($B$6,A95),"-")</f>
        <v>-</v>
      </c>
      <c r="I95" t="str">
        <f ca="1">IF(B95,_xll.BookPricingOutput.DirtyPrice($B$6,A95),"-")</f>
        <v>-</v>
      </c>
      <c r="J95" s="32" t="str">
        <f ca="1">IF(B95,_xll.BookPricingOutput.DirtyPriceConfidence($B$6,A95),"-")</f>
        <v>-</v>
      </c>
      <c r="K95" s="32" t="str">
        <f ca="1">IF(B95,_xll.BookPricingOutput.FairSpread($B$6,A95)*10000,"-")</f>
        <v>-</v>
      </c>
      <c r="L95" s="32" t="str">
        <f ca="1">IF(B95,_xll.BookPricingOutput.DirtyPriceLeg($B$6,G95),"-")</f>
        <v>-</v>
      </c>
      <c r="M95" s="32" t="str">
        <f ca="1">IF(B95,_xll.BookPricingOutput.DirtyPriceLegConfidence($B$6,G95),"-")</f>
        <v>-</v>
      </c>
      <c r="N95" s="32" t="str">
        <f ca="1">IF(B95,_xll.BookPricingOutput.DirtyPriceLeg($B$6,H95),"-")</f>
        <v>-</v>
      </c>
      <c r="O95" s="32" t="str">
        <f ca="1">IF(B95,_xll.BookPricingOutput.DirtyPriceLegConfidence($B$6,H95),"-")</f>
        <v>-</v>
      </c>
      <c r="P95" s="32" t="str">
        <f ca="1">IF(B95,_xll.BookPricingOutput.GetPricingTime($B$6,A95),"-")</f>
        <v>-</v>
      </c>
      <c r="Q95" t="str">
        <f ca="1">IF(B95,_xll.BookPricingOutput.GetStatus($B$6,A95),"-")</f>
        <v>-</v>
      </c>
    </row>
    <row r="96" spans="1:17" x14ac:dyDescent="0.35">
      <c r="A96" t="str">
        <f ca="1"/>
        <v/>
      </c>
      <c r="B96" t="b">
        <v>0</v>
      </c>
      <c r="C96" t="s">
        <v>276</v>
      </c>
      <c r="D96" t="s">
        <v>33</v>
      </c>
      <c r="E96" s="27" t="s">
        <v>291</v>
      </c>
      <c r="F96" s="27" t="b">
        <v>0</v>
      </c>
      <c r="G96" t="str">
        <f ca="1">IF(B96,_xll.BookPricingOutput.GetLeg1($B$6,A96),"-")</f>
        <v>-</v>
      </c>
      <c r="H96" t="str">
        <f ca="1">IF(B96,_xll.BookPricingOutput.GetLeg2($B$6,A96),"-")</f>
        <v>-</v>
      </c>
      <c r="I96" t="str">
        <f ca="1">IF(B96,_xll.BookPricingOutput.DirtyPrice($B$6,A96),"-")</f>
        <v>-</v>
      </c>
      <c r="J96" s="32" t="str">
        <f ca="1">IF(B96,_xll.BookPricingOutput.DirtyPriceConfidence($B$6,A96),"-")</f>
        <v>-</v>
      </c>
      <c r="K96" s="32" t="str">
        <f ca="1">IF(B96,_xll.BookPricingOutput.FairSpread($B$6,A96)*10000,"-")</f>
        <v>-</v>
      </c>
      <c r="L96" s="32" t="str">
        <f ca="1">IF(B96,_xll.BookPricingOutput.DirtyPriceLeg($B$6,G96),"-")</f>
        <v>-</v>
      </c>
      <c r="M96" s="32" t="str">
        <f ca="1">IF(B96,_xll.BookPricingOutput.DirtyPriceLegConfidence($B$6,G96),"-")</f>
        <v>-</v>
      </c>
      <c r="N96" s="32" t="str">
        <f ca="1">IF(B96,_xll.BookPricingOutput.DirtyPriceLeg($B$6,H96),"-")</f>
        <v>-</v>
      </c>
      <c r="O96" s="32" t="str">
        <f ca="1">IF(B96,_xll.BookPricingOutput.DirtyPriceLegConfidence($B$6,H96),"-")</f>
        <v>-</v>
      </c>
      <c r="P96" s="32" t="str">
        <f ca="1">IF(B96,_xll.BookPricingOutput.GetPricingTime($B$6,A96),"-")</f>
        <v>-</v>
      </c>
      <c r="Q96" t="str">
        <f ca="1">IF(B96,_xll.BookPricingOutput.GetStatus($B$6,A96),"-")</f>
        <v>-</v>
      </c>
    </row>
    <row r="97" spans="1:17" x14ac:dyDescent="0.35">
      <c r="A97" t="str">
        <f ca="1"/>
        <v/>
      </c>
      <c r="B97" t="b">
        <v>0</v>
      </c>
      <c r="C97" t="s">
        <v>276</v>
      </c>
      <c r="D97" t="s">
        <v>33</v>
      </c>
      <c r="E97" s="27" t="s">
        <v>291</v>
      </c>
      <c r="F97" s="27" t="b">
        <v>0</v>
      </c>
      <c r="G97" t="str">
        <f ca="1">IF(B97,_xll.BookPricingOutput.GetLeg1($B$6,A97),"-")</f>
        <v>-</v>
      </c>
      <c r="H97" t="str">
        <f ca="1">IF(B97,_xll.BookPricingOutput.GetLeg2($B$6,A97),"-")</f>
        <v>-</v>
      </c>
      <c r="I97" t="str">
        <f ca="1">IF(B97,_xll.BookPricingOutput.DirtyPrice($B$6,A97),"-")</f>
        <v>-</v>
      </c>
      <c r="J97" s="32" t="str">
        <f ca="1">IF(B97,_xll.BookPricingOutput.DirtyPriceConfidence($B$6,A97),"-")</f>
        <v>-</v>
      </c>
      <c r="K97" s="32" t="str">
        <f ca="1">IF(B97,_xll.BookPricingOutput.FairSpread($B$6,A97)*10000,"-")</f>
        <v>-</v>
      </c>
      <c r="L97" s="32" t="str">
        <f ca="1">IF(B97,_xll.BookPricingOutput.DirtyPriceLeg($B$6,G97),"-")</f>
        <v>-</v>
      </c>
      <c r="M97" s="32" t="str">
        <f ca="1">IF(B97,_xll.BookPricingOutput.DirtyPriceLegConfidence($B$6,G97),"-")</f>
        <v>-</v>
      </c>
      <c r="N97" s="32" t="str">
        <f ca="1">IF(B97,_xll.BookPricingOutput.DirtyPriceLeg($B$6,H97),"-")</f>
        <v>-</v>
      </c>
      <c r="O97" s="32" t="str">
        <f ca="1">IF(B97,_xll.BookPricingOutput.DirtyPriceLegConfidence($B$6,H97),"-")</f>
        <v>-</v>
      </c>
      <c r="P97" s="32" t="str">
        <f ca="1">IF(B97,_xll.BookPricingOutput.GetPricingTime($B$6,A97),"-")</f>
        <v>-</v>
      </c>
      <c r="Q97" t="str">
        <f ca="1">IF(B97,_xll.BookPricingOutput.GetStatus($B$6,A97),"-")</f>
        <v>-</v>
      </c>
    </row>
    <row r="98" spans="1:17" x14ac:dyDescent="0.35">
      <c r="A98" t="str">
        <f ca="1"/>
        <v/>
      </c>
      <c r="B98" t="b">
        <v>0</v>
      </c>
      <c r="C98" t="s">
        <v>276</v>
      </c>
      <c r="D98" t="s">
        <v>33</v>
      </c>
      <c r="E98" s="27" t="s">
        <v>291</v>
      </c>
      <c r="F98" s="27" t="b">
        <v>0</v>
      </c>
      <c r="G98" t="str">
        <f ca="1">IF(B98,_xll.BookPricingOutput.GetLeg1($B$6,A98),"-")</f>
        <v>-</v>
      </c>
      <c r="H98" t="str">
        <f ca="1">IF(B98,_xll.BookPricingOutput.GetLeg2($B$6,A98),"-")</f>
        <v>-</v>
      </c>
      <c r="I98" t="str">
        <f ca="1">IF(B98,_xll.BookPricingOutput.DirtyPrice($B$6,A98),"-")</f>
        <v>-</v>
      </c>
      <c r="J98" s="32" t="str">
        <f ca="1">IF(B98,_xll.BookPricingOutput.DirtyPriceConfidence($B$6,A98),"-")</f>
        <v>-</v>
      </c>
      <c r="K98" s="32" t="str">
        <f ca="1">IF(B98,_xll.BookPricingOutput.FairSpread($B$6,A98)*10000,"-")</f>
        <v>-</v>
      </c>
      <c r="L98" s="32" t="str">
        <f ca="1">IF(B98,_xll.BookPricingOutput.DirtyPriceLeg($B$6,G98),"-")</f>
        <v>-</v>
      </c>
      <c r="M98" s="32" t="str">
        <f ca="1">IF(B98,_xll.BookPricingOutput.DirtyPriceLegConfidence($B$6,G98),"-")</f>
        <v>-</v>
      </c>
      <c r="N98" s="32" t="str">
        <f ca="1">IF(B98,_xll.BookPricingOutput.DirtyPriceLeg($B$6,H98),"-")</f>
        <v>-</v>
      </c>
      <c r="O98" s="32" t="str">
        <f ca="1">IF(B98,_xll.BookPricingOutput.DirtyPriceLegConfidence($B$6,H98),"-")</f>
        <v>-</v>
      </c>
      <c r="P98" s="32" t="str">
        <f ca="1">IF(B98,_xll.BookPricingOutput.GetPricingTime($B$6,A98),"-")</f>
        <v>-</v>
      </c>
      <c r="Q98" t="str">
        <f ca="1">IF(B98,_xll.BookPricingOutput.GetStatus($B$6,A98),"-")</f>
        <v>-</v>
      </c>
    </row>
    <row r="99" spans="1:17" x14ac:dyDescent="0.35">
      <c r="A99" t="str">
        <f ca="1"/>
        <v/>
      </c>
      <c r="B99" t="b">
        <v>0</v>
      </c>
      <c r="C99" t="s">
        <v>276</v>
      </c>
      <c r="D99" t="s">
        <v>33</v>
      </c>
      <c r="E99" s="27" t="s">
        <v>291</v>
      </c>
      <c r="F99" s="27" t="b">
        <v>0</v>
      </c>
      <c r="G99" t="str">
        <f ca="1">IF(B99,_xll.BookPricingOutput.GetLeg1($B$6,A99),"-")</f>
        <v>-</v>
      </c>
      <c r="H99" t="str">
        <f ca="1">IF(B99,_xll.BookPricingOutput.GetLeg2($B$6,A99),"-")</f>
        <v>-</v>
      </c>
      <c r="I99" t="str">
        <f ca="1">IF(B99,_xll.BookPricingOutput.DirtyPrice($B$6,A99),"-")</f>
        <v>-</v>
      </c>
      <c r="J99" s="32" t="str">
        <f ca="1">IF(B99,_xll.BookPricingOutput.DirtyPriceConfidence($B$6,A99),"-")</f>
        <v>-</v>
      </c>
      <c r="K99" s="32" t="str">
        <f ca="1">IF(B99,_xll.BookPricingOutput.FairSpread($B$6,A99)*10000,"-")</f>
        <v>-</v>
      </c>
      <c r="L99" s="32" t="str">
        <f ca="1">IF(B99,_xll.BookPricingOutput.DirtyPriceLeg($B$6,G99),"-")</f>
        <v>-</v>
      </c>
      <c r="M99" s="32" t="str">
        <f ca="1">IF(B99,_xll.BookPricingOutput.DirtyPriceLegConfidence($B$6,G99),"-")</f>
        <v>-</v>
      </c>
      <c r="N99" s="32" t="str">
        <f ca="1">IF(B99,_xll.BookPricingOutput.DirtyPriceLeg($B$6,H99),"-")</f>
        <v>-</v>
      </c>
      <c r="O99" s="32" t="str">
        <f ca="1">IF(B99,_xll.BookPricingOutput.DirtyPriceLegConfidence($B$6,H99),"-")</f>
        <v>-</v>
      </c>
      <c r="P99" s="32" t="str">
        <f ca="1">IF(B99,_xll.BookPricingOutput.GetPricingTime($B$6,A99),"-")</f>
        <v>-</v>
      </c>
      <c r="Q99" t="str">
        <f ca="1">IF(B99,_xll.BookPricingOutput.GetStatus($B$6,A99),"-")</f>
        <v>-</v>
      </c>
    </row>
    <row r="100" spans="1:17" x14ac:dyDescent="0.35">
      <c r="A100" t="str">
        <f ca="1"/>
        <v/>
      </c>
      <c r="B100" t="b">
        <v>0</v>
      </c>
      <c r="C100" t="s">
        <v>276</v>
      </c>
      <c r="D100" t="s">
        <v>33</v>
      </c>
      <c r="E100" s="27" t="s">
        <v>291</v>
      </c>
      <c r="F100" s="27" t="b">
        <v>0</v>
      </c>
      <c r="G100" t="str">
        <f ca="1">IF(B100,_xll.BookPricingOutput.GetLeg1($B$6,A100),"-")</f>
        <v>-</v>
      </c>
      <c r="H100" t="str">
        <f ca="1">IF(B100,_xll.BookPricingOutput.GetLeg2($B$6,A100),"-")</f>
        <v>-</v>
      </c>
      <c r="I100" t="str">
        <f ca="1">IF(B100,_xll.BookPricingOutput.DirtyPrice($B$6,A100),"-")</f>
        <v>-</v>
      </c>
      <c r="J100" s="32" t="str">
        <f ca="1">IF(B100,_xll.BookPricingOutput.DirtyPriceConfidence($B$6,A100),"-")</f>
        <v>-</v>
      </c>
      <c r="K100" s="32" t="str">
        <f ca="1">IF(B100,_xll.BookPricingOutput.FairSpread($B$6,A100)*10000,"-")</f>
        <v>-</v>
      </c>
      <c r="L100" s="32" t="str">
        <f ca="1">IF(B100,_xll.BookPricingOutput.DirtyPriceLeg($B$6,G100),"-")</f>
        <v>-</v>
      </c>
      <c r="M100" s="32" t="str">
        <f ca="1">IF(B100,_xll.BookPricingOutput.DirtyPriceLegConfidence($B$6,G100),"-")</f>
        <v>-</v>
      </c>
      <c r="N100" s="32" t="str">
        <f ca="1">IF(B100,_xll.BookPricingOutput.DirtyPriceLeg($B$6,H100),"-")</f>
        <v>-</v>
      </c>
      <c r="O100" s="32" t="str">
        <f ca="1">IF(B100,_xll.BookPricingOutput.DirtyPriceLegConfidence($B$6,H100),"-")</f>
        <v>-</v>
      </c>
      <c r="P100" s="32" t="str">
        <f ca="1">IF(B100,_xll.BookPricingOutput.GetPricingTime($B$6,A100),"-")</f>
        <v>-</v>
      </c>
      <c r="Q100" t="str">
        <f ca="1">IF(B100,_xll.BookPricingOutput.GetStatus($B$6,A100),"-")</f>
        <v>-</v>
      </c>
    </row>
    <row r="101" spans="1:17" x14ac:dyDescent="0.35">
      <c r="A101" t="str">
        <f ca="1"/>
        <v/>
      </c>
      <c r="B101" t="b">
        <v>0</v>
      </c>
      <c r="C101" t="s">
        <v>276</v>
      </c>
      <c r="D101" t="s">
        <v>33</v>
      </c>
      <c r="E101" s="27" t="s">
        <v>291</v>
      </c>
      <c r="F101" s="27" t="b">
        <v>0</v>
      </c>
      <c r="G101" t="str">
        <f ca="1">IF(B101,_xll.BookPricingOutput.GetLeg1($B$6,A101),"-")</f>
        <v>-</v>
      </c>
      <c r="H101" t="str">
        <f ca="1">IF(B101,_xll.BookPricingOutput.GetLeg2($B$6,A101),"-")</f>
        <v>-</v>
      </c>
      <c r="I101" t="str">
        <f ca="1">IF(B101,_xll.BookPricingOutput.DirtyPrice($B$6,A101),"-")</f>
        <v>-</v>
      </c>
      <c r="J101" s="32" t="str">
        <f ca="1">IF(B101,_xll.BookPricingOutput.DirtyPriceConfidence($B$6,A101),"-")</f>
        <v>-</v>
      </c>
      <c r="K101" s="32" t="str">
        <f ca="1">IF(B101,_xll.BookPricingOutput.FairSpread($B$6,A101)*10000,"-")</f>
        <v>-</v>
      </c>
      <c r="L101" s="32" t="str">
        <f ca="1">IF(B101,_xll.BookPricingOutput.DirtyPriceLeg($B$6,G101),"-")</f>
        <v>-</v>
      </c>
      <c r="M101" s="32" t="str">
        <f ca="1">IF(B101,_xll.BookPricingOutput.DirtyPriceLegConfidence($B$6,G101),"-")</f>
        <v>-</v>
      </c>
      <c r="N101" s="32" t="str">
        <f ca="1">IF(B101,_xll.BookPricingOutput.DirtyPriceLeg($B$6,H101),"-")</f>
        <v>-</v>
      </c>
      <c r="O101" s="32" t="str">
        <f ca="1">IF(B101,_xll.BookPricingOutput.DirtyPriceLegConfidence($B$6,H101),"-")</f>
        <v>-</v>
      </c>
      <c r="P101" s="32" t="str">
        <f ca="1">IF(B101,_xll.BookPricingOutput.GetPricingTime($B$6,A101),"-")</f>
        <v>-</v>
      </c>
      <c r="Q101" t="str">
        <f ca="1">IF(B101,_xll.BookPricingOutput.GetStatus($B$6,A101),"-")</f>
        <v>-</v>
      </c>
    </row>
    <row r="102" spans="1:17" x14ac:dyDescent="0.35">
      <c r="A102" t="str">
        <f ca="1"/>
        <v/>
      </c>
      <c r="B102" t="b">
        <v>0</v>
      </c>
      <c r="C102" t="s">
        <v>276</v>
      </c>
      <c r="D102" t="s">
        <v>33</v>
      </c>
      <c r="E102" s="27" t="s">
        <v>291</v>
      </c>
      <c r="F102" s="27" t="b">
        <v>0</v>
      </c>
      <c r="G102" t="str">
        <f ca="1">IF(B102,_xll.BookPricingOutput.GetLeg1($B$6,A102),"-")</f>
        <v>-</v>
      </c>
      <c r="H102" t="str">
        <f ca="1">IF(B102,_xll.BookPricingOutput.GetLeg2($B$6,A102),"-")</f>
        <v>-</v>
      </c>
      <c r="I102" t="str">
        <f ca="1">IF(B102,_xll.BookPricingOutput.DirtyPrice($B$6,A102),"-")</f>
        <v>-</v>
      </c>
      <c r="J102" s="32" t="str">
        <f ca="1">IF(B102,_xll.BookPricingOutput.DirtyPriceConfidence($B$6,A102),"-")</f>
        <v>-</v>
      </c>
      <c r="K102" s="32" t="str">
        <f ca="1">IF(B102,_xll.BookPricingOutput.FairSpread($B$6,A102)*10000,"-")</f>
        <v>-</v>
      </c>
      <c r="L102" s="32" t="str">
        <f ca="1">IF(B102,_xll.BookPricingOutput.DirtyPriceLeg($B$6,G102),"-")</f>
        <v>-</v>
      </c>
      <c r="M102" s="32" t="str">
        <f ca="1">IF(B102,_xll.BookPricingOutput.DirtyPriceLegConfidence($B$6,G102),"-")</f>
        <v>-</v>
      </c>
      <c r="N102" s="32" t="str">
        <f ca="1">IF(B102,_xll.BookPricingOutput.DirtyPriceLeg($B$6,H102),"-")</f>
        <v>-</v>
      </c>
      <c r="O102" s="32" t="str">
        <f ca="1">IF(B102,_xll.BookPricingOutput.DirtyPriceLegConfidence($B$6,H102),"-")</f>
        <v>-</v>
      </c>
      <c r="P102" s="32" t="str">
        <f ca="1">IF(B102,_xll.BookPricingOutput.GetPricingTime($B$6,A102),"-")</f>
        <v>-</v>
      </c>
      <c r="Q102" t="str">
        <f ca="1">IF(B102,_xll.BookPricingOutput.GetStatus($B$6,A102),"-")</f>
        <v>-</v>
      </c>
    </row>
    <row r="103" spans="1:17" x14ac:dyDescent="0.35">
      <c r="A103" t="str">
        <f ca="1"/>
        <v/>
      </c>
      <c r="B103" t="b">
        <v>0</v>
      </c>
      <c r="C103" t="s">
        <v>276</v>
      </c>
      <c r="D103" t="s">
        <v>33</v>
      </c>
      <c r="E103" s="27" t="s">
        <v>291</v>
      </c>
      <c r="F103" s="27" t="b">
        <v>0</v>
      </c>
      <c r="G103" t="str">
        <f ca="1">IF(B103,_xll.BookPricingOutput.GetLeg1($B$6,A103),"-")</f>
        <v>-</v>
      </c>
      <c r="H103" t="str">
        <f ca="1">IF(B103,_xll.BookPricingOutput.GetLeg2($B$6,A103),"-")</f>
        <v>-</v>
      </c>
      <c r="I103" t="str">
        <f ca="1">IF(B103,_xll.BookPricingOutput.DirtyPrice($B$6,A103),"-")</f>
        <v>-</v>
      </c>
      <c r="J103" s="32" t="str">
        <f ca="1">IF(B103,_xll.BookPricingOutput.DirtyPriceConfidence($B$6,A103),"-")</f>
        <v>-</v>
      </c>
      <c r="K103" s="32" t="str">
        <f ca="1">IF(B103,_xll.BookPricingOutput.FairSpread($B$6,A103)*10000,"-")</f>
        <v>-</v>
      </c>
      <c r="L103" s="32" t="str">
        <f ca="1">IF(B103,_xll.BookPricingOutput.DirtyPriceLeg($B$6,G103),"-")</f>
        <v>-</v>
      </c>
      <c r="M103" s="32" t="str">
        <f ca="1">IF(B103,_xll.BookPricingOutput.DirtyPriceLegConfidence($B$6,G103),"-")</f>
        <v>-</v>
      </c>
      <c r="N103" s="32" t="str">
        <f ca="1">IF(B103,_xll.BookPricingOutput.DirtyPriceLeg($B$6,H103),"-")</f>
        <v>-</v>
      </c>
      <c r="O103" s="32" t="str">
        <f ca="1">IF(B103,_xll.BookPricingOutput.DirtyPriceLegConfidence($B$6,H103),"-")</f>
        <v>-</v>
      </c>
      <c r="P103" s="32" t="str">
        <f ca="1">IF(B103,_xll.BookPricingOutput.GetPricingTime($B$6,A103),"-")</f>
        <v>-</v>
      </c>
      <c r="Q103" t="str">
        <f ca="1">IF(B103,_xll.BookPricingOutput.GetStatus($B$6,A103),"-")</f>
        <v>-</v>
      </c>
    </row>
    <row r="104" spans="1:17" x14ac:dyDescent="0.35">
      <c r="A104" t="str">
        <f ca="1"/>
        <v/>
      </c>
      <c r="B104" t="b">
        <v>0</v>
      </c>
      <c r="C104" t="s">
        <v>276</v>
      </c>
      <c r="D104" t="s">
        <v>33</v>
      </c>
      <c r="E104" s="27" t="s">
        <v>291</v>
      </c>
      <c r="F104" s="27" t="b">
        <v>0</v>
      </c>
      <c r="G104" t="str">
        <f ca="1">IF(B104,_xll.BookPricingOutput.GetLeg1($B$6,A104),"-")</f>
        <v>-</v>
      </c>
      <c r="H104" t="str">
        <f ca="1">IF(B104,_xll.BookPricingOutput.GetLeg2($B$6,A104),"-")</f>
        <v>-</v>
      </c>
      <c r="I104" t="str">
        <f ca="1">IF(B104,_xll.BookPricingOutput.DirtyPrice($B$6,A104),"-")</f>
        <v>-</v>
      </c>
      <c r="J104" s="32" t="str">
        <f ca="1">IF(B104,_xll.BookPricingOutput.DirtyPriceConfidence($B$6,A104),"-")</f>
        <v>-</v>
      </c>
      <c r="K104" s="32" t="str">
        <f ca="1">IF(B104,_xll.BookPricingOutput.FairSpread($B$6,A104)*10000,"-")</f>
        <v>-</v>
      </c>
      <c r="L104" s="32" t="str">
        <f ca="1">IF(B104,_xll.BookPricingOutput.DirtyPriceLeg($B$6,G104),"-")</f>
        <v>-</v>
      </c>
      <c r="M104" s="32" t="str">
        <f ca="1">IF(B104,_xll.BookPricingOutput.DirtyPriceLegConfidence($B$6,G104),"-")</f>
        <v>-</v>
      </c>
      <c r="N104" s="32" t="str">
        <f ca="1">IF(B104,_xll.BookPricingOutput.DirtyPriceLeg($B$6,H104),"-")</f>
        <v>-</v>
      </c>
      <c r="O104" s="32" t="str">
        <f ca="1">IF(B104,_xll.BookPricingOutput.DirtyPriceLegConfidence($B$6,H104),"-")</f>
        <v>-</v>
      </c>
      <c r="P104" s="32" t="str">
        <f ca="1">IF(B104,_xll.BookPricingOutput.GetPricingTime($B$6,A104),"-")</f>
        <v>-</v>
      </c>
      <c r="Q104" t="str">
        <f ca="1">IF(B104,_xll.BookPricingOutput.GetStatus($B$6,A104),"-")</f>
        <v>-</v>
      </c>
    </row>
    <row r="105" spans="1:17" x14ac:dyDescent="0.35">
      <c r="A105" t="str">
        <f ca="1"/>
        <v/>
      </c>
      <c r="B105" t="b">
        <v>0</v>
      </c>
      <c r="C105" t="s">
        <v>276</v>
      </c>
      <c r="D105" t="s">
        <v>33</v>
      </c>
      <c r="E105" s="27" t="s">
        <v>291</v>
      </c>
      <c r="F105" s="27" t="b">
        <v>0</v>
      </c>
      <c r="G105" t="str">
        <f ca="1">IF(B105,_xll.BookPricingOutput.GetLeg1($B$6,A105),"-")</f>
        <v>-</v>
      </c>
      <c r="H105" t="str">
        <f ca="1">IF(B105,_xll.BookPricingOutput.GetLeg2($B$6,A105),"-")</f>
        <v>-</v>
      </c>
      <c r="I105" t="str">
        <f ca="1">IF(B105,_xll.BookPricingOutput.DirtyPrice($B$6,A105),"-")</f>
        <v>-</v>
      </c>
      <c r="J105" s="32" t="str">
        <f ca="1">IF(B105,_xll.BookPricingOutput.DirtyPriceConfidence($B$6,A105),"-")</f>
        <v>-</v>
      </c>
      <c r="K105" s="32" t="str">
        <f ca="1">IF(B105,_xll.BookPricingOutput.FairSpread($B$6,A105)*10000,"-")</f>
        <v>-</v>
      </c>
      <c r="L105" s="32" t="str">
        <f ca="1">IF(B105,_xll.BookPricingOutput.DirtyPriceLeg($B$6,G105),"-")</f>
        <v>-</v>
      </c>
      <c r="M105" s="32" t="str">
        <f ca="1">IF(B105,_xll.BookPricingOutput.DirtyPriceLegConfidence($B$6,G105),"-")</f>
        <v>-</v>
      </c>
      <c r="N105" s="32" t="str">
        <f ca="1">IF(B105,_xll.BookPricingOutput.DirtyPriceLeg($B$6,H105),"-")</f>
        <v>-</v>
      </c>
      <c r="O105" s="32" t="str">
        <f ca="1">IF(B105,_xll.BookPricingOutput.DirtyPriceLegConfidence($B$6,H105),"-")</f>
        <v>-</v>
      </c>
      <c r="P105" s="32" t="str">
        <f ca="1">IF(B105,_xll.BookPricingOutput.GetPricingTime($B$6,A105),"-")</f>
        <v>-</v>
      </c>
      <c r="Q105" t="str">
        <f ca="1">IF(B105,_xll.BookPricingOutput.GetStatus($B$6,A105),"-")</f>
        <v>-</v>
      </c>
    </row>
    <row r="106" spans="1:17" x14ac:dyDescent="0.35">
      <c r="A106" t="str">
        <f ca="1"/>
        <v/>
      </c>
      <c r="B106" t="b">
        <v>0</v>
      </c>
      <c r="C106" t="s">
        <v>276</v>
      </c>
      <c r="D106" t="s">
        <v>33</v>
      </c>
      <c r="E106" s="27" t="s">
        <v>291</v>
      </c>
      <c r="F106" s="27" t="b">
        <v>0</v>
      </c>
      <c r="G106" t="str">
        <f ca="1">IF(B106,_xll.BookPricingOutput.GetLeg1($B$6,A106),"-")</f>
        <v>-</v>
      </c>
      <c r="H106" t="str">
        <f ca="1">IF(B106,_xll.BookPricingOutput.GetLeg2($B$6,A106),"-")</f>
        <v>-</v>
      </c>
      <c r="I106" t="str">
        <f ca="1">IF(B106,_xll.BookPricingOutput.DirtyPrice($B$6,A106),"-")</f>
        <v>-</v>
      </c>
      <c r="J106" s="32" t="str">
        <f ca="1">IF(B106,_xll.BookPricingOutput.DirtyPriceConfidence($B$6,A106),"-")</f>
        <v>-</v>
      </c>
      <c r="K106" s="32" t="str">
        <f ca="1">IF(B106,_xll.BookPricingOutput.FairSpread($B$6,A106)*10000,"-")</f>
        <v>-</v>
      </c>
      <c r="L106" s="32" t="str">
        <f ca="1">IF(B106,_xll.BookPricingOutput.DirtyPriceLeg($B$6,G106),"-")</f>
        <v>-</v>
      </c>
      <c r="M106" s="32" t="str">
        <f ca="1">IF(B106,_xll.BookPricingOutput.DirtyPriceLegConfidence($B$6,G106),"-")</f>
        <v>-</v>
      </c>
      <c r="N106" s="32" t="str">
        <f ca="1">IF(B106,_xll.BookPricingOutput.DirtyPriceLeg($B$6,H106),"-")</f>
        <v>-</v>
      </c>
      <c r="O106" s="32" t="str">
        <f ca="1">IF(B106,_xll.BookPricingOutput.DirtyPriceLegConfidence($B$6,H106),"-")</f>
        <v>-</v>
      </c>
      <c r="P106" s="32" t="str">
        <f ca="1">IF(B106,_xll.BookPricingOutput.GetPricingTime($B$6,A106),"-")</f>
        <v>-</v>
      </c>
      <c r="Q106" t="str">
        <f ca="1">IF(B106,_xll.BookPricingOutput.GetStatus($B$6,A106),"-")</f>
        <v>-</v>
      </c>
    </row>
    <row r="107" spans="1:17" x14ac:dyDescent="0.35">
      <c r="A107" t="str">
        <f ca="1"/>
        <v/>
      </c>
      <c r="B107" t="b">
        <v>0</v>
      </c>
      <c r="C107" t="s">
        <v>276</v>
      </c>
      <c r="D107" t="s">
        <v>33</v>
      </c>
      <c r="E107" s="27" t="s">
        <v>291</v>
      </c>
      <c r="F107" s="27" t="b">
        <v>0</v>
      </c>
      <c r="G107" t="str">
        <f ca="1">IF(B107,_xll.BookPricingOutput.GetLeg1($B$6,A107),"-")</f>
        <v>-</v>
      </c>
      <c r="H107" t="str">
        <f ca="1">IF(B107,_xll.BookPricingOutput.GetLeg2($B$6,A107),"-")</f>
        <v>-</v>
      </c>
      <c r="I107" t="str">
        <f ca="1">IF(B107,_xll.BookPricingOutput.DirtyPrice($B$6,A107),"-")</f>
        <v>-</v>
      </c>
      <c r="J107" s="32" t="str">
        <f ca="1">IF(B107,_xll.BookPricingOutput.DirtyPriceConfidence($B$6,A107),"-")</f>
        <v>-</v>
      </c>
      <c r="K107" s="32" t="str">
        <f ca="1">IF(B107,_xll.BookPricingOutput.FairSpread($B$6,A107)*10000,"-")</f>
        <v>-</v>
      </c>
      <c r="L107" s="32" t="str">
        <f ca="1">IF(B107,_xll.BookPricingOutput.DirtyPriceLeg($B$6,G107),"-")</f>
        <v>-</v>
      </c>
      <c r="M107" s="32" t="str">
        <f ca="1">IF(B107,_xll.BookPricingOutput.DirtyPriceLegConfidence($B$6,G107),"-")</f>
        <v>-</v>
      </c>
      <c r="N107" s="32" t="str">
        <f ca="1">IF(B107,_xll.BookPricingOutput.DirtyPriceLeg($B$6,H107),"-")</f>
        <v>-</v>
      </c>
      <c r="O107" s="32" t="str">
        <f ca="1">IF(B107,_xll.BookPricingOutput.DirtyPriceLegConfidence($B$6,H107),"-")</f>
        <v>-</v>
      </c>
      <c r="P107" s="32" t="str">
        <f ca="1">IF(B107,_xll.BookPricingOutput.GetPricingTime($B$6,A107),"-")</f>
        <v>-</v>
      </c>
      <c r="Q107" t="str">
        <f ca="1">IF(B107,_xll.BookPricingOutput.GetStatus($B$6,A107),"-")</f>
        <v>-</v>
      </c>
    </row>
    <row r="108" spans="1:17" x14ac:dyDescent="0.35">
      <c r="A108" t="str">
        <f ca="1"/>
        <v/>
      </c>
      <c r="B108" t="b">
        <v>0</v>
      </c>
      <c r="C108" t="s">
        <v>276</v>
      </c>
      <c r="D108" t="s">
        <v>33</v>
      </c>
      <c r="E108" s="27" t="s">
        <v>291</v>
      </c>
      <c r="F108" s="27" t="b">
        <v>0</v>
      </c>
      <c r="G108" t="str">
        <f ca="1">IF(B108,_xll.BookPricingOutput.GetLeg1($B$6,A108),"-")</f>
        <v>-</v>
      </c>
      <c r="H108" t="str">
        <f ca="1">IF(B108,_xll.BookPricingOutput.GetLeg2($B$6,A108),"-")</f>
        <v>-</v>
      </c>
      <c r="I108" t="str">
        <f ca="1">IF(B108,_xll.BookPricingOutput.DirtyPrice($B$6,A108),"-")</f>
        <v>-</v>
      </c>
      <c r="J108" s="32" t="str">
        <f ca="1">IF(B108,_xll.BookPricingOutput.DirtyPriceConfidence($B$6,A108),"-")</f>
        <v>-</v>
      </c>
      <c r="K108" s="32" t="str">
        <f ca="1">IF(B108,_xll.BookPricingOutput.FairSpread($B$6,A108)*10000,"-")</f>
        <v>-</v>
      </c>
      <c r="L108" s="32" t="str">
        <f ca="1">IF(B108,_xll.BookPricingOutput.DirtyPriceLeg($B$6,G108),"-")</f>
        <v>-</v>
      </c>
      <c r="M108" s="32" t="str">
        <f ca="1">IF(B108,_xll.BookPricingOutput.DirtyPriceLegConfidence($B$6,G108),"-")</f>
        <v>-</v>
      </c>
      <c r="N108" s="32" t="str">
        <f ca="1">IF(B108,_xll.BookPricingOutput.DirtyPriceLeg($B$6,H108),"-")</f>
        <v>-</v>
      </c>
      <c r="O108" s="32" t="str">
        <f ca="1">IF(B108,_xll.BookPricingOutput.DirtyPriceLegConfidence($B$6,H108),"-")</f>
        <v>-</v>
      </c>
      <c r="P108" s="32" t="str">
        <f ca="1">IF(B108,_xll.BookPricingOutput.GetPricingTime($B$6,A108),"-")</f>
        <v>-</v>
      </c>
      <c r="Q108" t="str">
        <f ca="1">IF(B108,_xll.BookPricingOutput.GetStatus($B$6,A108),"-")</f>
        <v>-</v>
      </c>
    </row>
    <row r="109" spans="1:17" x14ac:dyDescent="0.35">
      <c r="A109" t="str">
        <f ca="1"/>
        <v/>
      </c>
      <c r="B109" t="b">
        <v>0</v>
      </c>
      <c r="C109" t="s">
        <v>276</v>
      </c>
      <c r="D109" t="s">
        <v>33</v>
      </c>
      <c r="E109" s="27" t="s">
        <v>291</v>
      </c>
      <c r="F109" s="27" t="b">
        <v>0</v>
      </c>
      <c r="G109" t="str">
        <f ca="1">IF(B109,_xll.BookPricingOutput.GetLeg1($B$6,A109),"-")</f>
        <v>-</v>
      </c>
      <c r="H109" t="str">
        <f ca="1">IF(B109,_xll.BookPricingOutput.GetLeg2($B$6,A109),"-")</f>
        <v>-</v>
      </c>
      <c r="I109" t="str">
        <f ca="1">IF(B109,_xll.BookPricingOutput.DirtyPrice($B$6,A109),"-")</f>
        <v>-</v>
      </c>
      <c r="J109" s="32" t="str">
        <f ca="1">IF(B109,_xll.BookPricingOutput.DirtyPriceConfidence($B$6,A109),"-")</f>
        <v>-</v>
      </c>
      <c r="K109" s="32" t="str">
        <f ca="1">IF(B109,_xll.BookPricingOutput.FairSpread($B$6,A109)*10000,"-")</f>
        <v>-</v>
      </c>
      <c r="L109" s="32" t="str">
        <f ca="1">IF(B109,_xll.BookPricingOutput.DirtyPriceLeg($B$6,G109),"-")</f>
        <v>-</v>
      </c>
      <c r="M109" s="32" t="str">
        <f ca="1">IF(B109,_xll.BookPricingOutput.DirtyPriceLegConfidence($B$6,G109),"-")</f>
        <v>-</v>
      </c>
      <c r="N109" s="32" t="str">
        <f ca="1">IF(B109,_xll.BookPricingOutput.DirtyPriceLeg($B$6,H109),"-")</f>
        <v>-</v>
      </c>
      <c r="O109" s="32" t="str">
        <f ca="1">IF(B109,_xll.BookPricingOutput.DirtyPriceLegConfidence($B$6,H109),"-")</f>
        <v>-</v>
      </c>
      <c r="P109" s="32" t="str">
        <f ca="1">IF(B109,_xll.BookPricingOutput.GetPricingTime($B$6,A109),"-")</f>
        <v>-</v>
      </c>
      <c r="Q109" t="str">
        <f ca="1">IF(B109,_xll.BookPricingOutput.GetStatus($B$6,A109),"-")</f>
        <v>-</v>
      </c>
    </row>
    <row r="110" spans="1:17" x14ac:dyDescent="0.35">
      <c r="A110" t="str">
        <f ca="1"/>
        <v/>
      </c>
      <c r="B110" t="b">
        <v>0</v>
      </c>
      <c r="C110" t="s">
        <v>276</v>
      </c>
      <c r="D110" t="s">
        <v>33</v>
      </c>
      <c r="E110" s="27" t="s">
        <v>291</v>
      </c>
      <c r="F110" s="27" t="b">
        <v>0</v>
      </c>
      <c r="G110" t="str">
        <f ca="1">IF(B110,_xll.BookPricingOutput.GetLeg1($B$6,A110),"-")</f>
        <v>-</v>
      </c>
      <c r="H110" t="str">
        <f ca="1">IF(B110,_xll.BookPricingOutput.GetLeg2($B$6,A110),"-")</f>
        <v>-</v>
      </c>
      <c r="I110" t="str">
        <f ca="1">IF(B110,_xll.BookPricingOutput.DirtyPrice($B$6,A110),"-")</f>
        <v>-</v>
      </c>
      <c r="J110" s="32" t="str">
        <f ca="1">IF(B110,_xll.BookPricingOutput.DirtyPriceConfidence($B$6,A110),"-")</f>
        <v>-</v>
      </c>
      <c r="K110" s="32" t="str">
        <f ca="1">IF(B110,_xll.BookPricingOutput.FairSpread($B$6,A110)*10000,"-")</f>
        <v>-</v>
      </c>
      <c r="L110" s="32" t="str">
        <f ca="1">IF(B110,_xll.BookPricingOutput.DirtyPriceLeg($B$6,G110),"-")</f>
        <v>-</v>
      </c>
      <c r="M110" s="32" t="str">
        <f ca="1">IF(B110,_xll.BookPricingOutput.DirtyPriceLegConfidence($B$6,G110),"-")</f>
        <v>-</v>
      </c>
      <c r="N110" s="32" t="str">
        <f ca="1">IF(B110,_xll.BookPricingOutput.DirtyPriceLeg($B$6,H110),"-")</f>
        <v>-</v>
      </c>
      <c r="O110" s="32" t="str">
        <f ca="1">IF(B110,_xll.BookPricingOutput.DirtyPriceLegConfidence($B$6,H110),"-")</f>
        <v>-</v>
      </c>
      <c r="P110" s="32" t="str">
        <f ca="1">IF(B110,_xll.BookPricingOutput.GetPricingTime($B$6,A110),"-")</f>
        <v>-</v>
      </c>
      <c r="Q110" t="str">
        <f ca="1">IF(B110,_xll.BookPricingOutput.GetStatus($B$6,A110),"-")</f>
        <v>-</v>
      </c>
    </row>
    <row r="111" spans="1:17" x14ac:dyDescent="0.35">
      <c r="A111" t="str">
        <f ca="1"/>
        <v/>
      </c>
      <c r="B111" t="b">
        <v>0</v>
      </c>
      <c r="C111" t="s">
        <v>276</v>
      </c>
      <c r="D111" t="s">
        <v>33</v>
      </c>
      <c r="E111" s="27" t="s">
        <v>291</v>
      </c>
      <c r="F111" s="27" t="b">
        <v>0</v>
      </c>
      <c r="G111" t="str">
        <f ca="1">IF(B111,_xll.BookPricingOutput.GetLeg1($B$6,A111),"-")</f>
        <v>-</v>
      </c>
      <c r="H111" t="str">
        <f ca="1">IF(B111,_xll.BookPricingOutput.GetLeg2($B$6,A111),"-")</f>
        <v>-</v>
      </c>
      <c r="I111" t="str">
        <f ca="1">IF(B111,_xll.BookPricingOutput.DirtyPrice($B$6,A111),"-")</f>
        <v>-</v>
      </c>
      <c r="J111" s="32" t="str">
        <f ca="1">IF(B111,_xll.BookPricingOutput.DirtyPriceConfidence($B$6,A111),"-")</f>
        <v>-</v>
      </c>
      <c r="K111" s="32" t="str">
        <f ca="1">IF(B111,_xll.BookPricingOutput.FairSpread($B$6,A111)*10000,"-")</f>
        <v>-</v>
      </c>
      <c r="L111" s="32" t="str">
        <f ca="1">IF(B111,_xll.BookPricingOutput.DirtyPriceLeg($B$6,G111),"-")</f>
        <v>-</v>
      </c>
      <c r="M111" s="32" t="str">
        <f ca="1">IF(B111,_xll.BookPricingOutput.DirtyPriceLegConfidence($B$6,G111),"-")</f>
        <v>-</v>
      </c>
      <c r="N111" s="32" t="str">
        <f ca="1">IF(B111,_xll.BookPricingOutput.DirtyPriceLeg($B$6,H111),"-")</f>
        <v>-</v>
      </c>
      <c r="O111" s="32" t="str">
        <f ca="1">IF(B111,_xll.BookPricingOutput.DirtyPriceLegConfidence($B$6,H111),"-")</f>
        <v>-</v>
      </c>
      <c r="P111" s="32" t="str">
        <f ca="1">IF(B111,_xll.BookPricingOutput.GetPricingTime($B$6,A111),"-")</f>
        <v>-</v>
      </c>
      <c r="Q111" t="str">
        <f ca="1">IF(B111,_xll.BookPricingOutput.GetStatus($B$6,A111),"-")</f>
        <v>-</v>
      </c>
    </row>
    <row r="112" spans="1:17" x14ac:dyDescent="0.35">
      <c r="A112" t="str">
        <f ca="1"/>
        <v/>
      </c>
      <c r="B112" t="b">
        <v>0</v>
      </c>
      <c r="C112" t="s">
        <v>276</v>
      </c>
      <c r="D112" t="s">
        <v>33</v>
      </c>
      <c r="E112" s="27" t="s">
        <v>291</v>
      </c>
      <c r="F112" s="27" t="b">
        <v>0</v>
      </c>
      <c r="G112" t="str">
        <f ca="1">IF(B112,_xll.BookPricingOutput.GetLeg1($B$6,A112),"-")</f>
        <v>-</v>
      </c>
      <c r="H112" t="str">
        <f ca="1">IF(B112,_xll.BookPricingOutput.GetLeg2($B$6,A112),"-")</f>
        <v>-</v>
      </c>
      <c r="I112" t="str">
        <f ca="1">IF(B112,_xll.BookPricingOutput.DirtyPrice($B$6,A112),"-")</f>
        <v>-</v>
      </c>
      <c r="J112" s="32" t="str">
        <f ca="1">IF(B112,_xll.BookPricingOutput.DirtyPriceConfidence($B$6,A112),"-")</f>
        <v>-</v>
      </c>
      <c r="K112" s="32" t="str">
        <f ca="1">IF(B112,_xll.BookPricingOutput.FairSpread($B$6,A112)*10000,"-")</f>
        <v>-</v>
      </c>
      <c r="L112" s="32" t="str">
        <f ca="1">IF(B112,_xll.BookPricingOutput.DirtyPriceLeg($B$6,G112),"-")</f>
        <v>-</v>
      </c>
      <c r="M112" s="32" t="str">
        <f ca="1">IF(B112,_xll.BookPricingOutput.DirtyPriceLegConfidence($B$6,G112),"-")</f>
        <v>-</v>
      </c>
      <c r="N112" s="32" t="str">
        <f ca="1">IF(B112,_xll.BookPricingOutput.DirtyPriceLeg($B$6,H112),"-")</f>
        <v>-</v>
      </c>
      <c r="O112" s="32" t="str">
        <f ca="1">IF(B112,_xll.BookPricingOutput.DirtyPriceLegConfidence($B$6,H112),"-")</f>
        <v>-</v>
      </c>
      <c r="P112" s="32" t="str">
        <f ca="1">IF(B112,_xll.BookPricingOutput.GetPricingTime($B$6,A112),"-")</f>
        <v>-</v>
      </c>
      <c r="Q112" t="str">
        <f ca="1">IF(B112,_xll.BookPricingOutput.GetStatus($B$6,A112),"-")</f>
        <v>-</v>
      </c>
    </row>
    <row r="113" spans="1:17" x14ac:dyDescent="0.35">
      <c r="A113" t="str">
        <f ca="1"/>
        <v/>
      </c>
      <c r="B113" t="b">
        <v>0</v>
      </c>
      <c r="C113" t="s">
        <v>276</v>
      </c>
      <c r="D113" t="s">
        <v>33</v>
      </c>
      <c r="E113" s="27" t="s">
        <v>291</v>
      </c>
      <c r="F113" s="27" t="b">
        <v>0</v>
      </c>
      <c r="G113" t="str">
        <f ca="1">IF(B113,_xll.BookPricingOutput.GetLeg1($B$6,A113),"-")</f>
        <v>-</v>
      </c>
      <c r="H113" t="str">
        <f ca="1">IF(B113,_xll.BookPricingOutput.GetLeg2($B$6,A113),"-")</f>
        <v>-</v>
      </c>
      <c r="I113" t="str">
        <f ca="1">IF(B113,_xll.BookPricingOutput.DirtyPrice($B$6,A113),"-")</f>
        <v>-</v>
      </c>
      <c r="J113" s="32" t="str">
        <f ca="1">IF(B113,_xll.BookPricingOutput.DirtyPriceConfidence($B$6,A113),"-")</f>
        <v>-</v>
      </c>
      <c r="K113" s="32" t="str">
        <f ca="1">IF(B113,_xll.BookPricingOutput.FairSpread($B$6,A113)*10000,"-")</f>
        <v>-</v>
      </c>
      <c r="L113" s="32" t="str">
        <f ca="1">IF(B113,_xll.BookPricingOutput.DirtyPriceLeg($B$6,G113),"-")</f>
        <v>-</v>
      </c>
      <c r="M113" s="32" t="str">
        <f ca="1">IF(B113,_xll.BookPricingOutput.DirtyPriceLegConfidence($B$6,G113),"-")</f>
        <v>-</v>
      </c>
      <c r="N113" s="32" t="str">
        <f ca="1">IF(B113,_xll.BookPricingOutput.DirtyPriceLeg($B$6,H113),"-")</f>
        <v>-</v>
      </c>
      <c r="O113" s="32" t="str">
        <f ca="1">IF(B113,_xll.BookPricingOutput.DirtyPriceLegConfidence($B$6,H113),"-")</f>
        <v>-</v>
      </c>
      <c r="P113" s="32" t="str">
        <f ca="1">IF(B113,_xll.BookPricingOutput.GetPricingTime($B$6,A113),"-")</f>
        <v>-</v>
      </c>
      <c r="Q113" t="str">
        <f ca="1">IF(B113,_xll.BookPricingOutput.GetStatus($B$6,A113),"-")</f>
        <v>-</v>
      </c>
    </row>
    <row r="114" spans="1:17" x14ac:dyDescent="0.35">
      <c r="A114" t="str">
        <f ca="1"/>
        <v/>
      </c>
      <c r="B114" t="b">
        <v>0</v>
      </c>
      <c r="C114" t="s">
        <v>276</v>
      </c>
      <c r="D114" t="s">
        <v>33</v>
      </c>
      <c r="E114" s="27" t="s">
        <v>291</v>
      </c>
      <c r="F114" s="27" t="b">
        <v>0</v>
      </c>
      <c r="G114" t="str">
        <f ca="1">IF(B114,_xll.BookPricingOutput.GetLeg1($B$6,A114),"-")</f>
        <v>-</v>
      </c>
      <c r="H114" t="str">
        <f ca="1">IF(B114,_xll.BookPricingOutput.GetLeg2($B$6,A114),"-")</f>
        <v>-</v>
      </c>
      <c r="I114" t="str">
        <f ca="1">IF(B114,_xll.BookPricingOutput.DirtyPrice($B$6,A114),"-")</f>
        <v>-</v>
      </c>
      <c r="J114" s="32" t="str">
        <f ca="1">IF(B114,_xll.BookPricingOutput.DirtyPriceConfidence($B$6,A114),"-")</f>
        <v>-</v>
      </c>
      <c r="K114" s="32" t="str">
        <f ca="1">IF(B114,_xll.BookPricingOutput.FairSpread($B$6,A114)*10000,"-")</f>
        <v>-</v>
      </c>
      <c r="L114" s="32" t="str">
        <f ca="1">IF(B114,_xll.BookPricingOutput.DirtyPriceLeg($B$6,G114),"-")</f>
        <v>-</v>
      </c>
      <c r="M114" s="32" t="str">
        <f ca="1">IF(B114,_xll.BookPricingOutput.DirtyPriceLegConfidence($B$6,G114),"-")</f>
        <v>-</v>
      </c>
      <c r="N114" s="32" t="str">
        <f ca="1">IF(B114,_xll.BookPricingOutput.DirtyPriceLeg($B$6,H114),"-")</f>
        <v>-</v>
      </c>
      <c r="O114" s="32" t="str">
        <f ca="1">IF(B114,_xll.BookPricingOutput.DirtyPriceLegConfidence($B$6,H114),"-")</f>
        <v>-</v>
      </c>
      <c r="P114" s="32" t="str">
        <f ca="1">IF(B114,_xll.BookPricingOutput.GetPricingTime($B$6,A114),"-")</f>
        <v>-</v>
      </c>
      <c r="Q114" t="str">
        <f ca="1">IF(B114,_xll.BookPricingOutput.GetStatus($B$6,A114),"-")</f>
        <v>-</v>
      </c>
    </row>
    <row r="115" spans="1:17" x14ac:dyDescent="0.35">
      <c r="A115" t="str">
        <f ca="1"/>
        <v/>
      </c>
      <c r="B115" t="b">
        <v>0</v>
      </c>
      <c r="C115" t="s">
        <v>276</v>
      </c>
      <c r="D115" t="s">
        <v>33</v>
      </c>
      <c r="E115" s="27" t="s">
        <v>291</v>
      </c>
      <c r="F115" s="27" t="b">
        <v>0</v>
      </c>
      <c r="G115" t="str">
        <f ca="1">IF(B115,_xll.BookPricingOutput.GetLeg1($B$6,A115),"-")</f>
        <v>-</v>
      </c>
      <c r="H115" t="str">
        <f ca="1">IF(B115,_xll.BookPricingOutput.GetLeg2($B$6,A115),"-")</f>
        <v>-</v>
      </c>
      <c r="I115" t="str">
        <f ca="1">IF(B115,_xll.BookPricingOutput.DirtyPrice($B$6,A115),"-")</f>
        <v>-</v>
      </c>
      <c r="J115" s="32" t="str">
        <f ca="1">IF(B115,_xll.BookPricingOutput.DirtyPriceConfidence($B$6,A115),"-")</f>
        <v>-</v>
      </c>
      <c r="K115" s="32" t="str">
        <f ca="1">IF(B115,_xll.BookPricingOutput.FairSpread($B$6,A115)*10000,"-")</f>
        <v>-</v>
      </c>
      <c r="L115" s="32" t="str">
        <f ca="1">IF(B115,_xll.BookPricingOutput.DirtyPriceLeg($B$6,G115),"-")</f>
        <v>-</v>
      </c>
      <c r="M115" s="32" t="str">
        <f ca="1">IF(B115,_xll.BookPricingOutput.DirtyPriceLegConfidence($B$6,G115),"-")</f>
        <v>-</v>
      </c>
      <c r="N115" s="32" t="str">
        <f ca="1">IF(B115,_xll.BookPricingOutput.DirtyPriceLeg($B$6,H115),"-")</f>
        <v>-</v>
      </c>
      <c r="O115" s="32" t="str">
        <f ca="1">IF(B115,_xll.BookPricingOutput.DirtyPriceLegConfidence($B$6,H115),"-")</f>
        <v>-</v>
      </c>
      <c r="P115" s="32" t="str">
        <f ca="1">IF(B115,_xll.BookPricingOutput.GetPricingTime($B$6,A115),"-")</f>
        <v>-</v>
      </c>
      <c r="Q115" t="str">
        <f ca="1">IF(B115,_xll.BookPricingOutput.GetStatus($B$6,A115),"-")</f>
        <v>-</v>
      </c>
    </row>
    <row r="116" spans="1:17" x14ac:dyDescent="0.35">
      <c r="A116" t="str">
        <f ca="1"/>
        <v/>
      </c>
      <c r="B116" t="b">
        <v>0</v>
      </c>
      <c r="C116" t="s">
        <v>276</v>
      </c>
      <c r="D116" t="s">
        <v>33</v>
      </c>
      <c r="E116" s="27" t="s">
        <v>291</v>
      </c>
      <c r="F116" s="27" t="b">
        <v>0</v>
      </c>
      <c r="G116" t="str">
        <f ca="1">IF(B116,_xll.BookPricingOutput.GetLeg1($B$6,A116),"-")</f>
        <v>-</v>
      </c>
      <c r="H116" t="str">
        <f ca="1">IF(B116,_xll.BookPricingOutput.GetLeg2($B$6,A116),"-")</f>
        <v>-</v>
      </c>
      <c r="I116" t="str">
        <f ca="1">IF(B116,_xll.BookPricingOutput.DirtyPrice($B$6,A116),"-")</f>
        <v>-</v>
      </c>
      <c r="J116" s="32" t="str">
        <f ca="1">IF(B116,_xll.BookPricingOutput.DirtyPriceConfidence($B$6,A116),"-")</f>
        <v>-</v>
      </c>
      <c r="K116" s="32" t="str">
        <f ca="1">IF(B116,_xll.BookPricingOutput.FairSpread($B$6,A116)*10000,"-")</f>
        <v>-</v>
      </c>
      <c r="L116" s="32" t="str">
        <f ca="1">IF(B116,_xll.BookPricingOutput.DirtyPriceLeg($B$6,G116),"-")</f>
        <v>-</v>
      </c>
      <c r="M116" s="32" t="str">
        <f ca="1">IF(B116,_xll.BookPricingOutput.DirtyPriceLegConfidence($B$6,G116),"-")</f>
        <v>-</v>
      </c>
      <c r="N116" s="32" t="str">
        <f ca="1">IF(B116,_xll.BookPricingOutput.DirtyPriceLeg($B$6,H116),"-")</f>
        <v>-</v>
      </c>
      <c r="O116" s="32" t="str">
        <f ca="1">IF(B116,_xll.BookPricingOutput.DirtyPriceLegConfidence($B$6,H116),"-")</f>
        <v>-</v>
      </c>
      <c r="P116" s="32" t="str">
        <f ca="1">IF(B116,_xll.BookPricingOutput.GetPricingTime($B$6,A116),"-")</f>
        <v>-</v>
      </c>
      <c r="Q116" t="str">
        <f ca="1">IF(B116,_xll.BookPricingOutput.GetStatus($B$6,A116),"-")</f>
        <v>-</v>
      </c>
    </row>
    <row r="117" spans="1:17" x14ac:dyDescent="0.35">
      <c r="A117" t="str">
        <f ca="1"/>
        <v/>
      </c>
      <c r="B117" t="b">
        <v>0</v>
      </c>
      <c r="C117" t="s">
        <v>276</v>
      </c>
      <c r="D117" t="s">
        <v>33</v>
      </c>
      <c r="E117" s="27" t="s">
        <v>291</v>
      </c>
      <c r="F117" s="27" t="b">
        <v>0</v>
      </c>
      <c r="G117" t="str">
        <f ca="1">IF(B117,_xll.BookPricingOutput.GetLeg1($B$6,A117),"-")</f>
        <v>-</v>
      </c>
      <c r="H117" t="str">
        <f ca="1">IF(B117,_xll.BookPricingOutput.GetLeg2($B$6,A117),"-")</f>
        <v>-</v>
      </c>
      <c r="I117" t="str">
        <f ca="1">IF(B117,_xll.BookPricingOutput.DirtyPrice($B$6,A117),"-")</f>
        <v>-</v>
      </c>
      <c r="J117" s="32" t="str">
        <f ca="1">IF(B117,_xll.BookPricingOutput.DirtyPriceConfidence($B$6,A117),"-")</f>
        <v>-</v>
      </c>
      <c r="K117" s="32" t="str">
        <f ca="1">IF(B117,_xll.BookPricingOutput.FairSpread($B$6,A117)*10000,"-")</f>
        <v>-</v>
      </c>
      <c r="L117" s="32" t="str">
        <f ca="1">IF(B117,_xll.BookPricingOutput.DirtyPriceLeg($B$6,G117),"-")</f>
        <v>-</v>
      </c>
      <c r="M117" s="32" t="str">
        <f ca="1">IF(B117,_xll.BookPricingOutput.DirtyPriceLegConfidence($B$6,G117),"-")</f>
        <v>-</v>
      </c>
      <c r="N117" s="32" t="str">
        <f ca="1">IF(B117,_xll.BookPricingOutput.DirtyPriceLeg($B$6,H117),"-")</f>
        <v>-</v>
      </c>
      <c r="O117" s="32" t="str">
        <f ca="1">IF(B117,_xll.BookPricingOutput.DirtyPriceLegConfidence($B$6,H117),"-")</f>
        <v>-</v>
      </c>
      <c r="P117" s="32" t="str">
        <f ca="1">IF(B117,_xll.BookPricingOutput.GetPricingTime($B$6,A117),"-")</f>
        <v>-</v>
      </c>
      <c r="Q117" t="str">
        <f ca="1">IF(B117,_xll.BookPricingOutput.GetStatus($B$6,A117),"-")</f>
        <v>-</v>
      </c>
    </row>
    <row r="118" spans="1:17" x14ac:dyDescent="0.35">
      <c r="A118" t="str">
        <f ca="1"/>
        <v/>
      </c>
      <c r="B118" t="b">
        <v>0</v>
      </c>
      <c r="C118" t="s">
        <v>276</v>
      </c>
      <c r="D118" t="s">
        <v>33</v>
      </c>
      <c r="E118" s="27" t="s">
        <v>291</v>
      </c>
      <c r="F118" s="27" t="b">
        <v>0</v>
      </c>
      <c r="G118" t="str">
        <f ca="1">IF(B118,_xll.BookPricingOutput.GetLeg1($B$6,A118),"-")</f>
        <v>-</v>
      </c>
      <c r="H118" t="str">
        <f ca="1">IF(B118,_xll.BookPricingOutput.GetLeg2($B$6,A118),"-")</f>
        <v>-</v>
      </c>
      <c r="I118" t="str">
        <f ca="1">IF(B118,_xll.BookPricingOutput.DirtyPrice($B$6,A118),"-")</f>
        <v>-</v>
      </c>
      <c r="J118" s="32" t="str">
        <f ca="1">IF(B118,_xll.BookPricingOutput.DirtyPriceConfidence($B$6,A118),"-")</f>
        <v>-</v>
      </c>
      <c r="K118" s="32" t="str">
        <f ca="1">IF(B118,_xll.BookPricingOutput.FairSpread($B$6,A118)*10000,"-")</f>
        <v>-</v>
      </c>
      <c r="L118" s="32" t="str">
        <f ca="1">IF(B118,_xll.BookPricingOutput.DirtyPriceLeg($B$6,G118),"-")</f>
        <v>-</v>
      </c>
      <c r="M118" s="32" t="str">
        <f ca="1">IF(B118,_xll.BookPricingOutput.DirtyPriceLegConfidence($B$6,G118),"-")</f>
        <v>-</v>
      </c>
      <c r="N118" s="32" t="str">
        <f ca="1">IF(B118,_xll.BookPricingOutput.DirtyPriceLeg($B$6,H118),"-")</f>
        <v>-</v>
      </c>
      <c r="O118" s="32" t="str">
        <f ca="1">IF(B118,_xll.BookPricingOutput.DirtyPriceLegConfidence($B$6,H118),"-")</f>
        <v>-</v>
      </c>
      <c r="P118" s="32" t="str">
        <f ca="1">IF(B118,_xll.BookPricingOutput.GetPricingTime($B$6,A118),"-")</f>
        <v>-</v>
      </c>
      <c r="Q118" t="str">
        <f ca="1">IF(B118,_xll.BookPricingOutput.GetStatus($B$6,A118),"-")</f>
        <v>-</v>
      </c>
    </row>
    <row r="119" spans="1:17" x14ac:dyDescent="0.35">
      <c r="A119" t="str">
        <f ca="1"/>
        <v/>
      </c>
      <c r="B119" t="b">
        <v>0</v>
      </c>
      <c r="C119" t="s">
        <v>276</v>
      </c>
      <c r="D119" t="s">
        <v>33</v>
      </c>
      <c r="E119" s="27" t="s">
        <v>291</v>
      </c>
      <c r="F119" s="27" t="b">
        <v>0</v>
      </c>
      <c r="G119" t="str">
        <f ca="1">IF(B119,_xll.BookPricingOutput.GetLeg1($B$6,A119),"-")</f>
        <v>-</v>
      </c>
      <c r="H119" t="str">
        <f ca="1">IF(B119,_xll.BookPricingOutput.GetLeg2($B$6,A119),"-")</f>
        <v>-</v>
      </c>
      <c r="I119" t="str">
        <f ca="1">IF(B119,_xll.BookPricingOutput.DirtyPrice($B$6,A119),"-")</f>
        <v>-</v>
      </c>
      <c r="J119" s="32" t="str">
        <f ca="1">IF(B119,_xll.BookPricingOutput.DirtyPriceConfidence($B$6,A119),"-")</f>
        <v>-</v>
      </c>
      <c r="K119" s="32" t="str">
        <f ca="1">IF(B119,_xll.BookPricingOutput.FairSpread($B$6,A119)*10000,"-")</f>
        <v>-</v>
      </c>
      <c r="L119" s="32" t="str">
        <f ca="1">IF(B119,_xll.BookPricingOutput.DirtyPriceLeg($B$6,G119),"-")</f>
        <v>-</v>
      </c>
      <c r="M119" s="32" t="str">
        <f ca="1">IF(B119,_xll.BookPricingOutput.DirtyPriceLegConfidence($B$6,G119),"-")</f>
        <v>-</v>
      </c>
      <c r="N119" s="32" t="str">
        <f ca="1">IF(B119,_xll.BookPricingOutput.DirtyPriceLeg($B$6,H119),"-")</f>
        <v>-</v>
      </c>
      <c r="O119" s="32" t="str">
        <f ca="1">IF(B119,_xll.BookPricingOutput.DirtyPriceLegConfidence($B$6,H119),"-")</f>
        <v>-</v>
      </c>
      <c r="P119" s="32" t="str">
        <f ca="1">IF(B119,_xll.BookPricingOutput.GetPricingTime($B$6,A119),"-")</f>
        <v>-</v>
      </c>
      <c r="Q119" t="str">
        <f ca="1">IF(B119,_xll.BookPricingOutput.GetStatus($B$6,A119),"-")</f>
        <v>-</v>
      </c>
    </row>
    <row r="120" spans="1:17" x14ac:dyDescent="0.35">
      <c r="A120" t="str">
        <f ca="1"/>
        <v/>
      </c>
      <c r="B120" t="b">
        <v>0</v>
      </c>
      <c r="C120" t="s">
        <v>276</v>
      </c>
      <c r="D120" t="s">
        <v>33</v>
      </c>
      <c r="E120" s="27" t="s">
        <v>291</v>
      </c>
      <c r="F120" s="27" t="b">
        <v>0</v>
      </c>
      <c r="G120" t="str">
        <f ca="1">IF(B120,_xll.BookPricingOutput.GetLeg1($B$6,A120),"-")</f>
        <v>-</v>
      </c>
      <c r="H120" t="str">
        <f ca="1">IF(B120,_xll.BookPricingOutput.GetLeg2($B$6,A120),"-")</f>
        <v>-</v>
      </c>
      <c r="I120" t="str">
        <f ca="1">IF(B120,_xll.BookPricingOutput.DirtyPrice($B$6,A120),"-")</f>
        <v>-</v>
      </c>
      <c r="J120" s="32" t="str">
        <f ca="1">IF(B120,_xll.BookPricingOutput.DirtyPriceConfidence($B$6,A120),"-")</f>
        <v>-</v>
      </c>
      <c r="K120" s="32" t="str">
        <f ca="1">IF(B120,_xll.BookPricingOutput.FairSpread($B$6,A120)*10000,"-")</f>
        <v>-</v>
      </c>
      <c r="L120" s="32" t="str">
        <f ca="1">IF(B120,_xll.BookPricingOutput.DirtyPriceLeg($B$6,G120),"-")</f>
        <v>-</v>
      </c>
      <c r="M120" s="32" t="str">
        <f ca="1">IF(B120,_xll.BookPricingOutput.DirtyPriceLegConfidence($B$6,G120),"-")</f>
        <v>-</v>
      </c>
      <c r="N120" s="32" t="str">
        <f ca="1">IF(B120,_xll.BookPricingOutput.DirtyPriceLeg($B$6,H120),"-")</f>
        <v>-</v>
      </c>
      <c r="O120" s="32" t="str">
        <f ca="1">IF(B120,_xll.BookPricingOutput.DirtyPriceLegConfidence($B$6,H120),"-")</f>
        <v>-</v>
      </c>
      <c r="P120" s="32" t="str">
        <f ca="1">IF(B120,_xll.BookPricingOutput.GetPricingTime($B$6,A120),"-")</f>
        <v>-</v>
      </c>
      <c r="Q120" t="str">
        <f ca="1">IF(B120,_xll.BookPricingOutput.GetStatus($B$6,A120),"-")</f>
        <v>-</v>
      </c>
    </row>
    <row r="121" spans="1:17" x14ac:dyDescent="0.35">
      <c r="A121" t="str">
        <f ca="1"/>
        <v/>
      </c>
      <c r="B121" t="b">
        <v>0</v>
      </c>
      <c r="C121" t="s">
        <v>276</v>
      </c>
      <c r="D121" t="s">
        <v>33</v>
      </c>
      <c r="E121" s="27" t="s">
        <v>291</v>
      </c>
      <c r="F121" s="27" t="b">
        <v>0</v>
      </c>
      <c r="G121" t="str">
        <f ca="1">IF(B121,_xll.BookPricingOutput.GetLeg1($B$6,A121),"-")</f>
        <v>-</v>
      </c>
      <c r="H121" t="str">
        <f ca="1">IF(B121,_xll.BookPricingOutput.GetLeg2($B$6,A121),"-")</f>
        <v>-</v>
      </c>
      <c r="I121" t="str">
        <f ca="1">IF(B121,_xll.BookPricingOutput.DirtyPrice($B$6,A121),"-")</f>
        <v>-</v>
      </c>
      <c r="J121" s="32" t="str">
        <f ca="1">IF(B121,_xll.BookPricingOutput.DirtyPriceConfidence($B$6,A121),"-")</f>
        <v>-</v>
      </c>
      <c r="K121" s="32" t="str">
        <f ca="1">IF(B121,_xll.BookPricingOutput.FairSpread($B$6,A121)*10000,"-")</f>
        <v>-</v>
      </c>
      <c r="L121" s="32" t="str">
        <f ca="1">IF(B121,_xll.BookPricingOutput.DirtyPriceLeg($B$6,G121),"-")</f>
        <v>-</v>
      </c>
      <c r="M121" s="32" t="str">
        <f ca="1">IF(B121,_xll.BookPricingOutput.DirtyPriceLegConfidence($B$6,G121),"-")</f>
        <v>-</v>
      </c>
      <c r="N121" s="32" t="str">
        <f ca="1">IF(B121,_xll.BookPricingOutput.DirtyPriceLeg($B$6,H121),"-")</f>
        <v>-</v>
      </c>
      <c r="O121" s="32" t="str">
        <f ca="1">IF(B121,_xll.BookPricingOutput.DirtyPriceLegConfidence($B$6,H121),"-")</f>
        <v>-</v>
      </c>
      <c r="P121" s="32" t="str">
        <f ca="1">IF(B121,_xll.BookPricingOutput.GetPricingTime($B$6,A121),"-")</f>
        <v>-</v>
      </c>
      <c r="Q121" t="str">
        <f ca="1">IF(B121,_xll.BookPricingOutput.GetStatus($B$6,A121),"-")</f>
        <v>-</v>
      </c>
    </row>
    <row r="122" spans="1:17" x14ac:dyDescent="0.35">
      <c r="A122" t="str">
        <f ca="1"/>
        <v/>
      </c>
      <c r="B122" t="b">
        <v>0</v>
      </c>
      <c r="C122" t="s">
        <v>276</v>
      </c>
      <c r="D122" t="s">
        <v>33</v>
      </c>
      <c r="E122" s="27" t="s">
        <v>291</v>
      </c>
      <c r="F122" s="27" t="b">
        <v>0</v>
      </c>
      <c r="G122" t="str">
        <f ca="1">IF(B122,_xll.BookPricingOutput.GetLeg1($B$6,A122),"-")</f>
        <v>-</v>
      </c>
      <c r="H122" t="str">
        <f ca="1">IF(B122,_xll.BookPricingOutput.GetLeg2($B$6,A122),"-")</f>
        <v>-</v>
      </c>
      <c r="I122" t="str">
        <f ca="1">IF(B122,_xll.BookPricingOutput.DirtyPrice($B$6,A122),"-")</f>
        <v>-</v>
      </c>
      <c r="J122" s="32" t="str">
        <f ca="1">IF(B122,_xll.BookPricingOutput.DirtyPriceConfidence($B$6,A122),"-")</f>
        <v>-</v>
      </c>
      <c r="K122" s="32" t="str">
        <f ca="1">IF(B122,_xll.BookPricingOutput.FairSpread($B$6,A122)*10000,"-")</f>
        <v>-</v>
      </c>
      <c r="L122" s="32" t="str">
        <f ca="1">IF(B122,_xll.BookPricingOutput.DirtyPriceLeg($B$6,G122),"-")</f>
        <v>-</v>
      </c>
      <c r="M122" s="32" t="str">
        <f ca="1">IF(B122,_xll.BookPricingOutput.DirtyPriceLegConfidence($B$6,G122),"-")</f>
        <v>-</v>
      </c>
      <c r="N122" s="32" t="str">
        <f ca="1">IF(B122,_xll.BookPricingOutput.DirtyPriceLeg($B$6,H122),"-")</f>
        <v>-</v>
      </c>
      <c r="O122" s="32" t="str">
        <f ca="1">IF(B122,_xll.BookPricingOutput.DirtyPriceLegConfidence($B$6,H122),"-")</f>
        <v>-</v>
      </c>
      <c r="P122" s="32" t="str">
        <f ca="1">IF(B122,_xll.BookPricingOutput.GetPricingTime($B$6,A122),"-")</f>
        <v>-</v>
      </c>
      <c r="Q122" t="str">
        <f ca="1">IF(B122,_xll.BookPricingOutput.GetStatus($B$6,A122),"-")</f>
        <v>-</v>
      </c>
    </row>
    <row r="123" spans="1:17" x14ac:dyDescent="0.35">
      <c r="A123" t="str">
        <f ca="1"/>
        <v/>
      </c>
      <c r="B123" t="b">
        <v>0</v>
      </c>
      <c r="C123" t="s">
        <v>276</v>
      </c>
      <c r="D123" t="s">
        <v>33</v>
      </c>
      <c r="E123" s="27" t="s">
        <v>291</v>
      </c>
      <c r="F123" s="27" t="b">
        <v>0</v>
      </c>
      <c r="G123" t="str">
        <f ca="1">IF(B123,_xll.BookPricingOutput.GetLeg1($B$6,A123),"-")</f>
        <v>-</v>
      </c>
      <c r="H123" t="str">
        <f ca="1">IF(B123,_xll.BookPricingOutput.GetLeg2($B$6,A123),"-")</f>
        <v>-</v>
      </c>
      <c r="I123" t="str">
        <f ca="1">IF(B123,_xll.BookPricingOutput.DirtyPrice($B$6,A123),"-")</f>
        <v>-</v>
      </c>
      <c r="J123" s="32" t="str">
        <f ca="1">IF(B123,_xll.BookPricingOutput.DirtyPriceConfidence($B$6,A123),"-")</f>
        <v>-</v>
      </c>
      <c r="K123" s="32" t="str">
        <f ca="1">IF(B123,_xll.BookPricingOutput.FairSpread($B$6,A123)*10000,"-")</f>
        <v>-</v>
      </c>
      <c r="L123" s="32" t="str">
        <f ca="1">IF(B123,_xll.BookPricingOutput.DirtyPriceLeg($B$6,G123),"-")</f>
        <v>-</v>
      </c>
      <c r="M123" s="32" t="str">
        <f ca="1">IF(B123,_xll.BookPricingOutput.DirtyPriceLegConfidence($B$6,G123),"-")</f>
        <v>-</v>
      </c>
      <c r="N123" s="32" t="str">
        <f ca="1">IF(B123,_xll.BookPricingOutput.DirtyPriceLeg($B$6,H123),"-")</f>
        <v>-</v>
      </c>
      <c r="O123" s="32" t="str">
        <f ca="1">IF(B123,_xll.BookPricingOutput.DirtyPriceLegConfidence($B$6,H123),"-")</f>
        <v>-</v>
      </c>
      <c r="P123" s="32" t="str">
        <f ca="1">IF(B123,_xll.BookPricingOutput.GetPricingTime($B$6,A123),"-")</f>
        <v>-</v>
      </c>
      <c r="Q123" t="str">
        <f ca="1">IF(B123,_xll.BookPricingOutput.GetStatus($B$6,A123),"-")</f>
        <v>-</v>
      </c>
    </row>
    <row r="124" spans="1:17" x14ac:dyDescent="0.35">
      <c r="A124" t="str">
        <f ca="1"/>
        <v/>
      </c>
      <c r="B124" t="b">
        <v>0</v>
      </c>
      <c r="C124" t="s">
        <v>276</v>
      </c>
      <c r="D124" t="s">
        <v>33</v>
      </c>
      <c r="E124" s="27" t="s">
        <v>291</v>
      </c>
      <c r="F124" s="27" t="b">
        <v>0</v>
      </c>
      <c r="G124" t="str">
        <f ca="1">IF(B124,_xll.BookPricingOutput.GetLeg1($B$6,A124),"-")</f>
        <v>-</v>
      </c>
      <c r="H124" t="str">
        <f ca="1">IF(B124,_xll.BookPricingOutput.GetLeg2($B$6,A124),"-")</f>
        <v>-</v>
      </c>
      <c r="I124" t="str">
        <f ca="1">IF(B124,_xll.BookPricingOutput.DirtyPrice($B$6,A124),"-")</f>
        <v>-</v>
      </c>
      <c r="J124" s="32" t="str">
        <f ca="1">IF(B124,_xll.BookPricingOutput.DirtyPriceConfidence($B$6,A124),"-")</f>
        <v>-</v>
      </c>
      <c r="K124" s="32" t="str">
        <f ca="1">IF(B124,_xll.BookPricingOutput.FairSpread($B$6,A124)*10000,"-")</f>
        <v>-</v>
      </c>
      <c r="L124" s="32" t="str">
        <f ca="1">IF(B124,_xll.BookPricingOutput.DirtyPriceLeg($B$6,G124),"-")</f>
        <v>-</v>
      </c>
      <c r="M124" s="32" t="str">
        <f ca="1">IF(B124,_xll.BookPricingOutput.DirtyPriceLegConfidence($B$6,G124),"-")</f>
        <v>-</v>
      </c>
      <c r="N124" s="32" t="str">
        <f ca="1">IF(B124,_xll.BookPricingOutput.DirtyPriceLeg($B$6,H124),"-")</f>
        <v>-</v>
      </c>
      <c r="O124" s="32" t="str">
        <f ca="1">IF(B124,_xll.BookPricingOutput.DirtyPriceLegConfidence($B$6,H124),"-")</f>
        <v>-</v>
      </c>
      <c r="P124" s="32" t="str">
        <f ca="1">IF(B124,_xll.BookPricingOutput.GetPricingTime($B$6,A124),"-")</f>
        <v>-</v>
      </c>
      <c r="Q124" t="str">
        <f ca="1">IF(B124,_xll.BookPricingOutput.GetStatus($B$6,A124),"-")</f>
        <v>-</v>
      </c>
    </row>
    <row r="125" spans="1:17" x14ac:dyDescent="0.35">
      <c r="A125" t="str">
        <f ca="1"/>
        <v/>
      </c>
      <c r="B125" t="b">
        <v>0</v>
      </c>
      <c r="C125" t="s">
        <v>276</v>
      </c>
      <c r="D125" t="s">
        <v>33</v>
      </c>
      <c r="E125" s="27" t="s">
        <v>291</v>
      </c>
      <c r="F125" s="27" t="b">
        <v>0</v>
      </c>
      <c r="G125" t="str">
        <f ca="1">IF(B125,_xll.BookPricingOutput.GetLeg1($B$6,A125),"-")</f>
        <v>-</v>
      </c>
      <c r="H125" t="str">
        <f ca="1">IF(B125,_xll.BookPricingOutput.GetLeg2($B$6,A125),"-")</f>
        <v>-</v>
      </c>
      <c r="I125" t="str">
        <f ca="1">IF(B125,_xll.BookPricingOutput.DirtyPrice($B$6,A125),"-")</f>
        <v>-</v>
      </c>
      <c r="J125" s="32" t="str">
        <f ca="1">IF(B125,_xll.BookPricingOutput.DirtyPriceConfidence($B$6,A125),"-")</f>
        <v>-</v>
      </c>
      <c r="K125" s="32" t="str">
        <f ca="1">IF(B125,_xll.BookPricingOutput.FairSpread($B$6,A125)*10000,"-")</f>
        <v>-</v>
      </c>
      <c r="L125" s="32" t="str">
        <f ca="1">IF(B125,_xll.BookPricingOutput.DirtyPriceLeg($B$6,G125),"-")</f>
        <v>-</v>
      </c>
      <c r="M125" s="32" t="str">
        <f ca="1">IF(B125,_xll.BookPricingOutput.DirtyPriceLegConfidence($B$6,G125),"-")</f>
        <v>-</v>
      </c>
      <c r="N125" s="32" t="str">
        <f ca="1">IF(B125,_xll.BookPricingOutput.DirtyPriceLeg($B$6,H125),"-")</f>
        <v>-</v>
      </c>
      <c r="O125" s="32" t="str">
        <f ca="1">IF(B125,_xll.BookPricingOutput.DirtyPriceLegConfidence($B$6,H125),"-")</f>
        <v>-</v>
      </c>
      <c r="P125" s="32" t="str">
        <f ca="1">IF(B125,_xll.BookPricingOutput.GetPricingTime($B$6,A125),"-")</f>
        <v>-</v>
      </c>
      <c r="Q125" t="str">
        <f ca="1">IF(B125,_xll.BookPricingOutput.GetStatus($B$6,A125),"-")</f>
        <v>-</v>
      </c>
    </row>
    <row r="126" spans="1:17" x14ac:dyDescent="0.35">
      <c r="A126" t="str">
        <f ca="1"/>
        <v/>
      </c>
      <c r="B126" t="b">
        <v>0</v>
      </c>
      <c r="C126" t="s">
        <v>276</v>
      </c>
      <c r="D126" t="s">
        <v>33</v>
      </c>
      <c r="E126" s="27" t="s">
        <v>291</v>
      </c>
      <c r="F126" s="27" t="b">
        <v>0</v>
      </c>
      <c r="G126" t="str">
        <f ca="1">IF(B126,_xll.BookPricingOutput.GetLeg1($B$6,A126),"-")</f>
        <v>-</v>
      </c>
      <c r="H126" t="str">
        <f ca="1">IF(B126,_xll.BookPricingOutput.GetLeg2($B$6,A126),"-")</f>
        <v>-</v>
      </c>
      <c r="I126" t="str">
        <f ca="1">IF(B126,_xll.BookPricingOutput.DirtyPrice($B$6,A126),"-")</f>
        <v>-</v>
      </c>
      <c r="J126" s="32" t="str">
        <f ca="1">IF(B126,_xll.BookPricingOutput.DirtyPriceConfidence($B$6,A126),"-")</f>
        <v>-</v>
      </c>
      <c r="K126" s="32" t="str">
        <f ca="1">IF(B126,_xll.BookPricingOutput.FairSpread($B$6,A126)*10000,"-")</f>
        <v>-</v>
      </c>
      <c r="L126" s="32" t="str">
        <f ca="1">IF(B126,_xll.BookPricingOutput.DirtyPriceLeg($B$6,G126),"-")</f>
        <v>-</v>
      </c>
      <c r="M126" s="32" t="str">
        <f ca="1">IF(B126,_xll.BookPricingOutput.DirtyPriceLegConfidence($B$6,G126),"-")</f>
        <v>-</v>
      </c>
      <c r="N126" s="32" t="str">
        <f ca="1">IF(B126,_xll.BookPricingOutput.DirtyPriceLeg($B$6,H126),"-")</f>
        <v>-</v>
      </c>
      <c r="O126" s="32" t="str">
        <f ca="1">IF(B126,_xll.BookPricingOutput.DirtyPriceLegConfidence($B$6,H126),"-")</f>
        <v>-</v>
      </c>
      <c r="P126" s="32" t="str">
        <f ca="1">IF(B126,_xll.BookPricingOutput.GetPricingTime($B$6,A126),"-")</f>
        <v>-</v>
      </c>
      <c r="Q126" t="str">
        <f ca="1">IF(B126,_xll.BookPricingOutput.GetStatus($B$6,A126),"-")</f>
        <v>-</v>
      </c>
    </row>
    <row r="127" spans="1:17" x14ac:dyDescent="0.35">
      <c r="A127" t="str">
        <f ca="1"/>
        <v/>
      </c>
      <c r="B127" t="b">
        <v>0</v>
      </c>
      <c r="C127" t="s">
        <v>276</v>
      </c>
      <c r="D127" t="s">
        <v>33</v>
      </c>
      <c r="E127" s="27" t="s">
        <v>291</v>
      </c>
      <c r="F127" s="27" t="b">
        <v>0</v>
      </c>
      <c r="G127" t="str">
        <f ca="1">IF(B127,_xll.BookPricingOutput.GetLeg1($B$6,A127),"-")</f>
        <v>-</v>
      </c>
      <c r="H127" t="str">
        <f ca="1">IF(B127,_xll.BookPricingOutput.GetLeg2($B$6,A127),"-")</f>
        <v>-</v>
      </c>
      <c r="I127" t="str">
        <f ca="1">IF(B127,_xll.BookPricingOutput.DirtyPrice($B$6,A127),"-")</f>
        <v>-</v>
      </c>
      <c r="J127" s="32" t="str">
        <f ca="1">IF(B127,_xll.BookPricingOutput.DirtyPriceConfidence($B$6,A127),"-")</f>
        <v>-</v>
      </c>
      <c r="K127" s="32" t="str">
        <f ca="1">IF(B127,_xll.BookPricingOutput.FairSpread($B$6,A127)*10000,"-")</f>
        <v>-</v>
      </c>
      <c r="L127" s="32" t="str">
        <f ca="1">IF(B127,_xll.BookPricingOutput.DirtyPriceLeg($B$6,G127),"-")</f>
        <v>-</v>
      </c>
      <c r="M127" s="32" t="str">
        <f ca="1">IF(B127,_xll.BookPricingOutput.DirtyPriceLegConfidence($B$6,G127),"-")</f>
        <v>-</v>
      </c>
      <c r="N127" s="32" t="str">
        <f ca="1">IF(B127,_xll.BookPricingOutput.DirtyPriceLeg($B$6,H127),"-")</f>
        <v>-</v>
      </c>
      <c r="O127" s="32" t="str">
        <f ca="1">IF(B127,_xll.BookPricingOutput.DirtyPriceLegConfidence($B$6,H127),"-")</f>
        <v>-</v>
      </c>
      <c r="P127" s="32" t="str">
        <f ca="1">IF(B127,_xll.BookPricingOutput.GetPricingTime($B$6,A127),"-")</f>
        <v>-</v>
      </c>
      <c r="Q127" t="str">
        <f ca="1">IF(B127,_xll.BookPricingOutput.GetStatus($B$6,A127),"-")</f>
        <v>-</v>
      </c>
    </row>
    <row r="128" spans="1:17" x14ac:dyDescent="0.35">
      <c r="A128" t="str">
        <f ca="1"/>
        <v/>
      </c>
      <c r="B128" t="b">
        <v>0</v>
      </c>
      <c r="C128" t="s">
        <v>276</v>
      </c>
      <c r="D128" t="s">
        <v>33</v>
      </c>
      <c r="E128" s="27" t="s">
        <v>291</v>
      </c>
      <c r="F128" s="27" t="b">
        <v>0</v>
      </c>
      <c r="G128" t="str">
        <f ca="1">IF(B128,_xll.BookPricingOutput.GetLeg1($B$6,A128),"-")</f>
        <v>-</v>
      </c>
      <c r="H128" t="str">
        <f ca="1">IF(B128,_xll.BookPricingOutput.GetLeg2($B$6,A128),"-")</f>
        <v>-</v>
      </c>
      <c r="I128" t="str">
        <f ca="1">IF(B128,_xll.BookPricingOutput.DirtyPrice($B$6,A128),"-")</f>
        <v>-</v>
      </c>
      <c r="J128" s="32" t="str">
        <f ca="1">IF(B128,_xll.BookPricingOutput.DirtyPriceConfidence($B$6,A128),"-")</f>
        <v>-</v>
      </c>
      <c r="K128" s="32" t="str">
        <f ca="1">IF(B128,_xll.BookPricingOutput.FairSpread($B$6,A128)*10000,"-")</f>
        <v>-</v>
      </c>
      <c r="L128" s="32" t="str">
        <f ca="1">IF(B128,_xll.BookPricingOutput.DirtyPriceLeg($B$6,G128),"-")</f>
        <v>-</v>
      </c>
      <c r="M128" s="32" t="str">
        <f ca="1">IF(B128,_xll.BookPricingOutput.DirtyPriceLegConfidence($B$6,G128),"-")</f>
        <v>-</v>
      </c>
      <c r="N128" s="32" t="str">
        <f ca="1">IF(B128,_xll.BookPricingOutput.DirtyPriceLeg($B$6,H128),"-")</f>
        <v>-</v>
      </c>
      <c r="O128" s="32" t="str">
        <f ca="1">IF(B128,_xll.BookPricingOutput.DirtyPriceLegConfidence($B$6,H128),"-")</f>
        <v>-</v>
      </c>
      <c r="P128" s="32" t="str">
        <f ca="1">IF(B128,_xll.BookPricingOutput.GetPricingTime($B$6,A128),"-")</f>
        <v>-</v>
      </c>
      <c r="Q128" t="str">
        <f ca="1">IF(B128,_xll.BookPricingOutput.GetStatus($B$6,A128),"-")</f>
        <v>-</v>
      </c>
    </row>
    <row r="129" spans="1:17" x14ac:dyDescent="0.35">
      <c r="A129" t="str">
        <f ca="1"/>
        <v/>
      </c>
      <c r="B129" t="b">
        <v>0</v>
      </c>
      <c r="C129" t="s">
        <v>276</v>
      </c>
      <c r="D129" t="s">
        <v>33</v>
      </c>
      <c r="E129" s="27" t="s">
        <v>291</v>
      </c>
      <c r="F129" s="27" t="b">
        <v>0</v>
      </c>
      <c r="G129" t="str">
        <f ca="1">IF(B129,_xll.BookPricingOutput.GetLeg1($B$6,A129),"-")</f>
        <v>-</v>
      </c>
      <c r="H129" t="str">
        <f ca="1">IF(B129,_xll.BookPricingOutput.GetLeg2($B$6,A129),"-")</f>
        <v>-</v>
      </c>
      <c r="I129" t="str">
        <f ca="1">IF(B129,_xll.BookPricingOutput.DirtyPrice($B$6,A129),"-")</f>
        <v>-</v>
      </c>
      <c r="J129" s="32" t="str">
        <f ca="1">IF(B129,_xll.BookPricingOutput.DirtyPriceConfidence($B$6,A129),"-")</f>
        <v>-</v>
      </c>
      <c r="K129" s="32" t="str">
        <f ca="1">IF(B129,_xll.BookPricingOutput.FairSpread($B$6,A129)*10000,"-")</f>
        <v>-</v>
      </c>
      <c r="L129" s="32" t="str">
        <f ca="1">IF(B129,_xll.BookPricingOutput.DirtyPriceLeg($B$6,G129),"-")</f>
        <v>-</v>
      </c>
      <c r="M129" s="32" t="str">
        <f ca="1">IF(B129,_xll.BookPricingOutput.DirtyPriceLegConfidence($B$6,G129),"-")</f>
        <v>-</v>
      </c>
      <c r="N129" s="32" t="str">
        <f ca="1">IF(B129,_xll.BookPricingOutput.DirtyPriceLeg($B$6,H129),"-")</f>
        <v>-</v>
      </c>
      <c r="O129" s="32" t="str">
        <f ca="1">IF(B129,_xll.BookPricingOutput.DirtyPriceLegConfidence($B$6,H129),"-")</f>
        <v>-</v>
      </c>
      <c r="P129" s="32" t="str">
        <f ca="1">IF(B129,_xll.BookPricingOutput.GetPricingTime($B$6,A129),"-")</f>
        <v>-</v>
      </c>
      <c r="Q129" t="str">
        <f ca="1">IF(B129,_xll.BookPricingOutput.GetStatus($B$6,A129),"-")</f>
        <v>-</v>
      </c>
    </row>
    <row r="130" spans="1:17" x14ac:dyDescent="0.35">
      <c r="A130" t="str">
        <f ca="1"/>
        <v/>
      </c>
      <c r="B130" t="b">
        <v>0</v>
      </c>
      <c r="C130" t="s">
        <v>276</v>
      </c>
      <c r="D130" t="s">
        <v>33</v>
      </c>
      <c r="E130" s="27" t="s">
        <v>291</v>
      </c>
      <c r="F130" s="27" t="b">
        <v>0</v>
      </c>
      <c r="G130" t="str">
        <f ca="1">IF(B130,_xll.BookPricingOutput.GetLeg1($B$6,A130),"-")</f>
        <v>-</v>
      </c>
      <c r="H130" t="str">
        <f ca="1">IF(B130,_xll.BookPricingOutput.GetLeg2($B$6,A130),"-")</f>
        <v>-</v>
      </c>
      <c r="I130" t="str">
        <f ca="1">IF(B130,_xll.BookPricingOutput.DirtyPrice($B$6,A130),"-")</f>
        <v>-</v>
      </c>
      <c r="J130" s="32" t="str">
        <f ca="1">IF(B130,_xll.BookPricingOutput.DirtyPriceConfidence($B$6,A130),"-")</f>
        <v>-</v>
      </c>
      <c r="K130" s="32" t="str">
        <f ca="1">IF(B130,_xll.BookPricingOutput.FairSpread($B$6,A130)*10000,"-")</f>
        <v>-</v>
      </c>
      <c r="L130" s="32" t="str">
        <f ca="1">IF(B130,_xll.BookPricingOutput.DirtyPriceLeg($B$6,G130),"-")</f>
        <v>-</v>
      </c>
      <c r="M130" s="32" t="str">
        <f ca="1">IF(B130,_xll.BookPricingOutput.DirtyPriceLegConfidence($B$6,G130),"-")</f>
        <v>-</v>
      </c>
      <c r="N130" s="32" t="str">
        <f ca="1">IF(B130,_xll.BookPricingOutput.DirtyPriceLeg($B$6,H130),"-")</f>
        <v>-</v>
      </c>
      <c r="O130" s="32" t="str">
        <f ca="1">IF(B130,_xll.BookPricingOutput.DirtyPriceLegConfidence($B$6,H130),"-")</f>
        <v>-</v>
      </c>
      <c r="P130" s="32" t="str">
        <f ca="1">IF(B130,_xll.BookPricingOutput.GetPricingTime($B$6,A130),"-")</f>
        <v>-</v>
      </c>
      <c r="Q130" t="str">
        <f ca="1">IF(B130,_xll.BookPricingOutput.GetStatus($B$6,A130),"-")</f>
        <v>-</v>
      </c>
    </row>
    <row r="131" spans="1:17" x14ac:dyDescent="0.35">
      <c r="A131" t="str">
        <f ca="1"/>
        <v/>
      </c>
      <c r="B131" t="b">
        <v>0</v>
      </c>
      <c r="C131" t="s">
        <v>276</v>
      </c>
      <c r="D131" t="s">
        <v>33</v>
      </c>
      <c r="E131" s="27" t="s">
        <v>291</v>
      </c>
      <c r="F131" s="27" t="b">
        <v>0</v>
      </c>
      <c r="G131" t="str">
        <f ca="1">IF(B131,_xll.BookPricingOutput.GetLeg1($B$6,A131),"-")</f>
        <v>-</v>
      </c>
      <c r="H131" t="str">
        <f ca="1">IF(B131,_xll.BookPricingOutput.GetLeg2($B$6,A131),"-")</f>
        <v>-</v>
      </c>
      <c r="I131" t="str">
        <f ca="1">IF(B131,_xll.BookPricingOutput.DirtyPrice($B$6,A131),"-")</f>
        <v>-</v>
      </c>
      <c r="J131" s="32" t="str">
        <f ca="1">IF(B131,_xll.BookPricingOutput.DirtyPriceConfidence($B$6,A131),"-")</f>
        <v>-</v>
      </c>
      <c r="K131" s="32" t="str">
        <f ca="1">IF(B131,_xll.BookPricingOutput.FairSpread($B$6,A131)*10000,"-")</f>
        <v>-</v>
      </c>
      <c r="L131" s="32" t="str">
        <f ca="1">IF(B131,_xll.BookPricingOutput.DirtyPriceLeg($B$6,G131),"-")</f>
        <v>-</v>
      </c>
      <c r="M131" s="32" t="str">
        <f ca="1">IF(B131,_xll.BookPricingOutput.DirtyPriceLegConfidence($B$6,G131),"-")</f>
        <v>-</v>
      </c>
      <c r="N131" s="32" t="str">
        <f ca="1">IF(B131,_xll.BookPricingOutput.DirtyPriceLeg($B$6,H131),"-")</f>
        <v>-</v>
      </c>
      <c r="O131" s="32" t="str">
        <f ca="1">IF(B131,_xll.BookPricingOutput.DirtyPriceLegConfidence($B$6,H131),"-")</f>
        <v>-</v>
      </c>
      <c r="P131" s="32" t="str">
        <f ca="1">IF(B131,_xll.BookPricingOutput.GetPricingTime($B$6,A131),"-")</f>
        <v>-</v>
      </c>
      <c r="Q131" t="str">
        <f ca="1">IF(B131,_xll.BookPricingOutput.GetStatus($B$6,A131),"-")</f>
        <v>-</v>
      </c>
    </row>
    <row r="132" spans="1:17" x14ac:dyDescent="0.35">
      <c r="A132" t="str">
        <f ca="1"/>
        <v/>
      </c>
      <c r="B132" t="b">
        <v>0</v>
      </c>
      <c r="C132" t="s">
        <v>276</v>
      </c>
      <c r="D132" t="s">
        <v>33</v>
      </c>
      <c r="E132" s="27" t="s">
        <v>291</v>
      </c>
      <c r="F132" s="27" t="b">
        <v>0</v>
      </c>
      <c r="G132" t="str">
        <f ca="1">IF(B132,_xll.BookPricingOutput.GetLeg1($B$6,A132),"-")</f>
        <v>-</v>
      </c>
      <c r="H132" t="str">
        <f ca="1">IF(B132,_xll.BookPricingOutput.GetLeg2($B$6,A132),"-")</f>
        <v>-</v>
      </c>
      <c r="I132" t="str">
        <f ca="1">IF(B132,_xll.BookPricingOutput.DirtyPrice($B$6,A132),"-")</f>
        <v>-</v>
      </c>
      <c r="J132" s="32" t="str">
        <f ca="1">IF(B132,_xll.BookPricingOutput.DirtyPriceConfidence($B$6,A132),"-")</f>
        <v>-</v>
      </c>
      <c r="K132" s="32" t="str">
        <f ca="1">IF(B132,_xll.BookPricingOutput.FairSpread($B$6,A132)*10000,"-")</f>
        <v>-</v>
      </c>
      <c r="L132" s="32" t="str">
        <f ca="1">IF(B132,_xll.BookPricingOutput.DirtyPriceLeg($B$6,G132),"-")</f>
        <v>-</v>
      </c>
      <c r="M132" s="32" t="str">
        <f ca="1">IF(B132,_xll.BookPricingOutput.DirtyPriceLegConfidence($B$6,G132),"-")</f>
        <v>-</v>
      </c>
      <c r="N132" s="32" t="str">
        <f ca="1">IF(B132,_xll.BookPricingOutput.DirtyPriceLeg($B$6,H132),"-")</f>
        <v>-</v>
      </c>
      <c r="O132" s="32" t="str">
        <f ca="1">IF(B132,_xll.BookPricingOutput.DirtyPriceLegConfidence($B$6,H132),"-")</f>
        <v>-</v>
      </c>
      <c r="P132" s="32" t="str">
        <f ca="1">IF(B132,_xll.BookPricingOutput.GetPricingTime($B$6,A132),"-")</f>
        <v>-</v>
      </c>
      <c r="Q132" t="str">
        <f ca="1">IF(B132,_xll.BookPricingOutput.GetStatus($B$6,A132),"-")</f>
        <v>-</v>
      </c>
    </row>
    <row r="133" spans="1:17" x14ac:dyDescent="0.35">
      <c r="A133" t="str">
        <f ca="1"/>
        <v/>
      </c>
      <c r="B133" t="b">
        <v>0</v>
      </c>
      <c r="C133" t="s">
        <v>276</v>
      </c>
      <c r="D133" t="s">
        <v>33</v>
      </c>
      <c r="E133" s="27" t="s">
        <v>291</v>
      </c>
      <c r="F133" s="27" t="b">
        <v>0</v>
      </c>
      <c r="G133" t="str">
        <f ca="1">IF(B133,_xll.BookPricingOutput.GetLeg1($B$6,A133),"-")</f>
        <v>-</v>
      </c>
      <c r="H133" t="str">
        <f ca="1">IF(B133,_xll.BookPricingOutput.GetLeg2($B$6,A133),"-")</f>
        <v>-</v>
      </c>
      <c r="I133" t="str">
        <f ca="1">IF(B133,_xll.BookPricingOutput.DirtyPrice($B$6,A133),"-")</f>
        <v>-</v>
      </c>
      <c r="J133" s="32" t="str">
        <f ca="1">IF(B133,_xll.BookPricingOutput.DirtyPriceConfidence($B$6,A133),"-")</f>
        <v>-</v>
      </c>
      <c r="K133" s="32" t="str">
        <f ca="1">IF(B133,_xll.BookPricingOutput.FairSpread($B$6,A133)*10000,"-")</f>
        <v>-</v>
      </c>
      <c r="L133" s="32" t="str">
        <f ca="1">IF(B133,_xll.BookPricingOutput.DirtyPriceLeg($B$6,G133),"-")</f>
        <v>-</v>
      </c>
      <c r="M133" s="32" t="str">
        <f ca="1">IF(B133,_xll.BookPricingOutput.DirtyPriceLegConfidence($B$6,G133),"-")</f>
        <v>-</v>
      </c>
      <c r="N133" s="32" t="str">
        <f ca="1">IF(B133,_xll.BookPricingOutput.DirtyPriceLeg($B$6,H133),"-")</f>
        <v>-</v>
      </c>
      <c r="O133" s="32" t="str">
        <f ca="1">IF(B133,_xll.BookPricingOutput.DirtyPriceLegConfidence($B$6,H133),"-")</f>
        <v>-</v>
      </c>
      <c r="P133" s="32" t="str">
        <f ca="1">IF(B133,_xll.BookPricingOutput.GetPricingTime($B$6,A133),"-")</f>
        <v>-</v>
      </c>
      <c r="Q133" t="str">
        <f ca="1">IF(B133,_xll.BookPricingOutput.GetStatus($B$6,A133),"-")</f>
        <v>-</v>
      </c>
    </row>
    <row r="134" spans="1:17" x14ac:dyDescent="0.35">
      <c r="A134" t="str">
        <f ca="1"/>
        <v/>
      </c>
      <c r="B134" t="b">
        <v>0</v>
      </c>
      <c r="C134" t="s">
        <v>276</v>
      </c>
      <c r="D134" t="s">
        <v>33</v>
      </c>
      <c r="E134" s="27" t="s">
        <v>291</v>
      </c>
      <c r="F134" s="27" t="b">
        <v>0</v>
      </c>
      <c r="G134" t="str">
        <f ca="1">IF(B134,_xll.BookPricingOutput.GetLeg1($B$6,A134),"-")</f>
        <v>-</v>
      </c>
      <c r="H134" t="str">
        <f ca="1">IF(B134,_xll.BookPricingOutput.GetLeg2($B$6,A134),"-")</f>
        <v>-</v>
      </c>
      <c r="I134" t="str">
        <f ca="1">IF(B134,_xll.BookPricingOutput.DirtyPrice($B$6,A134),"-")</f>
        <v>-</v>
      </c>
      <c r="J134" s="32" t="str">
        <f ca="1">IF(B134,_xll.BookPricingOutput.DirtyPriceConfidence($B$6,A134),"-")</f>
        <v>-</v>
      </c>
      <c r="K134" s="32" t="str">
        <f ca="1">IF(B134,_xll.BookPricingOutput.FairSpread($B$6,A134)*10000,"-")</f>
        <v>-</v>
      </c>
      <c r="L134" s="32" t="str">
        <f ca="1">IF(B134,_xll.BookPricingOutput.DirtyPriceLeg($B$6,G134),"-")</f>
        <v>-</v>
      </c>
      <c r="M134" s="32" t="str">
        <f ca="1">IF(B134,_xll.BookPricingOutput.DirtyPriceLegConfidence($B$6,G134),"-")</f>
        <v>-</v>
      </c>
      <c r="N134" s="32" t="str">
        <f ca="1">IF(B134,_xll.BookPricingOutput.DirtyPriceLeg($B$6,H134),"-")</f>
        <v>-</v>
      </c>
      <c r="O134" s="32" t="str">
        <f ca="1">IF(B134,_xll.BookPricingOutput.DirtyPriceLegConfidence($B$6,H134),"-")</f>
        <v>-</v>
      </c>
      <c r="P134" s="32" t="str">
        <f ca="1">IF(B134,_xll.BookPricingOutput.GetPricingTime($B$6,A134),"-")</f>
        <v>-</v>
      </c>
      <c r="Q134" t="str">
        <f ca="1">IF(B134,_xll.BookPricingOutput.GetStatus($B$6,A134),"-")</f>
        <v>-</v>
      </c>
    </row>
    <row r="135" spans="1:17" x14ac:dyDescent="0.35">
      <c r="A135" t="str">
        <f ca="1"/>
        <v/>
      </c>
      <c r="B135" t="b">
        <v>0</v>
      </c>
      <c r="C135" t="s">
        <v>276</v>
      </c>
      <c r="D135" t="s">
        <v>33</v>
      </c>
      <c r="E135" s="27" t="s">
        <v>291</v>
      </c>
      <c r="F135" s="27" t="b">
        <v>0</v>
      </c>
      <c r="G135" t="str">
        <f ca="1">IF(B135,_xll.BookPricingOutput.GetLeg1($B$6,A135),"-")</f>
        <v>-</v>
      </c>
      <c r="H135" t="str">
        <f ca="1">IF(B135,_xll.BookPricingOutput.GetLeg2($B$6,A135),"-")</f>
        <v>-</v>
      </c>
      <c r="I135" t="str">
        <f ca="1">IF(B135,_xll.BookPricingOutput.DirtyPrice($B$6,A135),"-")</f>
        <v>-</v>
      </c>
      <c r="J135" s="32" t="str">
        <f ca="1">IF(B135,_xll.BookPricingOutput.DirtyPriceConfidence($B$6,A135),"-")</f>
        <v>-</v>
      </c>
      <c r="K135" s="32" t="str">
        <f ca="1">IF(B135,_xll.BookPricingOutput.FairSpread($B$6,A135)*10000,"-")</f>
        <v>-</v>
      </c>
      <c r="L135" s="32" t="str">
        <f ca="1">IF(B135,_xll.BookPricingOutput.DirtyPriceLeg($B$6,G135),"-")</f>
        <v>-</v>
      </c>
      <c r="M135" s="32" t="str">
        <f ca="1">IF(B135,_xll.BookPricingOutput.DirtyPriceLegConfidence($B$6,G135),"-")</f>
        <v>-</v>
      </c>
      <c r="N135" s="32" t="str">
        <f ca="1">IF(B135,_xll.BookPricingOutput.DirtyPriceLeg($B$6,H135),"-")</f>
        <v>-</v>
      </c>
      <c r="O135" s="32" t="str">
        <f ca="1">IF(B135,_xll.BookPricingOutput.DirtyPriceLegConfidence($B$6,H135),"-")</f>
        <v>-</v>
      </c>
      <c r="P135" s="32" t="str">
        <f ca="1">IF(B135,_xll.BookPricingOutput.GetPricingTime($B$6,A135),"-")</f>
        <v>-</v>
      </c>
      <c r="Q135" t="str">
        <f ca="1">IF(B135,_xll.BookPricingOutput.GetStatus($B$6,A135),"-")</f>
        <v>-</v>
      </c>
    </row>
    <row r="136" spans="1:17" x14ac:dyDescent="0.35">
      <c r="A136" t="str">
        <f ca="1"/>
        <v/>
      </c>
      <c r="B136" t="b">
        <v>0</v>
      </c>
      <c r="C136" t="s">
        <v>276</v>
      </c>
      <c r="D136" t="s">
        <v>33</v>
      </c>
      <c r="E136" s="27" t="s">
        <v>291</v>
      </c>
      <c r="F136" s="27" t="b">
        <v>0</v>
      </c>
      <c r="G136" t="str">
        <f ca="1">IF(B136,_xll.BookPricingOutput.GetLeg1($B$6,A136),"-")</f>
        <v>-</v>
      </c>
      <c r="H136" t="str">
        <f ca="1">IF(B136,_xll.BookPricingOutput.GetLeg2($B$6,A136),"-")</f>
        <v>-</v>
      </c>
      <c r="I136" t="str">
        <f ca="1">IF(B136,_xll.BookPricingOutput.DirtyPrice($B$6,A136),"-")</f>
        <v>-</v>
      </c>
      <c r="J136" s="32" t="str">
        <f ca="1">IF(B136,_xll.BookPricingOutput.DirtyPriceConfidence($B$6,A136),"-")</f>
        <v>-</v>
      </c>
      <c r="K136" s="32" t="str">
        <f ca="1">IF(B136,_xll.BookPricingOutput.FairSpread($B$6,A136)*10000,"-")</f>
        <v>-</v>
      </c>
      <c r="L136" s="32" t="str">
        <f ca="1">IF(B136,_xll.BookPricingOutput.DirtyPriceLeg($B$6,G136),"-")</f>
        <v>-</v>
      </c>
      <c r="M136" s="32" t="str">
        <f ca="1">IF(B136,_xll.BookPricingOutput.DirtyPriceLegConfidence($B$6,G136),"-")</f>
        <v>-</v>
      </c>
      <c r="N136" s="32" t="str">
        <f ca="1">IF(B136,_xll.BookPricingOutput.DirtyPriceLeg($B$6,H136),"-")</f>
        <v>-</v>
      </c>
      <c r="O136" s="32" t="str">
        <f ca="1">IF(B136,_xll.BookPricingOutput.DirtyPriceLegConfidence($B$6,H136),"-")</f>
        <v>-</v>
      </c>
      <c r="P136" s="32" t="str">
        <f ca="1">IF(B136,_xll.BookPricingOutput.GetPricingTime($B$6,A136),"-")</f>
        <v>-</v>
      </c>
      <c r="Q136" t="str">
        <f ca="1">IF(B136,_xll.BookPricingOutput.GetStatus($B$6,A136),"-")</f>
        <v>-</v>
      </c>
    </row>
    <row r="137" spans="1:17" x14ac:dyDescent="0.35">
      <c r="A137" t="str">
        <f ca="1"/>
        <v/>
      </c>
      <c r="B137" t="b">
        <v>0</v>
      </c>
      <c r="C137" t="s">
        <v>276</v>
      </c>
      <c r="D137" t="s">
        <v>33</v>
      </c>
      <c r="E137" s="27" t="s">
        <v>291</v>
      </c>
      <c r="F137" s="27" t="b">
        <v>0</v>
      </c>
      <c r="G137" t="str">
        <f ca="1">IF(B137,_xll.BookPricingOutput.GetLeg1($B$6,A137),"-")</f>
        <v>-</v>
      </c>
      <c r="H137" t="str">
        <f ca="1">IF(B137,_xll.BookPricingOutput.GetLeg2($B$6,A137),"-")</f>
        <v>-</v>
      </c>
      <c r="I137" t="str">
        <f ca="1">IF(B137,_xll.BookPricingOutput.DirtyPrice($B$6,A137),"-")</f>
        <v>-</v>
      </c>
      <c r="J137" s="32" t="str">
        <f ca="1">IF(B137,_xll.BookPricingOutput.DirtyPriceConfidence($B$6,A137),"-")</f>
        <v>-</v>
      </c>
      <c r="K137" s="32" t="str">
        <f ca="1">IF(B137,_xll.BookPricingOutput.FairSpread($B$6,A137)*10000,"-")</f>
        <v>-</v>
      </c>
      <c r="L137" s="32" t="str">
        <f ca="1">IF(B137,_xll.BookPricingOutput.DirtyPriceLeg($B$6,G137),"-")</f>
        <v>-</v>
      </c>
      <c r="M137" s="32" t="str">
        <f ca="1">IF(B137,_xll.BookPricingOutput.DirtyPriceLegConfidence($B$6,G137),"-")</f>
        <v>-</v>
      </c>
      <c r="N137" s="32" t="str">
        <f ca="1">IF(B137,_xll.BookPricingOutput.DirtyPriceLeg($B$6,H137),"-")</f>
        <v>-</v>
      </c>
      <c r="O137" s="32" t="str">
        <f ca="1">IF(B137,_xll.BookPricingOutput.DirtyPriceLegConfidence($B$6,H137),"-")</f>
        <v>-</v>
      </c>
      <c r="P137" s="32" t="str">
        <f ca="1">IF(B137,_xll.BookPricingOutput.GetPricingTime($B$6,A137),"-")</f>
        <v>-</v>
      </c>
      <c r="Q137" t="str">
        <f ca="1">IF(B137,_xll.BookPricingOutput.GetStatus($B$6,A137),"-")</f>
        <v>-</v>
      </c>
    </row>
    <row r="138" spans="1:17" x14ac:dyDescent="0.35">
      <c r="A138" t="str">
        <f ca="1"/>
        <v/>
      </c>
      <c r="B138" t="b">
        <v>0</v>
      </c>
      <c r="C138" t="s">
        <v>276</v>
      </c>
      <c r="D138" t="s">
        <v>33</v>
      </c>
      <c r="E138" s="27" t="s">
        <v>291</v>
      </c>
      <c r="F138" s="27" t="b">
        <v>0</v>
      </c>
      <c r="G138" t="str">
        <f ca="1">IF(B138,_xll.BookPricingOutput.GetLeg1($B$6,A138),"-")</f>
        <v>-</v>
      </c>
      <c r="H138" t="str">
        <f ca="1">IF(B138,_xll.BookPricingOutput.GetLeg2($B$6,A138),"-")</f>
        <v>-</v>
      </c>
      <c r="I138" t="str">
        <f ca="1">IF(B138,_xll.BookPricingOutput.DirtyPrice($B$6,A138),"-")</f>
        <v>-</v>
      </c>
      <c r="J138" s="32" t="str">
        <f ca="1">IF(B138,_xll.BookPricingOutput.DirtyPriceConfidence($B$6,A138),"-")</f>
        <v>-</v>
      </c>
      <c r="K138" s="32" t="str">
        <f ca="1">IF(B138,_xll.BookPricingOutput.FairSpread($B$6,A138)*10000,"-")</f>
        <v>-</v>
      </c>
      <c r="L138" s="32" t="str">
        <f ca="1">IF(B138,_xll.BookPricingOutput.DirtyPriceLeg($B$6,G138),"-")</f>
        <v>-</v>
      </c>
      <c r="M138" s="32" t="str">
        <f ca="1">IF(B138,_xll.BookPricingOutput.DirtyPriceLegConfidence($B$6,G138),"-")</f>
        <v>-</v>
      </c>
      <c r="N138" s="32" t="str">
        <f ca="1">IF(B138,_xll.BookPricingOutput.DirtyPriceLeg($B$6,H138),"-")</f>
        <v>-</v>
      </c>
      <c r="O138" s="32" t="str">
        <f ca="1">IF(B138,_xll.BookPricingOutput.DirtyPriceLegConfidence($B$6,H138),"-")</f>
        <v>-</v>
      </c>
      <c r="P138" s="32" t="str">
        <f ca="1">IF(B138,_xll.BookPricingOutput.GetPricingTime($B$6,A138),"-")</f>
        <v>-</v>
      </c>
      <c r="Q138" t="str">
        <f ca="1">IF(B138,_xll.BookPricingOutput.GetStatus($B$6,A138),"-")</f>
        <v>-</v>
      </c>
    </row>
    <row r="139" spans="1:17" x14ac:dyDescent="0.35">
      <c r="A139" t="str">
        <f ca="1"/>
        <v/>
      </c>
      <c r="B139" t="b">
        <v>0</v>
      </c>
      <c r="C139" t="s">
        <v>276</v>
      </c>
      <c r="D139" t="s">
        <v>33</v>
      </c>
      <c r="E139" s="27" t="s">
        <v>291</v>
      </c>
      <c r="F139" s="27" t="b">
        <v>0</v>
      </c>
      <c r="G139" t="str">
        <f ca="1">IF(B139,_xll.BookPricingOutput.GetLeg1($B$6,A139),"-")</f>
        <v>-</v>
      </c>
      <c r="H139" t="str">
        <f ca="1">IF(B139,_xll.BookPricingOutput.GetLeg2($B$6,A139),"-")</f>
        <v>-</v>
      </c>
      <c r="I139" t="str">
        <f ca="1">IF(B139,_xll.BookPricingOutput.DirtyPrice($B$6,A139),"-")</f>
        <v>-</v>
      </c>
      <c r="J139" s="32" t="str">
        <f ca="1">IF(B139,_xll.BookPricingOutput.DirtyPriceConfidence($B$6,A139),"-")</f>
        <v>-</v>
      </c>
      <c r="K139" s="32" t="str">
        <f ca="1">IF(B139,_xll.BookPricingOutput.FairSpread($B$6,A139)*10000,"-")</f>
        <v>-</v>
      </c>
      <c r="L139" s="32" t="str">
        <f ca="1">IF(B139,_xll.BookPricingOutput.DirtyPriceLeg($B$6,G139),"-")</f>
        <v>-</v>
      </c>
      <c r="M139" s="32" t="str">
        <f ca="1">IF(B139,_xll.BookPricingOutput.DirtyPriceLegConfidence($B$6,G139),"-")</f>
        <v>-</v>
      </c>
      <c r="N139" s="32" t="str">
        <f ca="1">IF(B139,_xll.BookPricingOutput.DirtyPriceLeg($B$6,H139),"-")</f>
        <v>-</v>
      </c>
      <c r="O139" s="32" t="str">
        <f ca="1">IF(B139,_xll.BookPricingOutput.DirtyPriceLegConfidence($B$6,H139),"-")</f>
        <v>-</v>
      </c>
      <c r="P139" s="32" t="str">
        <f ca="1">IF(B139,_xll.BookPricingOutput.GetPricingTime($B$6,A139),"-")</f>
        <v>-</v>
      </c>
      <c r="Q139" t="str">
        <f ca="1">IF(B139,_xll.BookPricingOutput.GetStatus($B$6,A139),"-")</f>
        <v>-</v>
      </c>
    </row>
    <row r="140" spans="1:17" x14ac:dyDescent="0.35">
      <c r="A140" t="str">
        <f ca="1"/>
        <v/>
      </c>
      <c r="B140" t="b">
        <v>0</v>
      </c>
      <c r="C140" t="s">
        <v>276</v>
      </c>
      <c r="D140" t="s">
        <v>33</v>
      </c>
      <c r="E140" s="27" t="s">
        <v>291</v>
      </c>
      <c r="F140" s="27" t="b">
        <v>0</v>
      </c>
      <c r="G140" t="str">
        <f ca="1">IF(B140,_xll.BookPricingOutput.GetLeg1($B$6,A140),"-")</f>
        <v>-</v>
      </c>
      <c r="H140" t="str">
        <f ca="1">IF(B140,_xll.BookPricingOutput.GetLeg2($B$6,A140),"-")</f>
        <v>-</v>
      </c>
      <c r="I140" t="str">
        <f ca="1">IF(B140,_xll.BookPricingOutput.DirtyPrice($B$6,A140),"-")</f>
        <v>-</v>
      </c>
      <c r="J140" s="32" t="str">
        <f ca="1">IF(B140,_xll.BookPricingOutput.DirtyPriceConfidence($B$6,A140),"-")</f>
        <v>-</v>
      </c>
      <c r="K140" s="32" t="str">
        <f ca="1">IF(B140,_xll.BookPricingOutput.FairSpread($B$6,A140)*10000,"-")</f>
        <v>-</v>
      </c>
      <c r="L140" s="32" t="str">
        <f ca="1">IF(B140,_xll.BookPricingOutput.DirtyPriceLeg($B$6,G140),"-")</f>
        <v>-</v>
      </c>
      <c r="M140" s="32" t="str">
        <f ca="1">IF(B140,_xll.BookPricingOutput.DirtyPriceLegConfidence($B$6,G140),"-")</f>
        <v>-</v>
      </c>
      <c r="N140" s="32" t="str">
        <f ca="1">IF(B140,_xll.BookPricingOutput.DirtyPriceLeg($B$6,H140),"-")</f>
        <v>-</v>
      </c>
      <c r="O140" s="32" t="str">
        <f ca="1">IF(B140,_xll.BookPricingOutput.DirtyPriceLegConfidence($B$6,H140),"-")</f>
        <v>-</v>
      </c>
      <c r="P140" s="32" t="str">
        <f ca="1">IF(B140,_xll.BookPricingOutput.GetPricingTime($B$6,A140),"-")</f>
        <v>-</v>
      </c>
      <c r="Q140" t="str">
        <f ca="1">IF(B140,_xll.BookPricingOutput.GetStatus($B$6,A140),"-")</f>
        <v>-</v>
      </c>
    </row>
    <row r="141" spans="1:17" x14ac:dyDescent="0.35">
      <c r="A141" t="str">
        <f ca="1"/>
        <v/>
      </c>
      <c r="B141" t="b">
        <v>0</v>
      </c>
      <c r="C141" t="s">
        <v>276</v>
      </c>
      <c r="D141" t="s">
        <v>33</v>
      </c>
      <c r="E141" s="27" t="s">
        <v>291</v>
      </c>
      <c r="F141" s="27" t="b">
        <v>0</v>
      </c>
      <c r="G141" t="str">
        <f ca="1">IF(B141,_xll.BookPricingOutput.GetLeg1($B$6,A141),"-")</f>
        <v>-</v>
      </c>
      <c r="H141" t="str">
        <f ca="1">IF(B141,_xll.BookPricingOutput.GetLeg2($B$6,A141),"-")</f>
        <v>-</v>
      </c>
      <c r="I141" t="str">
        <f ca="1">IF(B141,_xll.BookPricingOutput.DirtyPrice($B$6,A141),"-")</f>
        <v>-</v>
      </c>
      <c r="J141" s="32" t="str">
        <f ca="1">IF(B141,_xll.BookPricingOutput.DirtyPriceConfidence($B$6,A141),"-")</f>
        <v>-</v>
      </c>
      <c r="K141" s="32" t="str">
        <f ca="1">IF(B141,_xll.BookPricingOutput.FairSpread($B$6,A141)*10000,"-")</f>
        <v>-</v>
      </c>
      <c r="L141" s="32" t="str">
        <f ca="1">IF(B141,_xll.BookPricingOutput.DirtyPriceLeg($B$6,G141),"-")</f>
        <v>-</v>
      </c>
      <c r="M141" s="32" t="str">
        <f ca="1">IF(B141,_xll.BookPricingOutput.DirtyPriceLegConfidence($B$6,G141),"-")</f>
        <v>-</v>
      </c>
      <c r="N141" s="32" t="str">
        <f ca="1">IF(B141,_xll.BookPricingOutput.DirtyPriceLeg($B$6,H141),"-")</f>
        <v>-</v>
      </c>
      <c r="O141" s="32" t="str">
        <f ca="1">IF(B141,_xll.BookPricingOutput.DirtyPriceLegConfidence($B$6,H141),"-")</f>
        <v>-</v>
      </c>
      <c r="P141" s="32" t="str">
        <f ca="1">IF(B141,_xll.BookPricingOutput.GetPricingTime($B$6,A141),"-")</f>
        <v>-</v>
      </c>
      <c r="Q141" t="str">
        <f ca="1">IF(B141,_xll.BookPricingOutput.GetStatus($B$6,A141),"-")</f>
        <v>-</v>
      </c>
    </row>
    <row r="142" spans="1:17" x14ac:dyDescent="0.35">
      <c r="A142" t="str">
        <f ca="1"/>
        <v/>
      </c>
      <c r="B142" t="b">
        <v>0</v>
      </c>
      <c r="C142" t="s">
        <v>276</v>
      </c>
      <c r="D142" t="s">
        <v>33</v>
      </c>
      <c r="E142" s="27" t="s">
        <v>291</v>
      </c>
      <c r="F142" s="27" t="b">
        <v>0</v>
      </c>
      <c r="G142" t="str">
        <f ca="1">IF(B142,_xll.BookPricingOutput.GetLeg1($B$6,A142),"-")</f>
        <v>-</v>
      </c>
      <c r="H142" t="str">
        <f ca="1">IF(B142,_xll.BookPricingOutput.GetLeg2($B$6,A142),"-")</f>
        <v>-</v>
      </c>
      <c r="I142" t="str">
        <f ca="1">IF(B142,_xll.BookPricingOutput.DirtyPrice($B$6,A142),"-")</f>
        <v>-</v>
      </c>
      <c r="J142" s="32" t="str">
        <f ca="1">IF(B142,_xll.BookPricingOutput.DirtyPriceConfidence($B$6,A142),"-")</f>
        <v>-</v>
      </c>
      <c r="K142" s="32" t="str">
        <f ca="1">IF(B142,_xll.BookPricingOutput.FairSpread($B$6,A142)*10000,"-")</f>
        <v>-</v>
      </c>
      <c r="L142" s="32" t="str">
        <f ca="1">IF(B142,_xll.BookPricingOutput.DirtyPriceLeg($B$6,G142),"-")</f>
        <v>-</v>
      </c>
      <c r="M142" s="32" t="str">
        <f ca="1">IF(B142,_xll.BookPricingOutput.DirtyPriceLegConfidence($B$6,G142),"-")</f>
        <v>-</v>
      </c>
      <c r="N142" s="32" t="str">
        <f ca="1">IF(B142,_xll.BookPricingOutput.DirtyPriceLeg($B$6,H142),"-")</f>
        <v>-</v>
      </c>
      <c r="O142" s="32" t="str">
        <f ca="1">IF(B142,_xll.BookPricingOutput.DirtyPriceLegConfidence($B$6,H142),"-")</f>
        <v>-</v>
      </c>
      <c r="P142" s="32" t="str">
        <f ca="1">IF(B142,_xll.BookPricingOutput.GetPricingTime($B$6,A142),"-")</f>
        <v>-</v>
      </c>
      <c r="Q142" t="str">
        <f ca="1">IF(B142,_xll.BookPricingOutput.GetStatus($B$6,A142),"-")</f>
        <v>-</v>
      </c>
    </row>
    <row r="143" spans="1:17" x14ac:dyDescent="0.35">
      <c r="A143" t="str">
        <f ca="1"/>
        <v/>
      </c>
      <c r="B143" t="b">
        <v>0</v>
      </c>
      <c r="C143" t="s">
        <v>276</v>
      </c>
      <c r="D143" t="s">
        <v>33</v>
      </c>
      <c r="E143" s="27" t="s">
        <v>291</v>
      </c>
      <c r="F143" s="27" t="b">
        <v>0</v>
      </c>
      <c r="G143" t="str">
        <f ca="1">IF(B143,_xll.BookPricingOutput.GetLeg1($B$6,A143),"-")</f>
        <v>-</v>
      </c>
      <c r="H143" t="str">
        <f ca="1">IF(B143,_xll.BookPricingOutput.GetLeg2($B$6,A143),"-")</f>
        <v>-</v>
      </c>
      <c r="I143" t="str">
        <f ca="1">IF(B143,_xll.BookPricingOutput.DirtyPrice($B$6,A143),"-")</f>
        <v>-</v>
      </c>
      <c r="J143" s="32" t="str">
        <f ca="1">IF(B143,_xll.BookPricingOutput.DirtyPriceConfidence($B$6,A143),"-")</f>
        <v>-</v>
      </c>
      <c r="K143" s="32" t="str">
        <f ca="1">IF(B143,_xll.BookPricingOutput.FairSpread($B$6,A143)*10000,"-")</f>
        <v>-</v>
      </c>
      <c r="L143" s="32" t="str">
        <f ca="1">IF(B143,_xll.BookPricingOutput.DirtyPriceLeg($B$6,G143),"-")</f>
        <v>-</v>
      </c>
      <c r="M143" s="32" t="str">
        <f ca="1">IF(B143,_xll.BookPricingOutput.DirtyPriceLegConfidence($B$6,G143),"-")</f>
        <v>-</v>
      </c>
      <c r="N143" s="32" t="str">
        <f ca="1">IF(B143,_xll.BookPricingOutput.DirtyPriceLeg($B$6,H143),"-")</f>
        <v>-</v>
      </c>
      <c r="O143" s="32" t="str">
        <f ca="1">IF(B143,_xll.BookPricingOutput.DirtyPriceLegConfidence($B$6,H143),"-")</f>
        <v>-</v>
      </c>
      <c r="P143" s="32" t="str">
        <f ca="1">IF(B143,_xll.BookPricingOutput.GetPricingTime($B$6,A143),"-")</f>
        <v>-</v>
      </c>
      <c r="Q143" t="str">
        <f ca="1">IF(B143,_xll.BookPricingOutput.GetStatus($B$6,A143),"-")</f>
        <v>-</v>
      </c>
    </row>
    <row r="144" spans="1:17" x14ac:dyDescent="0.35">
      <c r="A144" t="str">
        <f ca="1"/>
        <v/>
      </c>
      <c r="B144" t="b">
        <v>0</v>
      </c>
      <c r="C144" t="s">
        <v>276</v>
      </c>
      <c r="D144" t="s">
        <v>33</v>
      </c>
      <c r="E144" s="27" t="s">
        <v>291</v>
      </c>
      <c r="F144" s="27" t="b">
        <v>0</v>
      </c>
      <c r="G144" t="str">
        <f ca="1">IF(B144,_xll.BookPricingOutput.GetLeg1($B$6,A144),"-")</f>
        <v>-</v>
      </c>
      <c r="H144" t="str">
        <f ca="1">IF(B144,_xll.BookPricingOutput.GetLeg2($B$6,A144),"-")</f>
        <v>-</v>
      </c>
      <c r="I144" t="str">
        <f ca="1">IF(B144,_xll.BookPricingOutput.DirtyPrice($B$6,A144),"-")</f>
        <v>-</v>
      </c>
      <c r="J144" s="32" t="str">
        <f ca="1">IF(B144,_xll.BookPricingOutput.DirtyPriceConfidence($B$6,A144),"-")</f>
        <v>-</v>
      </c>
      <c r="K144" s="32" t="str">
        <f ca="1">IF(B144,_xll.BookPricingOutput.FairSpread($B$6,A144)*10000,"-")</f>
        <v>-</v>
      </c>
      <c r="L144" s="32" t="str">
        <f ca="1">IF(B144,_xll.BookPricingOutput.DirtyPriceLeg($B$6,G144),"-")</f>
        <v>-</v>
      </c>
      <c r="M144" s="32" t="str">
        <f ca="1">IF(B144,_xll.BookPricingOutput.DirtyPriceLegConfidence($B$6,G144),"-")</f>
        <v>-</v>
      </c>
      <c r="N144" s="32" t="str">
        <f ca="1">IF(B144,_xll.BookPricingOutput.DirtyPriceLeg($B$6,H144),"-")</f>
        <v>-</v>
      </c>
      <c r="O144" s="32" t="str">
        <f ca="1">IF(B144,_xll.BookPricingOutput.DirtyPriceLegConfidence($B$6,H144),"-")</f>
        <v>-</v>
      </c>
      <c r="P144" s="32" t="str">
        <f ca="1">IF(B144,_xll.BookPricingOutput.GetPricingTime($B$6,A144),"-")</f>
        <v>-</v>
      </c>
      <c r="Q144" t="str">
        <f ca="1">IF(B144,_xll.BookPricingOutput.GetStatus($B$6,A144),"-")</f>
        <v>-</v>
      </c>
    </row>
    <row r="145" spans="1:17" x14ac:dyDescent="0.35">
      <c r="A145" t="str">
        <f ca="1"/>
        <v/>
      </c>
      <c r="B145" t="b">
        <v>0</v>
      </c>
      <c r="C145" t="s">
        <v>276</v>
      </c>
      <c r="D145" t="s">
        <v>33</v>
      </c>
      <c r="E145" s="27" t="s">
        <v>291</v>
      </c>
      <c r="F145" s="27" t="b">
        <v>0</v>
      </c>
      <c r="G145" t="str">
        <f ca="1">IF(B145,_xll.BookPricingOutput.GetLeg1($B$6,A145),"-")</f>
        <v>-</v>
      </c>
      <c r="H145" t="str">
        <f ca="1">IF(B145,_xll.BookPricingOutput.GetLeg2($B$6,A145),"-")</f>
        <v>-</v>
      </c>
      <c r="I145" t="str">
        <f ca="1">IF(B145,_xll.BookPricingOutput.DirtyPrice($B$6,A145),"-")</f>
        <v>-</v>
      </c>
      <c r="J145" s="32" t="str">
        <f ca="1">IF(B145,_xll.BookPricingOutput.DirtyPriceConfidence($B$6,A145),"-")</f>
        <v>-</v>
      </c>
      <c r="K145" s="32" t="str">
        <f ca="1">IF(B145,_xll.BookPricingOutput.FairSpread($B$6,A145)*10000,"-")</f>
        <v>-</v>
      </c>
      <c r="L145" s="32" t="str">
        <f ca="1">IF(B145,_xll.BookPricingOutput.DirtyPriceLeg($B$6,G145),"-")</f>
        <v>-</v>
      </c>
      <c r="M145" s="32" t="str">
        <f ca="1">IF(B145,_xll.BookPricingOutput.DirtyPriceLegConfidence($B$6,G145),"-")</f>
        <v>-</v>
      </c>
      <c r="N145" s="32" t="str">
        <f ca="1">IF(B145,_xll.BookPricingOutput.DirtyPriceLeg($B$6,H145),"-")</f>
        <v>-</v>
      </c>
      <c r="O145" s="32" t="str">
        <f ca="1">IF(B145,_xll.BookPricingOutput.DirtyPriceLegConfidence($B$6,H145),"-")</f>
        <v>-</v>
      </c>
      <c r="P145" s="32" t="str">
        <f ca="1">IF(B145,_xll.BookPricingOutput.GetPricingTime($B$6,A145),"-")</f>
        <v>-</v>
      </c>
      <c r="Q145" t="str">
        <f ca="1">IF(B145,_xll.BookPricingOutput.GetStatus($B$6,A145),"-")</f>
        <v>-</v>
      </c>
    </row>
    <row r="146" spans="1:17" x14ac:dyDescent="0.35">
      <c r="A146" t="str">
        <f ca="1"/>
        <v/>
      </c>
      <c r="B146" t="b">
        <v>0</v>
      </c>
      <c r="C146" t="s">
        <v>276</v>
      </c>
      <c r="D146" t="s">
        <v>33</v>
      </c>
      <c r="E146" s="27" t="s">
        <v>291</v>
      </c>
      <c r="F146" s="27" t="b">
        <v>0</v>
      </c>
      <c r="G146" t="str">
        <f ca="1">IF(B146,_xll.BookPricingOutput.GetLeg1($B$6,A146),"-")</f>
        <v>-</v>
      </c>
      <c r="H146" t="str">
        <f ca="1">IF(B146,_xll.BookPricingOutput.GetLeg2($B$6,A146),"-")</f>
        <v>-</v>
      </c>
      <c r="I146" t="str">
        <f ca="1">IF(B146,_xll.BookPricingOutput.DirtyPrice($B$6,A146),"-")</f>
        <v>-</v>
      </c>
      <c r="J146" s="32" t="str">
        <f ca="1">IF(B146,_xll.BookPricingOutput.DirtyPriceConfidence($B$6,A146),"-")</f>
        <v>-</v>
      </c>
      <c r="K146" s="32" t="str">
        <f ca="1">IF(B146,_xll.BookPricingOutput.FairSpread($B$6,A146)*10000,"-")</f>
        <v>-</v>
      </c>
      <c r="L146" s="32" t="str">
        <f ca="1">IF(B146,_xll.BookPricingOutput.DirtyPriceLeg($B$6,G146),"-")</f>
        <v>-</v>
      </c>
      <c r="M146" s="32" t="str">
        <f ca="1">IF(B146,_xll.BookPricingOutput.DirtyPriceLegConfidence($B$6,G146),"-")</f>
        <v>-</v>
      </c>
      <c r="N146" s="32" t="str">
        <f ca="1">IF(B146,_xll.BookPricingOutput.DirtyPriceLeg($B$6,H146),"-")</f>
        <v>-</v>
      </c>
      <c r="O146" s="32" t="str">
        <f ca="1">IF(B146,_xll.BookPricingOutput.DirtyPriceLegConfidence($B$6,H146),"-")</f>
        <v>-</v>
      </c>
      <c r="P146" s="32" t="str">
        <f ca="1">IF(B146,_xll.BookPricingOutput.GetPricingTime($B$6,A146),"-")</f>
        <v>-</v>
      </c>
      <c r="Q146" t="str">
        <f ca="1">IF(B146,_xll.BookPricingOutput.GetStatus($B$6,A146),"-")</f>
        <v>-</v>
      </c>
    </row>
    <row r="147" spans="1:17" x14ac:dyDescent="0.35">
      <c r="A147" t="str">
        <f ca="1"/>
        <v/>
      </c>
      <c r="B147" t="b">
        <v>0</v>
      </c>
      <c r="C147" t="s">
        <v>276</v>
      </c>
      <c r="D147" t="s">
        <v>33</v>
      </c>
      <c r="E147" s="27" t="s">
        <v>291</v>
      </c>
      <c r="F147" s="27" t="b">
        <v>0</v>
      </c>
      <c r="G147" t="str">
        <f ca="1">IF(B147,_xll.BookPricingOutput.GetLeg1($B$6,A147),"-")</f>
        <v>-</v>
      </c>
      <c r="H147" t="str">
        <f ca="1">IF(B147,_xll.BookPricingOutput.GetLeg2($B$6,A147),"-")</f>
        <v>-</v>
      </c>
      <c r="I147" t="str">
        <f ca="1">IF(B147,_xll.BookPricingOutput.DirtyPrice($B$6,A147),"-")</f>
        <v>-</v>
      </c>
      <c r="J147" s="32" t="str">
        <f ca="1">IF(B147,_xll.BookPricingOutput.DirtyPriceConfidence($B$6,A147),"-")</f>
        <v>-</v>
      </c>
      <c r="K147" s="32" t="str">
        <f ca="1">IF(B147,_xll.BookPricingOutput.FairSpread($B$6,A147)*10000,"-")</f>
        <v>-</v>
      </c>
      <c r="L147" s="32" t="str">
        <f ca="1">IF(B147,_xll.BookPricingOutput.DirtyPriceLeg($B$6,G147),"-")</f>
        <v>-</v>
      </c>
      <c r="M147" s="32" t="str">
        <f ca="1">IF(B147,_xll.BookPricingOutput.DirtyPriceLegConfidence($B$6,G147),"-")</f>
        <v>-</v>
      </c>
      <c r="N147" s="32" t="str">
        <f ca="1">IF(B147,_xll.BookPricingOutput.DirtyPriceLeg($B$6,H147),"-")</f>
        <v>-</v>
      </c>
      <c r="O147" s="32" t="str">
        <f ca="1">IF(B147,_xll.BookPricingOutput.DirtyPriceLegConfidence($B$6,H147),"-")</f>
        <v>-</v>
      </c>
      <c r="P147" s="32" t="str">
        <f ca="1">IF(B147,_xll.BookPricingOutput.GetPricingTime($B$6,A147),"-")</f>
        <v>-</v>
      </c>
      <c r="Q147" t="str">
        <f ca="1">IF(B147,_xll.BookPricingOutput.GetStatus($B$6,A147),"-")</f>
        <v>-</v>
      </c>
    </row>
    <row r="148" spans="1:17" x14ac:dyDescent="0.35">
      <c r="A148" t="str">
        <f ca="1"/>
        <v/>
      </c>
      <c r="B148" t="b">
        <v>0</v>
      </c>
      <c r="C148" t="s">
        <v>276</v>
      </c>
      <c r="D148" t="s">
        <v>33</v>
      </c>
      <c r="E148" s="27" t="s">
        <v>291</v>
      </c>
      <c r="F148" s="27" t="b">
        <v>0</v>
      </c>
      <c r="G148" t="str">
        <f ca="1">IF(B148,_xll.BookPricingOutput.GetLeg1($B$6,A148),"-")</f>
        <v>-</v>
      </c>
      <c r="H148" t="str">
        <f ca="1">IF(B148,_xll.BookPricingOutput.GetLeg2($B$6,A148),"-")</f>
        <v>-</v>
      </c>
      <c r="I148" t="str">
        <f ca="1">IF(B148,_xll.BookPricingOutput.DirtyPrice($B$6,A148),"-")</f>
        <v>-</v>
      </c>
      <c r="J148" s="32" t="str">
        <f ca="1">IF(B148,_xll.BookPricingOutput.DirtyPriceConfidence($B$6,A148),"-")</f>
        <v>-</v>
      </c>
      <c r="K148" s="32" t="str">
        <f ca="1">IF(B148,_xll.BookPricingOutput.FairSpread($B$6,A148)*10000,"-")</f>
        <v>-</v>
      </c>
      <c r="L148" s="32" t="str">
        <f ca="1">IF(B148,_xll.BookPricingOutput.DirtyPriceLeg($B$6,G148),"-")</f>
        <v>-</v>
      </c>
      <c r="M148" s="32" t="str">
        <f ca="1">IF(B148,_xll.BookPricingOutput.DirtyPriceLegConfidence($B$6,G148),"-")</f>
        <v>-</v>
      </c>
      <c r="N148" s="32" t="str">
        <f ca="1">IF(B148,_xll.BookPricingOutput.DirtyPriceLeg($B$6,H148),"-")</f>
        <v>-</v>
      </c>
      <c r="O148" s="32" t="str">
        <f ca="1">IF(B148,_xll.BookPricingOutput.DirtyPriceLegConfidence($B$6,H148),"-")</f>
        <v>-</v>
      </c>
      <c r="P148" s="32" t="str">
        <f ca="1">IF(B148,_xll.BookPricingOutput.GetPricingTime($B$6,A148),"-")</f>
        <v>-</v>
      </c>
      <c r="Q148" t="str">
        <f ca="1">IF(B148,_xll.BookPricingOutput.GetStatus($B$6,A148),"-")</f>
        <v>-</v>
      </c>
    </row>
    <row r="149" spans="1:17" x14ac:dyDescent="0.35">
      <c r="A149" t="str">
        <f ca="1"/>
        <v/>
      </c>
      <c r="B149" t="b">
        <v>0</v>
      </c>
      <c r="C149" t="s">
        <v>276</v>
      </c>
      <c r="D149" t="s">
        <v>33</v>
      </c>
      <c r="E149" s="27" t="s">
        <v>291</v>
      </c>
      <c r="F149" s="27" t="b">
        <v>0</v>
      </c>
      <c r="G149" t="str">
        <f ca="1">IF(B149,_xll.BookPricingOutput.GetLeg1($B$6,A149),"-")</f>
        <v>-</v>
      </c>
      <c r="H149" t="str">
        <f ca="1">IF(B149,_xll.BookPricingOutput.GetLeg2($B$6,A149),"-")</f>
        <v>-</v>
      </c>
      <c r="I149" t="str">
        <f ca="1">IF(B149,_xll.BookPricingOutput.DirtyPrice($B$6,A149),"-")</f>
        <v>-</v>
      </c>
      <c r="J149" s="32" t="str">
        <f ca="1">IF(B149,_xll.BookPricingOutput.DirtyPriceConfidence($B$6,A149),"-")</f>
        <v>-</v>
      </c>
      <c r="K149" s="32" t="str">
        <f ca="1">IF(B149,_xll.BookPricingOutput.FairSpread($B$6,A149)*10000,"-")</f>
        <v>-</v>
      </c>
      <c r="L149" s="32" t="str">
        <f ca="1">IF(B149,_xll.BookPricingOutput.DirtyPriceLeg($B$6,G149),"-")</f>
        <v>-</v>
      </c>
      <c r="M149" s="32" t="str">
        <f ca="1">IF(B149,_xll.BookPricingOutput.DirtyPriceLegConfidence($B$6,G149),"-")</f>
        <v>-</v>
      </c>
      <c r="N149" s="32" t="str">
        <f ca="1">IF(B149,_xll.BookPricingOutput.DirtyPriceLeg($B$6,H149),"-")</f>
        <v>-</v>
      </c>
      <c r="O149" s="32" t="str">
        <f ca="1">IF(B149,_xll.BookPricingOutput.DirtyPriceLegConfidence($B$6,H149),"-")</f>
        <v>-</v>
      </c>
      <c r="P149" s="32" t="str">
        <f ca="1">IF(B149,_xll.BookPricingOutput.GetPricingTime($B$6,A149),"-")</f>
        <v>-</v>
      </c>
      <c r="Q149" t="str">
        <f ca="1">IF(B149,_xll.BookPricingOutput.GetStatus($B$6,A149),"-")</f>
        <v>-</v>
      </c>
    </row>
    <row r="150" spans="1:17" x14ac:dyDescent="0.35">
      <c r="A150" t="str">
        <f ca="1"/>
        <v/>
      </c>
      <c r="B150" t="b">
        <v>0</v>
      </c>
      <c r="C150" t="s">
        <v>276</v>
      </c>
      <c r="D150" t="s">
        <v>33</v>
      </c>
      <c r="E150" s="27" t="s">
        <v>291</v>
      </c>
      <c r="F150" s="27" t="b">
        <v>0</v>
      </c>
      <c r="G150" t="str">
        <f ca="1">IF(B150,_xll.BookPricingOutput.GetLeg1($B$6,A150),"-")</f>
        <v>-</v>
      </c>
      <c r="H150" t="str">
        <f ca="1">IF(B150,_xll.BookPricingOutput.GetLeg2($B$6,A150),"-")</f>
        <v>-</v>
      </c>
      <c r="I150" t="str">
        <f ca="1">IF(B150,_xll.BookPricingOutput.DirtyPrice($B$6,A150),"-")</f>
        <v>-</v>
      </c>
      <c r="J150" s="32" t="str">
        <f ca="1">IF(B150,_xll.BookPricingOutput.DirtyPriceConfidence($B$6,A150),"-")</f>
        <v>-</v>
      </c>
      <c r="K150" s="32" t="str">
        <f ca="1">IF(B150,_xll.BookPricingOutput.FairSpread($B$6,A150)*10000,"-")</f>
        <v>-</v>
      </c>
      <c r="L150" s="32" t="str">
        <f ca="1">IF(B150,_xll.BookPricingOutput.DirtyPriceLeg($B$6,G150),"-")</f>
        <v>-</v>
      </c>
      <c r="M150" s="32" t="str">
        <f ca="1">IF(B150,_xll.BookPricingOutput.DirtyPriceLegConfidence($B$6,G150),"-")</f>
        <v>-</v>
      </c>
      <c r="N150" s="32" t="str">
        <f ca="1">IF(B150,_xll.BookPricingOutput.DirtyPriceLeg($B$6,H150),"-")</f>
        <v>-</v>
      </c>
      <c r="O150" s="32" t="str">
        <f ca="1">IF(B150,_xll.BookPricingOutput.DirtyPriceLegConfidence($B$6,H150),"-")</f>
        <v>-</v>
      </c>
      <c r="P150" s="32" t="str">
        <f ca="1">IF(B150,_xll.BookPricingOutput.GetPricingTime($B$6,A150),"-")</f>
        <v>-</v>
      </c>
      <c r="Q150" t="str">
        <f ca="1">IF(B150,_xll.BookPricingOutput.GetStatus($B$6,A150),"-")</f>
        <v>-</v>
      </c>
    </row>
    <row r="151" spans="1:17" x14ac:dyDescent="0.35">
      <c r="A151" t="str">
        <f ca="1"/>
        <v/>
      </c>
      <c r="B151" t="b">
        <v>0</v>
      </c>
      <c r="C151" t="s">
        <v>276</v>
      </c>
      <c r="D151" t="s">
        <v>33</v>
      </c>
      <c r="E151" s="27" t="s">
        <v>291</v>
      </c>
      <c r="F151" s="27" t="b">
        <v>0</v>
      </c>
      <c r="G151" t="str">
        <f ca="1">IF(B151,_xll.BookPricingOutput.GetLeg1($B$6,A151),"-")</f>
        <v>-</v>
      </c>
      <c r="H151" t="str">
        <f ca="1">IF(B151,_xll.BookPricingOutput.GetLeg2($B$6,A151),"-")</f>
        <v>-</v>
      </c>
      <c r="I151" t="str">
        <f ca="1">IF(B151,_xll.BookPricingOutput.DirtyPrice($B$6,A151),"-")</f>
        <v>-</v>
      </c>
      <c r="J151" s="32" t="str">
        <f ca="1">IF(B151,_xll.BookPricingOutput.DirtyPriceConfidence($B$6,A151),"-")</f>
        <v>-</v>
      </c>
      <c r="K151" s="32" t="str">
        <f ca="1">IF(B151,_xll.BookPricingOutput.FairSpread($B$6,A151)*10000,"-")</f>
        <v>-</v>
      </c>
      <c r="L151" s="32" t="str">
        <f ca="1">IF(B151,_xll.BookPricingOutput.DirtyPriceLeg($B$6,G151),"-")</f>
        <v>-</v>
      </c>
      <c r="M151" s="32" t="str">
        <f ca="1">IF(B151,_xll.BookPricingOutput.DirtyPriceLegConfidence($B$6,G151),"-")</f>
        <v>-</v>
      </c>
      <c r="N151" s="32" t="str">
        <f ca="1">IF(B151,_xll.BookPricingOutput.DirtyPriceLeg($B$6,H151),"-")</f>
        <v>-</v>
      </c>
      <c r="O151" s="32" t="str">
        <f ca="1">IF(B151,_xll.BookPricingOutput.DirtyPriceLegConfidence($B$6,H151),"-")</f>
        <v>-</v>
      </c>
      <c r="P151" s="32" t="str">
        <f ca="1">IF(B151,_xll.BookPricingOutput.GetPricingTime($B$6,A151),"-")</f>
        <v>-</v>
      </c>
      <c r="Q151" t="str">
        <f ca="1">IF(B151,_xll.BookPricingOutput.GetStatus($B$6,A151),"-")</f>
        <v>-</v>
      </c>
    </row>
    <row r="152" spans="1:17" x14ac:dyDescent="0.35">
      <c r="A152" t="str">
        <f ca="1"/>
        <v/>
      </c>
      <c r="B152" t="b">
        <v>0</v>
      </c>
      <c r="C152" t="s">
        <v>276</v>
      </c>
      <c r="D152" t="s">
        <v>33</v>
      </c>
      <c r="E152" s="27" t="s">
        <v>291</v>
      </c>
      <c r="F152" s="27" t="b">
        <v>0</v>
      </c>
      <c r="G152" t="str">
        <f ca="1">IF(B152,_xll.BookPricingOutput.GetLeg1($B$6,A152),"-")</f>
        <v>-</v>
      </c>
      <c r="H152" t="str">
        <f ca="1">IF(B152,_xll.BookPricingOutput.GetLeg2($B$6,A152),"-")</f>
        <v>-</v>
      </c>
      <c r="I152" t="str">
        <f ca="1">IF(B152,_xll.BookPricingOutput.DirtyPrice($B$6,A152),"-")</f>
        <v>-</v>
      </c>
      <c r="J152" s="32" t="str">
        <f ca="1">IF(B152,_xll.BookPricingOutput.DirtyPriceConfidence($B$6,A152),"-")</f>
        <v>-</v>
      </c>
      <c r="K152" s="32" t="str">
        <f ca="1">IF(B152,_xll.BookPricingOutput.FairSpread($B$6,A152)*10000,"-")</f>
        <v>-</v>
      </c>
      <c r="L152" s="32" t="str">
        <f ca="1">IF(B152,_xll.BookPricingOutput.DirtyPriceLeg($B$6,G152),"-")</f>
        <v>-</v>
      </c>
      <c r="M152" s="32" t="str">
        <f ca="1">IF(B152,_xll.BookPricingOutput.DirtyPriceLegConfidence($B$6,G152),"-")</f>
        <v>-</v>
      </c>
      <c r="N152" s="32" t="str">
        <f ca="1">IF(B152,_xll.BookPricingOutput.DirtyPriceLeg($B$6,H152),"-")</f>
        <v>-</v>
      </c>
      <c r="O152" s="32" t="str">
        <f ca="1">IF(B152,_xll.BookPricingOutput.DirtyPriceLegConfidence($B$6,H152),"-")</f>
        <v>-</v>
      </c>
      <c r="P152" s="32" t="str">
        <f ca="1">IF(B152,_xll.BookPricingOutput.GetPricingTime($B$6,A152),"-")</f>
        <v>-</v>
      </c>
      <c r="Q152" t="str">
        <f ca="1">IF(B152,_xll.BookPricingOutput.GetStatus($B$6,A152),"-")</f>
        <v>-</v>
      </c>
    </row>
    <row r="153" spans="1:17" x14ac:dyDescent="0.35">
      <c r="A153" t="str">
        <f ca="1"/>
        <v/>
      </c>
      <c r="B153" t="b">
        <v>0</v>
      </c>
      <c r="C153" t="s">
        <v>276</v>
      </c>
      <c r="D153" t="s">
        <v>33</v>
      </c>
      <c r="E153" s="27" t="s">
        <v>291</v>
      </c>
      <c r="F153" s="27" t="b">
        <v>0</v>
      </c>
      <c r="G153" t="str">
        <f ca="1">IF(B153,_xll.BookPricingOutput.GetLeg1($B$6,A153),"-")</f>
        <v>-</v>
      </c>
      <c r="H153" t="str">
        <f ca="1">IF(B153,_xll.BookPricingOutput.GetLeg2($B$6,A153),"-")</f>
        <v>-</v>
      </c>
      <c r="I153" t="str">
        <f ca="1">IF(B153,_xll.BookPricingOutput.DirtyPrice($B$6,A153),"-")</f>
        <v>-</v>
      </c>
      <c r="J153" s="32" t="str">
        <f ca="1">IF(B153,_xll.BookPricingOutput.DirtyPriceConfidence($B$6,A153),"-")</f>
        <v>-</v>
      </c>
      <c r="K153" s="32" t="str">
        <f ca="1">IF(B153,_xll.BookPricingOutput.FairSpread($B$6,A153)*10000,"-")</f>
        <v>-</v>
      </c>
      <c r="L153" s="32" t="str">
        <f ca="1">IF(B153,_xll.BookPricingOutput.DirtyPriceLeg($B$6,G153),"-")</f>
        <v>-</v>
      </c>
      <c r="M153" s="32" t="str">
        <f ca="1">IF(B153,_xll.BookPricingOutput.DirtyPriceLegConfidence($B$6,G153),"-")</f>
        <v>-</v>
      </c>
      <c r="N153" s="32" t="str">
        <f ca="1">IF(B153,_xll.BookPricingOutput.DirtyPriceLeg($B$6,H153),"-")</f>
        <v>-</v>
      </c>
      <c r="O153" s="32" t="str">
        <f ca="1">IF(B153,_xll.BookPricingOutput.DirtyPriceLegConfidence($B$6,H153),"-")</f>
        <v>-</v>
      </c>
      <c r="P153" s="32" t="str">
        <f ca="1">IF(B153,_xll.BookPricingOutput.GetPricingTime($B$6,A153),"-")</f>
        <v>-</v>
      </c>
      <c r="Q153" t="str">
        <f ca="1">IF(B153,_xll.BookPricingOutput.GetStatus($B$6,A153),"-")</f>
        <v>-</v>
      </c>
    </row>
    <row r="154" spans="1:17" x14ac:dyDescent="0.35">
      <c r="A154" t="str">
        <f ca="1"/>
        <v/>
      </c>
      <c r="B154" t="b">
        <v>0</v>
      </c>
      <c r="C154" t="s">
        <v>276</v>
      </c>
      <c r="D154" t="s">
        <v>33</v>
      </c>
      <c r="E154" s="27" t="s">
        <v>291</v>
      </c>
      <c r="F154" s="27" t="b">
        <v>0</v>
      </c>
      <c r="G154" t="str">
        <f ca="1">IF(B154,_xll.BookPricingOutput.GetLeg1($B$6,A154),"-")</f>
        <v>-</v>
      </c>
      <c r="H154" t="str">
        <f ca="1">IF(B154,_xll.BookPricingOutput.GetLeg2($B$6,A154),"-")</f>
        <v>-</v>
      </c>
      <c r="I154" t="str">
        <f ca="1">IF(B154,_xll.BookPricingOutput.DirtyPrice($B$6,A154),"-")</f>
        <v>-</v>
      </c>
      <c r="J154" s="32" t="str">
        <f ca="1">IF(B154,_xll.BookPricingOutput.DirtyPriceConfidence($B$6,A154),"-")</f>
        <v>-</v>
      </c>
      <c r="K154" s="32" t="str">
        <f ca="1">IF(B154,_xll.BookPricingOutput.FairSpread($B$6,A154)*10000,"-")</f>
        <v>-</v>
      </c>
      <c r="L154" s="32" t="str">
        <f ca="1">IF(B154,_xll.BookPricingOutput.DirtyPriceLeg($B$6,G154),"-")</f>
        <v>-</v>
      </c>
      <c r="M154" s="32" t="str">
        <f ca="1">IF(B154,_xll.BookPricingOutput.DirtyPriceLegConfidence($B$6,G154),"-")</f>
        <v>-</v>
      </c>
      <c r="N154" s="32" t="str">
        <f ca="1">IF(B154,_xll.BookPricingOutput.DirtyPriceLeg($B$6,H154),"-")</f>
        <v>-</v>
      </c>
      <c r="O154" s="32" t="str">
        <f ca="1">IF(B154,_xll.BookPricingOutput.DirtyPriceLegConfidence($B$6,H154),"-")</f>
        <v>-</v>
      </c>
      <c r="P154" s="32" t="str">
        <f ca="1">IF(B154,_xll.BookPricingOutput.GetPricingTime($B$6,A154),"-")</f>
        <v>-</v>
      </c>
      <c r="Q154" t="str">
        <f ca="1">IF(B154,_xll.BookPricingOutput.GetStatus($B$6,A154),"-")</f>
        <v>-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60"/>
  <sheetViews>
    <sheetView workbookViewId="0">
      <selection sqref="A1:XFD1048576"/>
    </sheetView>
  </sheetViews>
  <sheetFormatPr defaultRowHeight="14.5" x14ac:dyDescent="0.35"/>
  <cols>
    <col min="1" max="1" width="14.90625" bestFit="1" customWidth="1"/>
    <col min="2" max="2" width="21.90625" bestFit="1" customWidth="1"/>
    <col min="3" max="3" width="19" bestFit="1" customWidth="1"/>
    <col min="4" max="4" width="19" customWidth="1"/>
    <col min="5" max="5" width="13.26953125" bestFit="1" customWidth="1"/>
    <col min="6" max="6" width="17.1796875" bestFit="1" customWidth="1"/>
    <col min="7" max="7" width="13" bestFit="1" customWidth="1"/>
    <col min="8" max="8" width="27" bestFit="1" customWidth="1"/>
    <col min="9" max="9" width="23.54296875" bestFit="1" customWidth="1"/>
    <col min="10" max="10" width="10.90625" bestFit="1" customWidth="1"/>
  </cols>
  <sheetData>
    <row r="1" spans="1:10" ht="15" thickBot="1" x14ac:dyDescent="0.4">
      <c r="A1" s="15" t="s">
        <v>269</v>
      </c>
      <c r="B1" s="15" t="s">
        <v>270</v>
      </c>
      <c r="C1" s="15" t="s">
        <v>271</v>
      </c>
      <c r="D1" s="15" t="s">
        <v>274</v>
      </c>
      <c r="E1" s="15" t="s">
        <v>272</v>
      </c>
      <c r="F1" s="15" t="s">
        <v>273</v>
      </c>
      <c r="G1" s="15" t="s">
        <v>262</v>
      </c>
      <c r="H1" s="15" t="s">
        <v>263</v>
      </c>
      <c r="I1" s="9" t="s">
        <v>275</v>
      </c>
      <c r="J1" s="15" t="s">
        <v>308</v>
      </c>
    </row>
    <row r="2" spans="1:10" x14ac:dyDescent="0.35">
      <c r="A2" s="18" t="str">
        <f ca="1">_xll.Codings.BusinessCenters()</f>
        <v>OBJ_50448563</v>
      </c>
      <c r="B2" s="18" t="str">
        <f ca="1">_xll.Codings.BusinessDayConventions()</f>
        <v>OBJ_51383888</v>
      </c>
      <c r="C2" s="18" t="str">
        <f ca="1">_xll.Codings.RollConventions()</f>
        <v>OBJ_59801811</v>
      </c>
      <c r="D2" s="18" t="str">
        <f ca="1">_xll.Codings.StubPeriodType()</f>
        <v>OBJ_1345389</v>
      </c>
      <c r="E2" s="18" t="str">
        <f ca="1">_xll.Codings.DayCountConventions()</f>
        <v>OBJ_12108503</v>
      </c>
      <c r="F2" s="18" t="str">
        <f ca="1">_xll.Codings.CompoundingRateType()</f>
        <v>OBJ_41867666</v>
      </c>
      <c r="G2" s="18" t="str">
        <f ca="1">_xll.Codings.QuoteBumpType()</f>
        <v>OBJ_41264680</v>
      </c>
      <c r="H2" s="18" t="str">
        <f ca="1">_xll.Codings.BumpSheetSetType()</f>
        <v>OBJ_35837800</v>
      </c>
      <c r="I2" s="18" t="str">
        <f ca="1">_xll.Codings.InstrumentType()</f>
        <v>OBJ_54104749</v>
      </c>
      <c r="J2" s="18" t="str">
        <f ca="1">_xll.Codings.ResetType()</f>
        <v>OBJ_17180694</v>
      </c>
    </row>
    <row r="3" spans="1:10" x14ac:dyDescent="0.35">
      <c r="A3" t="str">
        <f t="array" aca="1" ref="A3:A33" ca="1">_xll.Array.FillExpand(A2)</f>
        <v>NONE</v>
      </c>
      <c r="B3" t="str">
        <f t="array" aca="1" ref="B3:B21" ca="1">_xll.Array.FillExpand(B2)</f>
        <v>FOLLOWING</v>
      </c>
      <c r="C3" t="str">
        <f t="array" aca="1" ref="C3:C60" ca="1">_xll.Array.FillExpand(C2)</f>
        <v>EOM</v>
      </c>
      <c r="D3" t="str">
        <f t="array" aca="1" ref="D3:D11" ca="1">_xll.Array.FillExpand(D2)</f>
        <v>ShortInitial</v>
      </c>
      <c r="E3" t="str">
        <f t="array" aca="1" ref="E3:E59" ca="1">_xll.Array.FillExpand(E2)</f>
        <v>REF</v>
      </c>
      <c r="F3" t="str">
        <f t="array" aca="1" ref="F3:F9" ca="1">_xll.Array.FillExpand(F2)</f>
        <v>Annually</v>
      </c>
      <c r="G3" t="str">
        <f t="array" aca="1" ref="G3:G6" ca="1">_xll.Array.FillExpand(G2)</f>
        <v>Absolute</v>
      </c>
      <c r="H3" t="str">
        <f t="array" aca="1" ref="H3:H13" ca="1">_xll.Array.FillExpand(H2)</f>
        <v>BumpSheetBase</v>
      </c>
      <c r="I3" t="str">
        <f t="array" aca="1" ref="I3:I26" ca="1">_xll.Array.FillExpand(I2)</f>
        <v>DividendEstimate</v>
      </c>
      <c r="J3" t="str">
        <f t="array" aca="1" ref="J3:J8" ca="1">_xll.Array.FillExpand(J2)</f>
        <v>Notional</v>
      </c>
    </row>
    <row r="4" spans="1:10" x14ac:dyDescent="0.35">
      <c r="A4" t="str">
        <f ca="1"/>
        <v>WEND</v>
      </c>
      <c r="B4" t="str">
        <f ca="1"/>
        <v>MODFOLLOWING</v>
      </c>
      <c r="C4" t="str">
        <f ca="1"/>
        <v>FRN</v>
      </c>
      <c r="D4" t="str">
        <f ca="1"/>
        <v>ShortFinal</v>
      </c>
      <c r="E4" t="str">
        <f ca="1"/>
        <v>1/1</v>
      </c>
      <c r="F4" t="str">
        <f ca="1"/>
        <v>SemiAnnually</v>
      </c>
      <c r="G4" t="str">
        <f ca="1"/>
        <v>Relative</v>
      </c>
      <c r="H4" t="str">
        <f ca="1"/>
        <v>FullTenorBump`1</v>
      </c>
      <c r="I4" t="str">
        <f ca="1"/>
        <v>RepoRate</v>
      </c>
      <c r="J4" t="str">
        <f ca="1"/>
        <v>Price</v>
      </c>
    </row>
    <row r="5" spans="1:10" x14ac:dyDescent="0.35">
      <c r="A5" t="str">
        <f ca="1"/>
        <v>AUSY</v>
      </c>
      <c r="B5" t="str">
        <f ca="1"/>
        <v>PRECEDING</v>
      </c>
      <c r="C5" t="str">
        <f ca="1"/>
        <v>IMM</v>
      </c>
      <c r="D5" t="str">
        <f ca="1"/>
        <v>LongInitial</v>
      </c>
      <c r="E5" t="str">
        <f ca="1"/>
        <v>30/360</v>
      </c>
      <c r="F5" t="str">
        <f ca="1"/>
        <v>Quarterly</v>
      </c>
      <c r="G5" t="str">
        <f ca="1"/>
        <v/>
      </c>
      <c r="H5" t="str">
        <f ca="1"/>
        <v>FullPillarAndUnderlyingBump`1</v>
      </c>
      <c r="I5" t="str">
        <f ca="1"/>
        <v>Security</v>
      </c>
      <c r="J5" t="str">
        <f ca="1"/>
        <v/>
      </c>
    </row>
    <row r="6" spans="1:10" x14ac:dyDescent="0.35">
      <c r="A6" t="str">
        <f ca="1"/>
        <v>CAMO</v>
      </c>
      <c r="B6" t="str">
        <f ca="1"/>
        <v>MODPRECEDING</v>
      </c>
      <c r="C6" t="str">
        <f ca="1"/>
        <v>IMMCAD</v>
      </c>
      <c r="D6" t="str">
        <f ca="1"/>
        <v>LongFinal</v>
      </c>
      <c r="E6" t="str">
        <f ca="1"/>
        <v>30E/360</v>
      </c>
      <c r="F6" t="str">
        <f ca="1"/>
        <v>Monthly</v>
      </c>
      <c r="G6" t="str">
        <f ca="1"/>
        <v/>
      </c>
      <c r="H6" t="str">
        <f ca="1"/>
        <v>FullPillarBump`1</v>
      </c>
      <c r="I6" t="str">
        <f ca="1"/>
        <v>SingleNameSecurity</v>
      </c>
      <c r="J6" t="str">
        <f ca="1"/>
        <v/>
      </c>
    </row>
    <row r="7" spans="1:10" x14ac:dyDescent="0.35">
      <c r="A7" t="str">
        <f ca="1"/>
        <v>CATO</v>
      </c>
      <c r="B7" t="str">
        <f ca="1"/>
        <v>NONE</v>
      </c>
      <c r="C7" t="str">
        <f ca="1"/>
        <v>SFE</v>
      </c>
      <c r="D7" t="str">
        <f ca="1"/>
        <v>None</v>
      </c>
      <c r="E7" t="str">
        <f ca="1"/>
        <v>ACT/360</v>
      </c>
      <c r="F7" t="str">
        <f ca="1"/>
        <v>Continuously</v>
      </c>
      <c r="H7" t="str">
        <f ca="1"/>
        <v>SinglePillarBump`1</v>
      </c>
      <c r="I7" t="str">
        <f ca="1"/>
        <v>CurrencyPairSecurity</v>
      </c>
      <c r="J7" t="str">
        <f ca="1"/>
        <v/>
      </c>
    </row>
    <row r="8" spans="1:10" x14ac:dyDescent="0.35">
      <c r="A8" t="str">
        <f ca="1"/>
        <v>CHZU</v>
      </c>
      <c r="B8" t="str">
        <f ca="1"/>
        <v>FRN</v>
      </c>
      <c r="C8" t="str">
        <f ca="1"/>
        <v>NONE</v>
      </c>
      <c r="D8" t="str">
        <f ca="1"/>
        <v/>
      </c>
      <c r="E8" t="str">
        <f ca="1"/>
        <v>ACT/365.FIXED</v>
      </c>
      <c r="F8" t="str">
        <f ca="1"/>
        <v>Simply</v>
      </c>
      <c r="H8" t="str">
        <f ca="1"/>
        <v>FlatBump`1</v>
      </c>
      <c r="I8" t="str">
        <f ca="1"/>
        <v>AllIn</v>
      </c>
      <c r="J8" t="str">
        <f ca="1"/>
        <v/>
      </c>
    </row>
    <row r="9" spans="1:10" x14ac:dyDescent="0.35">
      <c r="A9" t="str">
        <f ca="1"/>
        <v>DEFR</v>
      </c>
      <c r="B9" t="str">
        <f ca="1"/>
        <v/>
      </c>
      <c r="C9" t="str">
        <f ca="1"/>
        <v>TBILL</v>
      </c>
      <c r="D9" t="str">
        <f ca="1"/>
        <v/>
      </c>
      <c r="E9" t="str">
        <f ca="1"/>
        <v>ACT/ACT.AFB</v>
      </c>
      <c r="F9" t="str">
        <f ca="1"/>
        <v/>
      </c>
      <c r="H9" t="str">
        <f ca="1"/>
        <v>BasketBump</v>
      </c>
      <c r="I9" t="str">
        <f ca="1"/>
        <v>DividendCoarse</v>
      </c>
    </row>
    <row r="10" spans="1:10" x14ac:dyDescent="0.35">
      <c r="A10" t="str">
        <f ca="1"/>
        <v>EUTA</v>
      </c>
      <c r="B10" t="str">
        <f ca="1"/>
        <v/>
      </c>
      <c r="C10" t="str">
        <f ca="1"/>
        <v>1</v>
      </c>
      <c r="D10" t="str">
        <f ca="1"/>
        <v/>
      </c>
      <c r="E10" t="str">
        <f ca="1"/>
        <v>ACT/ACT.ISDA</v>
      </c>
      <c r="H10" t="str">
        <f ca="1"/>
        <v/>
      </c>
      <c r="I10" t="str">
        <f ca="1"/>
        <v>AllInCoarse</v>
      </c>
    </row>
    <row r="11" spans="1:10" x14ac:dyDescent="0.35">
      <c r="A11" t="str">
        <f ca="1"/>
        <v>FIHE</v>
      </c>
      <c r="B11" t="str">
        <f ca="1"/>
        <v/>
      </c>
      <c r="C11" t="str">
        <f ca="1"/>
        <v>2</v>
      </c>
      <c r="D11" t="str">
        <f ca="1"/>
        <v/>
      </c>
      <c r="E11" t="str">
        <f ca="1"/>
        <v>ACT/ACT.ISMA</v>
      </c>
      <c r="H11" t="str">
        <f ca="1"/>
        <v/>
      </c>
      <c r="I11" t="str">
        <f ca="1"/>
        <v>CCBasisSwapQuote</v>
      </c>
    </row>
    <row r="12" spans="1:10" x14ac:dyDescent="0.35">
      <c r="A12" t="str">
        <f ca="1"/>
        <v>FRPA</v>
      </c>
      <c r="B12" t="str">
        <f ca="1"/>
        <v/>
      </c>
      <c r="C12" t="str">
        <f ca="1"/>
        <v>3</v>
      </c>
      <c r="E12" t="str">
        <f ca="1"/>
        <v>30U/360</v>
      </c>
      <c r="H12" t="str">
        <f ca="1"/>
        <v/>
      </c>
      <c r="I12" t="str">
        <f ca="1"/>
        <v>DepositQuote</v>
      </c>
    </row>
    <row r="13" spans="1:10" x14ac:dyDescent="0.35">
      <c r="A13" t="str">
        <f ca="1"/>
        <v>GBLO</v>
      </c>
      <c r="B13" t="str">
        <f ca="1"/>
        <v/>
      </c>
      <c r="C13" t="str">
        <f ca="1"/>
        <v>4</v>
      </c>
      <c r="E13" t="str">
        <f ca="1"/>
        <v>30Ep/360</v>
      </c>
      <c r="H13" t="str">
        <f ca="1"/>
        <v/>
      </c>
      <c r="I13" t="str">
        <f ca="1"/>
        <v>FraQuote</v>
      </c>
    </row>
    <row r="14" spans="1:10" x14ac:dyDescent="0.35">
      <c r="A14" t="str">
        <f ca="1"/>
        <v>HUBU</v>
      </c>
      <c r="B14" t="str">
        <f ca="1"/>
        <v/>
      </c>
      <c r="C14" t="str">
        <f ca="1"/>
        <v>5</v>
      </c>
      <c r="E14" t="str">
        <f ca="1"/>
        <v>BUSINESS/252</v>
      </c>
      <c r="I14" t="str">
        <f ca="1"/>
        <v>FutureQuote</v>
      </c>
    </row>
    <row r="15" spans="1:10" x14ac:dyDescent="0.35">
      <c r="A15" t="str">
        <f ca="1"/>
        <v>ITMI</v>
      </c>
      <c r="B15" t="str">
        <f ca="1"/>
        <v/>
      </c>
      <c r="C15" t="str">
        <f ca="1"/>
        <v>6</v>
      </c>
      <c r="E15" t="str">
        <f ca="1"/>
        <v/>
      </c>
      <c r="I15" t="str">
        <f ca="1"/>
        <v>OvernightIndexSwapQuote</v>
      </c>
    </row>
    <row r="16" spans="1:10" x14ac:dyDescent="0.35">
      <c r="A16" t="str">
        <f ca="1"/>
        <v>JPTO</v>
      </c>
      <c r="B16" t="str">
        <f ca="1"/>
        <v/>
      </c>
      <c r="C16" t="str">
        <f ca="1"/>
        <v>7</v>
      </c>
      <c r="E16" t="str">
        <f ca="1"/>
        <v/>
      </c>
      <c r="I16" t="str">
        <f ca="1"/>
        <v>RateLeg</v>
      </c>
    </row>
    <row r="17" spans="1:9" x14ac:dyDescent="0.35">
      <c r="A17" t="str">
        <f ca="1"/>
        <v>NOOS</v>
      </c>
      <c r="B17" t="str">
        <f ca="1"/>
        <v/>
      </c>
      <c r="C17" t="str">
        <f ca="1"/>
        <v>8</v>
      </c>
      <c r="E17" t="str">
        <f ca="1"/>
        <v/>
      </c>
      <c r="I17" t="str">
        <f ca="1"/>
        <v>SCBasisSwapQuote</v>
      </c>
    </row>
    <row r="18" spans="1:9" x14ac:dyDescent="0.35">
      <c r="A18" t="str">
        <f ca="1"/>
        <v>NZWE</v>
      </c>
      <c r="B18" t="str">
        <f ca="1"/>
        <v/>
      </c>
      <c r="C18" t="str">
        <f ca="1"/>
        <v>9</v>
      </c>
      <c r="E18" t="str">
        <f ca="1"/>
        <v/>
      </c>
      <c r="I18" t="str">
        <f ca="1"/>
        <v>SwapQuote</v>
      </c>
    </row>
    <row r="19" spans="1:9" x14ac:dyDescent="0.35">
      <c r="A19" t="str">
        <f ca="1"/>
        <v>PLWA</v>
      </c>
      <c r="B19" t="str">
        <f ca="1"/>
        <v/>
      </c>
      <c r="C19" t="str">
        <f ca="1"/>
        <v>10</v>
      </c>
      <c r="E19" t="str">
        <f ca="1"/>
        <v/>
      </c>
      <c r="I19" t="str">
        <f ca="1"/>
        <v>ZeroCouponPriceQuote</v>
      </c>
    </row>
    <row r="20" spans="1:9" x14ac:dyDescent="0.35">
      <c r="A20" t="str">
        <f ca="1"/>
        <v>SEST</v>
      </c>
      <c r="B20" t="str">
        <f ca="1"/>
        <v/>
      </c>
      <c r="C20" t="str">
        <f ca="1"/>
        <v>11</v>
      </c>
      <c r="E20" t="str">
        <f ca="1"/>
        <v/>
      </c>
      <c r="I20" t="str">
        <f ca="1"/>
        <v>ZeroCouponRateQuote</v>
      </c>
    </row>
    <row r="21" spans="1:9" x14ac:dyDescent="0.35">
      <c r="A21" t="str">
        <f ca="1"/>
        <v>USNY</v>
      </c>
      <c r="B21" t="str">
        <f ca="1"/>
        <v/>
      </c>
      <c r="C21" t="str">
        <f ca="1"/>
        <v>12</v>
      </c>
      <c r="E21" t="str">
        <f ca="1"/>
        <v/>
      </c>
      <c r="I21" t="str">
        <f ca="1"/>
        <v/>
      </c>
    </row>
    <row r="22" spans="1:9" x14ac:dyDescent="0.35">
      <c r="A22" t="str">
        <f ca="1"/>
        <v>ZAJO</v>
      </c>
      <c r="C22" t="str">
        <f ca="1"/>
        <v>13</v>
      </c>
      <c r="E22" t="str">
        <f ca="1"/>
        <v/>
      </c>
      <c r="I22" t="str">
        <f ca="1"/>
        <v/>
      </c>
    </row>
    <row r="23" spans="1:9" x14ac:dyDescent="0.35">
      <c r="A23" t="str">
        <f ca="1"/>
        <v/>
      </c>
      <c r="C23" t="str">
        <f ca="1"/>
        <v>14</v>
      </c>
      <c r="E23" t="str">
        <f ca="1"/>
        <v/>
      </c>
      <c r="I23" t="str">
        <f ca="1"/>
        <v/>
      </c>
    </row>
    <row r="24" spans="1:9" x14ac:dyDescent="0.35">
      <c r="A24" t="str">
        <f ca="1"/>
        <v/>
      </c>
      <c r="C24" t="str">
        <f ca="1"/>
        <v>15</v>
      </c>
      <c r="E24" t="str">
        <f ca="1"/>
        <v/>
      </c>
      <c r="I24" t="str">
        <f ca="1"/>
        <v/>
      </c>
    </row>
    <row r="25" spans="1:9" x14ac:dyDescent="0.35">
      <c r="A25" t="str">
        <f ca="1"/>
        <v/>
      </c>
      <c r="C25" t="str">
        <f ca="1"/>
        <v>16</v>
      </c>
      <c r="E25" t="str">
        <f ca="1"/>
        <v/>
      </c>
      <c r="I25" t="str">
        <f ca="1"/>
        <v/>
      </c>
    </row>
    <row r="26" spans="1:9" x14ac:dyDescent="0.35">
      <c r="A26" t="str">
        <f ca="1"/>
        <v/>
      </c>
      <c r="C26" t="str">
        <f ca="1"/>
        <v>17</v>
      </c>
      <c r="E26" t="str">
        <f ca="1"/>
        <v/>
      </c>
      <c r="I26" t="str">
        <f ca="1"/>
        <v/>
      </c>
    </row>
    <row r="27" spans="1:9" x14ac:dyDescent="0.35">
      <c r="A27" t="str">
        <f ca="1"/>
        <v/>
      </c>
      <c r="C27" t="str">
        <f ca="1"/>
        <v>18</v>
      </c>
      <c r="E27" t="str">
        <f ca="1"/>
        <v/>
      </c>
    </row>
    <row r="28" spans="1:9" x14ac:dyDescent="0.35">
      <c r="A28" t="str">
        <f ca="1"/>
        <v/>
      </c>
      <c r="C28" t="str">
        <f ca="1"/>
        <v>19</v>
      </c>
      <c r="E28" t="str">
        <f ca="1"/>
        <v/>
      </c>
    </row>
    <row r="29" spans="1:9" x14ac:dyDescent="0.35">
      <c r="A29" t="str">
        <f ca="1"/>
        <v/>
      </c>
      <c r="C29" t="str">
        <f ca="1"/>
        <v>20</v>
      </c>
      <c r="E29" t="str">
        <f ca="1"/>
        <v/>
      </c>
    </row>
    <row r="30" spans="1:9" x14ac:dyDescent="0.35">
      <c r="A30" t="str">
        <f ca="1"/>
        <v/>
      </c>
      <c r="C30" t="str">
        <f ca="1"/>
        <v>21</v>
      </c>
      <c r="E30" t="str">
        <f ca="1"/>
        <v/>
      </c>
    </row>
    <row r="31" spans="1:9" x14ac:dyDescent="0.35">
      <c r="A31" t="str">
        <f ca="1"/>
        <v/>
      </c>
      <c r="C31" t="str">
        <f ca="1"/>
        <v>22</v>
      </c>
      <c r="E31" t="str">
        <f ca="1"/>
        <v/>
      </c>
    </row>
    <row r="32" spans="1:9" x14ac:dyDescent="0.35">
      <c r="A32" t="str">
        <f ca="1"/>
        <v/>
      </c>
      <c r="C32" t="str">
        <f ca="1"/>
        <v>23</v>
      </c>
      <c r="E32" t="str">
        <f ca="1"/>
        <v/>
      </c>
    </row>
    <row r="33" spans="1:5" x14ac:dyDescent="0.35">
      <c r="A33" t="str">
        <f ca="1"/>
        <v/>
      </c>
      <c r="C33" t="str">
        <f ca="1"/>
        <v>24</v>
      </c>
      <c r="E33" t="str">
        <f ca="1"/>
        <v/>
      </c>
    </row>
    <row r="34" spans="1:5" x14ac:dyDescent="0.35">
      <c r="C34" t="str">
        <f ca="1"/>
        <v>25</v>
      </c>
      <c r="E34" t="str">
        <f ca="1"/>
        <v/>
      </c>
    </row>
    <row r="35" spans="1:5" x14ac:dyDescent="0.35">
      <c r="C35" t="str">
        <f ca="1"/>
        <v>26</v>
      </c>
      <c r="E35" t="str">
        <f ca="1"/>
        <v/>
      </c>
    </row>
    <row r="36" spans="1:5" x14ac:dyDescent="0.35">
      <c r="C36" t="str">
        <f ca="1"/>
        <v>27</v>
      </c>
      <c r="E36" t="str">
        <f ca="1"/>
        <v/>
      </c>
    </row>
    <row r="37" spans="1:5" x14ac:dyDescent="0.35">
      <c r="C37" t="str">
        <f ca="1"/>
        <v>28</v>
      </c>
      <c r="E37" t="str">
        <f ca="1"/>
        <v/>
      </c>
    </row>
    <row r="38" spans="1:5" x14ac:dyDescent="0.35">
      <c r="C38" t="str">
        <f ca="1"/>
        <v>29</v>
      </c>
      <c r="E38" t="str">
        <f ca="1"/>
        <v/>
      </c>
    </row>
    <row r="39" spans="1:5" x14ac:dyDescent="0.35">
      <c r="C39" t="str">
        <f ca="1"/>
        <v>30</v>
      </c>
      <c r="E39" t="str">
        <f ca="1"/>
        <v/>
      </c>
    </row>
    <row r="40" spans="1:5" x14ac:dyDescent="0.35">
      <c r="C40" t="str">
        <f ca="1"/>
        <v>MON</v>
      </c>
      <c r="E40" t="str">
        <f ca="1"/>
        <v/>
      </c>
    </row>
    <row r="41" spans="1:5" x14ac:dyDescent="0.35">
      <c r="C41" t="str">
        <f ca="1"/>
        <v>TUE</v>
      </c>
      <c r="E41" t="str">
        <f ca="1"/>
        <v/>
      </c>
    </row>
    <row r="42" spans="1:5" x14ac:dyDescent="0.35">
      <c r="C42" t="str">
        <f ca="1"/>
        <v>WED</v>
      </c>
      <c r="E42" t="str">
        <f ca="1"/>
        <v/>
      </c>
    </row>
    <row r="43" spans="1:5" x14ac:dyDescent="0.35">
      <c r="C43" t="str">
        <f ca="1"/>
        <v>THU</v>
      </c>
      <c r="E43" t="str">
        <f ca="1"/>
        <v/>
      </c>
    </row>
    <row r="44" spans="1:5" x14ac:dyDescent="0.35">
      <c r="C44" t="str">
        <f ca="1"/>
        <v>FRI</v>
      </c>
      <c r="E44" t="str">
        <f ca="1"/>
        <v/>
      </c>
    </row>
    <row r="45" spans="1:5" x14ac:dyDescent="0.35">
      <c r="C45" t="str">
        <f ca="1"/>
        <v>SAT</v>
      </c>
      <c r="E45" t="str">
        <f ca="1"/>
        <v/>
      </c>
    </row>
    <row r="46" spans="1:5" x14ac:dyDescent="0.35">
      <c r="C46" t="str">
        <f ca="1"/>
        <v>SUN</v>
      </c>
      <c r="E46" t="str">
        <f ca="1"/>
        <v/>
      </c>
    </row>
    <row r="47" spans="1:5" x14ac:dyDescent="0.35">
      <c r="C47" t="str">
        <f ca="1"/>
        <v>IMMTwentyQuarterly</v>
      </c>
      <c r="E47" t="str">
        <f ca="1"/>
        <v/>
      </c>
    </row>
    <row r="48" spans="1:5" x14ac:dyDescent="0.35">
      <c r="C48" t="str">
        <f ca="1"/>
        <v>IMMCDS</v>
      </c>
      <c r="E48" t="str">
        <f ca="1"/>
        <v/>
      </c>
    </row>
    <row r="49" spans="3:5" x14ac:dyDescent="0.35">
      <c r="C49" t="str">
        <f ca="1"/>
        <v>IMMCDSSA</v>
      </c>
      <c r="E49" t="str">
        <f ca="1"/>
        <v/>
      </c>
    </row>
    <row r="50" spans="3:5" x14ac:dyDescent="0.35">
      <c r="C50" t="str">
        <f ca="1"/>
        <v/>
      </c>
      <c r="E50" t="str">
        <f ca="1"/>
        <v/>
      </c>
    </row>
    <row r="51" spans="3:5" x14ac:dyDescent="0.35">
      <c r="C51" t="str">
        <f ca="1"/>
        <v/>
      </c>
      <c r="E51" t="str">
        <f ca="1"/>
        <v/>
      </c>
    </row>
    <row r="52" spans="3:5" x14ac:dyDescent="0.35">
      <c r="C52" t="str">
        <f ca="1"/>
        <v/>
      </c>
      <c r="E52" t="str">
        <f ca="1"/>
        <v/>
      </c>
    </row>
    <row r="53" spans="3:5" x14ac:dyDescent="0.35">
      <c r="C53" t="str">
        <f ca="1"/>
        <v/>
      </c>
      <c r="E53" t="str">
        <f ca="1"/>
        <v/>
      </c>
    </row>
    <row r="54" spans="3:5" x14ac:dyDescent="0.35">
      <c r="C54" t="str">
        <f ca="1"/>
        <v/>
      </c>
      <c r="E54" t="str">
        <f ca="1"/>
        <v/>
      </c>
    </row>
    <row r="55" spans="3:5" x14ac:dyDescent="0.35">
      <c r="C55" t="str">
        <f ca="1"/>
        <v/>
      </c>
      <c r="E55" t="str">
        <f ca="1"/>
        <v/>
      </c>
    </row>
    <row r="56" spans="3:5" x14ac:dyDescent="0.35">
      <c r="C56" t="str">
        <f ca="1"/>
        <v/>
      </c>
      <c r="E56" t="str">
        <f ca="1"/>
        <v/>
      </c>
    </row>
    <row r="57" spans="3:5" x14ac:dyDescent="0.35">
      <c r="C57" t="str">
        <f ca="1"/>
        <v/>
      </c>
      <c r="E57" t="str">
        <f ca="1"/>
        <v/>
      </c>
    </row>
    <row r="58" spans="3:5" x14ac:dyDescent="0.35">
      <c r="C58" t="str">
        <f ca="1"/>
        <v/>
      </c>
      <c r="E58" t="str">
        <f ca="1"/>
        <v/>
      </c>
    </row>
    <row r="59" spans="3:5" x14ac:dyDescent="0.35">
      <c r="C59" t="str">
        <f ca="1"/>
        <v/>
      </c>
      <c r="E59" t="str">
        <f ca="1"/>
        <v/>
      </c>
    </row>
    <row r="60" spans="3:5" x14ac:dyDescent="0.35">
      <c r="C60" t="str">
        <f ca="1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H2961"/>
  <sheetViews>
    <sheetView workbookViewId="0">
      <selection sqref="A1:XFD1048576"/>
    </sheetView>
  </sheetViews>
  <sheetFormatPr defaultRowHeight="14.5" x14ac:dyDescent="0.35"/>
  <cols>
    <col min="1" max="1" width="17.7265625" bestFit="1" customWidth="1"/>
    <col min="2" max="2" width="16.1796875" bestFit="1" customWidth="1"/>
    <col min="3" max="3" width="51.453125" bestFit="1" customWidth="1"/>
    <col min="4" max="4" width="11.7265625" bestFit="1" customWidth="1"/>
    <col min="5" max="5" width="35.453125" bestFit="1" customWidth="1"/>
    <col min="6" max="6" width="4.7265625" bestFit="1" customWidth="1"/>
    <col min="7" max="7" width="7.81640625" bestFit="1" customWidth="1"/>
    <col min="8" max="8" width="12.7265625" bestFit="1" customWidth="1"/>
  </cols>
  <sheetData>
    <row r="1" spans="1:8" x14ac:dyDescent="0.35">
      <c r="A1" s="15" t="s">
        <v>163</v>
      </c>
      <c r="B1">
        <f ca="1">_xll.ObjectHandler.Count()</f>
        <v>205</v>
      </c>
    </row>
    <row r="2" spans="1:8" x14ac:dyDescent="0.35">
      <c r="A2" s="15" t="s">
        <v>164</v>
      </c>
      <c r="B2" s="18" t="str">
        <f ca="1">_xll.ObjectHandler.RegistredObjects()</f>
        <v>OBJ_49459013</v>
      </c>
    </row>
    <row r="3" spans="1:8" x14ac:dyDescent="0.35">
      <c r="B3" s="14" t="str">
        <f t="array" aca="1" ref="B3:H2071" ca="1">_xll.Array.FillExpand(B2)</f>
        <v>Id</v>
      </c>
      <c r="C3" s="14" t="str">
        <f ca="1"/>
        <v>Type</v>
      </c>
      <c r="D3" s="14" t="str">
        <f ca="1"/>
        <v>HashCode</v>
      </c>
      <c r="E3" s="14" t="str">
        <f ca="1"/>
        <v>Spreadsheet</v>
      </c>
      <c r="F3" s="14" t="str">
        <f ca="1"/>
        <v>Raw</v>
      </c>
      <c r="G3" s="14" t="str">
        <f ca="1"/>
        <v>Column</v>
      </c>
      <c r="H3" s="14" t="str">
        <f ca="1"/>
        <v>TimeStamp</v>
      </c>
    </row>
    <row r="4" spans="1:8" x14ac:dyDescent="0.35">
      <c r="B4" t="str">
        <f ca="1"/>
        <v>OBJ_33752906</v>
      </c>
      <c r="C4" t="str">
        <f ca="1"/>
        <v>Zeliade.Finance.Common.Calibration.DataQuoteSheet</v>
      </c>
      <c r="D4">
        <f ca="1"/>
        <v>33752906</v>
      </c>
      <c r="E4" t="str">
        <f ca="1"/>
        <v>[AldrinAnalyticsBenchmark.xlsm]Forex</v>
      </c>
      <c r="F4">
        <f ca="1"/>
        <v>0</v>
      </c>
      <c r="G4">
        <f ca="1"/>
        <v>1</v>
      </c>
      <c r="H4" s="17">
        <f ca="1"/>
        <v>44057.665348657407</v>
      </c>
    </row>
    <row r="5" spans="1:8" x14ac:dyDescent="0.35">
      <c r="B5" t="str">
        <f ca="1"/>
        <v>OBJ_-1056869436</v>
      </c>
      <c r="C5" t="str">
        <f ca="1"/>
        <v>AldrinAnalytics.Instruments.SingleNameTicker</v>
      </c>
      <c r="D5">
        <f ca="1"/>
        <v>-1056869436</v>
      </c>
      <c r="E5" t="str">
        <f ca="1"/>
        <v>[AldrinAnalyticsBenchmark.xlsm]Single Names</v>
      </c>
      <c r="F5">
        <f ca="1"/>
        <v>4</v>
      </c>
      <c r="G5">
        <f ca="1"/>
        <v>8</v>
      </c>
      <c r="H5" s="17">
        <f ca="1"/>
        <v>44057.665348750001</v>
      </c>
    </row>
    <row r="6" spans="1:8" x14ac:dyDescent="0.35">
      <c r="B6" t="str">
        <f ca="1"/>
        <v>OBJ_18990045</v>
      </c>
      <c r="C6" t="str">
        <f ca="1"/>
        <v>AldrinAnalytics.Calibration.SingleNameSecurity</v>
      </c>
      <c r="D6">
        <f ca="1"/>
        <v>18990045</v>
      </c>
      <c r="E6" t="str">
        <f ca="1"/>
        <v>[AldrinAnalyticsBenchmark.xlsm]Single Names</v>
      </c>
      <c r="F6">
        <f ca="1"/>
        <v>23</v>
      </c>
      <c r="G6">
        <f ca="1"/>
        <v>9</v>
      </c>
      <c r="H6" s="17">
        <f ca="1"/>
        <v>44057.665348831018</v>
      </c>
    </row>
    <row r="7" spans="1:8" x14ac:dyDescent="0.35">
      <c r="B7" t="str">
        <f ca="1"/>
        <v>OBJ_7997767</v>
      </c>
      <c r="C7" t="str">
        <f ca="1"/>
        <v>AldrinAnalytics.Calibration.SingleNameSecurity</v>
      </c>
      <c r="D7">
        <f ca="1"/>
        <v>7997767</v>
      </c>
      <c r="E7" t="str">
        <f ca="1"/>
        <v>[AldrinAnalyticsBenchmark.xlsm]Single Names</v>
      </c>
      <c r="F7">
        <f ca="1"/>
        <v>32</v>
      </c>
      <c r="G7">
        <f ca="1"/>
        <v>9</v>
      </c>
      <c r="H7" s="17">
        <f ca="1"/>
        <v>44057.665348854163</v>
      </c>
    </row>
    <row r="8" spans="1:8" x14ac:dyDescent="0.35">
      <c r="B8" t="str">
        <f ca="1"/>
        <v>OBJ_35340701</v>
      </c>
      <c r="C8" t="str">
        <f ca="1"/>
        <v>AldrinAnalytics.Calibration.SingleNameDataSheet</v>
      </c>
      <c r="D8">
        <f ca="1"/>
        <v>35340701</v>
      </c>
      <c r="E8" t="str">
        <f ca="1"/>
        <v>[AldrinAnalyticsBenchmark.xlsm]Single Names</v>
      </c>
      <c r="F8">
        <f ca="1"/>
        <v>40</v>
      </c>
      <c r="G8">
        <f ca="1"/>
        <v>10</v>
      </c>
      <c r="H8" s="17">
        <f ca="1"/>
        <v>44057.665348888891</v>
      </c>
    </row>
    <row r="9" spans="1:8" x14ac:dyDescent="0.35">
      <c r="B9" t="str">
        <f ca="1"/>
        <v>OBJ_150994454</v>
      </c>
      <c r="C9" t="str">
        <f ca="1"/>
        <v>AldrinAnalytics.Instruments.SingleNameTicker</v>
      </c>
      <c r="D9">
        <f ca="1"/>
        <v>150994454</v>
      </c>
      <c r="E9" t="str">
        <f ca="1"/>
        <v>[AldrinAnalyticsBenchmark.xlsm]Single Names</v>
      </c>
      <c r="F9">
        <f ca="1"/>
        <v>25</v>
      </c>
      <c r="G9">
        <f ca="1"/>
        <v>8</v>
      </c>
      <c r="H9" s="17">
        <f ca="1"/>
        <v>44057.665348831018</v>
      </c>
    </row>
    <row r="10" spans="1:8" x14ac:dyDescent="0.35">
      <c r="B10" t="str">
        <f ca="1"/>
        <v>OBJ_-843401282</v>
      </c>
      <c r="C10" t="str">
        <f ca="1"/>
        <v>AldrinAnalytics.Instruments.SecurityBasket</v>
      </c>
      <c r="D10">
        <f ca="1"/>
        <v>-843401282</v>
      </c>
      <c r="E10" t="str">
        <f ca="1"/>
        <v>[AldrinAnalyticsBenchmark.xlsm]Models</v>
      </c>
      <c r="F10">
        <f ca="1"/>
        <v>3</v>
      </c>
      <c r="G10">
        <f ca="1"/>
        <v>3</v>
      </c>
      <c r="H10" s="17">
        <f ca="1"/>
        <v>44057.665353414355</v>
      </c>
    </row>
    <row r="11" spans="1:8" x14ac:dyDescent="0.35">
      <c r="B11" t="str">
        <f ca="1"/>
        <v>OBJ_65306800</v>
      </c>
      <c r="C11" t="str">
        <f ca="1"/>
        <v>AldrinAnalytics.Calibration.SingleNameSecurity</v>
      </c>
      <c r="D11">
        <f ca="1"/>
        <v>65306800</v>
      </c>
      <c r="E11" t="str">
        <f ca="1"/>
        <v>[AldrinAnalyticsBenchmark.xlsm]Single Names</v>
      </c>
      <c r="F11">
        <f ca="1"/>
        <v>43</v>
      </c>
      <c r="G11">
        <f ca="1"/>
        <v>9</v>
      </c>
      <c r="H11" s="17">
        <f ca="1"/>
        <v>44057.665348865739</v>
      </c>
    </row>
    <row r="12" spans="1:8" x14ac:dyDescent="0.35">
      <c r="B12" t="str">
        <f ca="1"/>
        <v>OBJ_35340701</v>
      </c>
      <c r="C12" t="str">
        <f ca="1"/>
        <v>AldrinAnalytics.Calibration.SingleNameDataSheet</v>
      </c>
      <c r="D12">
        <f ca="1"/>
        <v>35340701</v>
      </c>
      <c r="E12" t="str">
        <f ca="1"/>
        <v>[AldrinAnalyticsBenchmark.xlsm]Single Names</v>
      </c>
      <c r="F12">
        <f ca="1"/>
        <v>9</v>
      </c>
      <c r="G12">
        <f ca="1"/>
        <v>10</v>
      </c>
      <c r="H12" s="17">
        <f ca="1"/>
        <v>44057.665348888891</v>
      </c>
    </row>
    <row r="13" spans="1:8" x14ac:dyDescent="0.35">
      <c r="B13" t="str">
        <f ca="1"/>
        <v>OBJ_55327172</v>
      </c>
      <c r="C13" t="str">
        <f ca="1"/>
        <v>AldrinAnalytics.Instruments.TotalReturnSwap</v>
      </c>
      <c r="D13">
        <f ca="1"/>
        <v>55327172</v>
      </c>
      <c r="E13" t="str">
        <f ca="1"/>
        <v>[AldrinAnalyticsBenchmark.xlsm]Book</v>
      </c>
      <c r="F13">
        <f ca="1"/>
        <v>7</v>
      </c>
      <c r="G13">
        <f ca="1"/>
        <v>27</v>
      </c>
      <c r="H13" s="17">
        <f ca="1"/>
        <v>44057.665350659721</v>
      </c>
    </row>
    <row r="14" spans="1:8" x14ac:dyDescent="0.35">
      <c r="B14" t="str">
        <f ca="1"/>
        <v>OBJ_-843401282</v>
      </c>
      <c r="C14" t="str">
        <f ca="1"/>
        <v>AldrinAnalytics.Instruments.SecurityBasket</v>
      </c>
      <c r="D14">
        <f ca="1"/>
        <v>-843401282</v>
      </c>
      <c r="E14" t="str">
        <f ca="1"/>
        <v>[AldrinAnalyticsBenchmark.xlsm]Book</v>
      </c>
      <c r="F14">
        <f ca="1"/>
        <v>13</v>
      </c>
      <c r="G14">
        <f ca="1"/>
        <v>21</v>
      </c>
      <c r="H14" s="17">
        <f ca="1"/>
        <v>44057.665353414355</v>
      </c>
    </row>
    <row r="15" spans="1:8" x14ac:dyDescent="0.35">
      <c r="B15" t="str">
        <f ca="1"/>
        <v>OBJ_9734844</v>
      </c>
      <c r="C15" t="str">
        <f ca="1"/>
        <v>AldrinAnalytics.Instruments.TotalReturnSwap</v>
      </c>
      <c r="D15">
        <f ca="1"/>
        <v>9734844</v>
      </c>
      <c r="E15" t="str">
        <f ca="1"/>
        <v>[AldrinAnalyticsBenchmark.xlsm]Book</v>
      </c>
      <c r="F15">
        <f ca="1"/>
        <v>9</v>
      </c>
      <c r="G15">
        <f ca="1"/>
        <v>27</v>
      </c>
      <c r="H15" s="17">
        <f ca="1"/>
        <v>44057.665350682873</v>
      </c>
    </row>
    <row r="16" spans="1:8" x14ac:dyDescent="0.35">
      <c r="B16" t="str">
        <f ca="1"/>
        <v>OBJ_50324903</v>
      </c>
      <c r="C16" t="str">
        <f ca="1"/>
        <v>AldrinAnalytics.Instruments.TotalReturnSwap</v>
      </c>
      <c r="D16">
        <f ca="1"/>
        <v>50324903</v>
      </c>
      <c r="E16" t="str">
        <f ca="1"/>
        <v>[AldrinAnalyticsBenchmark.xlsm]Book</v>
      </c>
      <c r="F16">
        <f ca="1"/>
        <v>10</v>
      </c>
      <c r="G16">
        <f ca="1"/>
        <v>27</v>
      </c>
      <c r="H16" s="17">
        <f ca="1"/>
        <v>44057.665350706018</v>
      </c>
    </row>
    <row r="17" spans="2:8" x14ac:dyDescent="0.35">
      <c r="B17" t="str">
        <f ca="1"/>
        <v>OBJ_-188392025</v>
      </c>
      <c r="C17" t="str">
        <f ca="1"/>
        <v>Zeliade.Finance.Mrc.ParametricBusinessSchedule</v>
      </c>
      <c r="D17">
        <f ca="1"/>
        <v>-188392025</v>
      </c>
      <c r="E17" t="str">
        <f ca="1"/>
        <v>[AldrinAnalyticsBenchmark.xlsm]Book</v>
      </c>
      <c r="F17">
        <f ca="1"/>
        <v>12</v>
      </c>
      <c r="G17">
        <f ca="1"/>
        <v>23</v>
      </c>
      <c r="H17" s="17">
        <f ca="1"/>
        <v>44057.665350717594</v>
      </c>
    </row>
    <row r="18" spans="2:8" x14ac:dyDescent="0.35">
      <c r="B18" t="str">
        <f ca="1"/>
        <v>OBJ_21299502</v>
      </c>
      <c r="C18" t="str">
        <f ca="1"/>
        <v>AldrinAnalytics.Instruments.TotalReturnSwap</v>
      </c>
      <c r="D18">
        <f ca="1"/>
        <v>21299502</v>
      </c>
      <c r="E18" t="str">
        <f ca="1"/>
        <v>[AldrinAnalyticsBenchmark.xlsm]Book</v>
      </c>
      <c r="F18">
        <f ca="1"/>
        <v>14</v>
      </c>
      <c r="G18">
        <f ca="1"/>
        <v>27</v>
      </c>
      <c r="H18" s="17">
        <f ca="1"/>
        <v>44057.665350752315</v>
      </c>
    </row>
    <row r="19" spans="2:8" x14ac:dyDescent="0.35">
      <c r="B19" t="str">
        <f ca="1"/>
        <v>OBJ_66448310</v>
      </c>
      <c r="C19" t="str">
        <f ca="1"/>
        <v>AldrinAnalytics.Instruments.CashCollateral</v>
      </c>
      <c r="D19">
        <f ca="1"/>
        <v>66448310</v>
      </c>
      <c r="E19" t="str">
        <f ca="1"/>
        <v>[AldrinAnalyticsBenchmark.xlsm]Book</v>
      </c>
      <c r="F19">
        <f ca="1"/>
        <v>5</v>
      </c>
      <c r="G19">
        <f ca="1"/>
        <v>20</v>
      </c>
      <c r="H19" s="17">
        <f ca="1"/>
        <v>44057.665350636576</v>
      </c>
    </row>
    <row r="20" spans="2:8" x14ac:dyDescent="0.35">
      <c r="B20" t="str">
        <f ca="1"/>
        <v>OBJ_8562452</v>
      </c>
      <c r="C20" t="str">
        <f ca="1"/>
        <v>AldrinAnalytics.Excel.PricingSettingSet</v>
      </c>
      <c r="D20">
        <f ca="1"/>
        <v>8562452</v>
      </c>
      <c r="E20" t="str">
        <f ca="1"/>
        <v>[AldrinAnalyticsBenchmark.xlsm]Pricing</v>
      </c>
      <c r="F20">
        <f ca="1"/>
        <v>8</v>
      </c>
      <c r="G20">
        <f ca="1"/>
        <v>4</v>
      </c>
      <c r="H20" s="17">
        <f ca="1"/>
        <v>44057.66535427083</v>
      </c>
    </row>
    <row r="21" spans="2:8" x14ac:dyDescent="0.35">
      <c r="B21" t="str">
        <f ca="1"/>
        <v>OBJ_37078712</v>
      </c>
      <c r="C21" t="str">
        <f ca="1"/>
        <v>AldrinAnalytics.Pricers.DataSheetContainer</v>
      </c>
      <c r="D21">
        <f ca="1"/>
        <v>37078712</v>
      </c>
      <c r="E21" t="str">
        <f ca="1"/>
        <v>[AldrinAnalyticsBenchmark.xlsm]Forward Rates</v>
      </c>
      <c r="F21">
        <f ca="1"/>
        <v>2</v>
      </c>
      <c r="G21">
        <f ca="1"/>
        <v>2</v>
      </c>
      <c r="H21" s="17">
        <f ca="1"/>
        <v>44057.665348541668</v>
      </c>
    </row>
    <row r="22" spans="2:8" x14ac:dyDescent="0.35">
      <c r="B22" t="str">
        <f ca="1"/>
        <v>OBJ_35502400</v>
      </c>
      <c r="C22" t="str">
        <f ca="1"/>
        <v>AldrinAnalytics.Instruments.Book</v>
      </c>
      <c r="D22">
        <f ca="1"/>
        <v>35502400</v>
      </c>
      <c r="E22" t="str">
        <f ca="1"/>
        <v>[AldrinAnalyticsBenchmark.xlsm]Book</v>
      </c>
      <c r="F22">
        <f ca="1"/>
        <v>11</v>
      </c>
      <c r="G22">
        <f ca="1"/>
        <v>28</v>
      </c>
      <c r="H22" s="17">
        <f ca="1"/>
        <v>44057.665350752315</v>
      </c>
    </row>
    <row r="23" spans="2:8" x14ac:dyDescent="0.35">
      <c r="B23" t="str">
        <f ca="1"/>
        <v>OBJ_24479626</v>
      </c>
      <c r="C23" t="str">
        <f ca="1"/>
        <v>AldrinAnalytics.Calibration.SingleNameSecurity</v>
      </c>
      <c r="D23">
        <f ca="1"/>
        <v>24479626</v>
      </c>
      <c r="E23" t="str">
        <f ca="1"/>
        <v>[AldrinAnalyticsBenchmark.xlsm]Single Names</v>
      </c>
      <c r="F23">
        <f ca="1"/>
        <v>22</v>
      </c>
      <c r="G23">
        <f ca="1"/>
        <v>9</v>
      </c>
      <c r="H23" s="17">
        <f ca="1"/>
        <v>44057.665348831018</v>
      </c>
    </row>
    <row r="24" spans="2:8" x14ac:dyDescent="0.35">
      <c r="B24" t="str">
        <f ca="1"/>
        <v>OBJ_54710514</v>
      </c>
      <c r="C24" t="str">
        <f ca="1"/>
        <v>AldrinAnalytics.Instruments.CashCollateral</v>
      </c>
      <c r="D24">
        <f ca="1"/>
        <v>54710514</v>
      </c>
      <c r="E24" t="str">
        <f ca="1"/>
        <v>[AldrinAnalyticsBenchmark.xlsm]Book</v>
      </c>
      <c r="F24">
        <f ca="1"/>
        <v>12</v>
      </c>
      <c r="G24">
        <f ca="1"/>
        <v>20</v>
      </c>
      <c r="H24" s="17">
        <f ca="1"/>
        <v>44057.665350729163</v>
      </c>
    </row>
    <row r="25" spans="2:8" x14ac:dyDescent="0.35">
      <c r="B25" t="str">
        <f ca="1"/>
        <v>OBJ_48420578</v>
      </c>
      <c r="C25" t="str">
        <f ca="1"/>
        <v>AldrinAnalytics.Instruments.TotalReturnSwap</v>
      </c>
      <c r="D25">
        <f ca="1"/>
        <v>48420578</v>
      </c>
      <c r="E25" t="str">
        <f ca="1"/>
        <v>[AldrinAnalyticsBenchmark.xlsm]Book</v>
      </c>
      <c r="F25">
        <f ca="1"/>
        <v>4</v>
      </c>
      <c r="G25">
        <f ca="1"/>
        <v>27</v>
      </c>
      <c r="H25" s="17">
        <f ca="1"/>
        <v>44057.665350625</v>
      </c>
    </row>
    <row r="26" spans="2:8" x14ac:dyDescent="0.35">
      <c r="B26" t="str">
        <f ca="1"/>
        <v>OBJ_-843401282</v>
      </c>
      <c r="C26" t="str">
        <f ca="1"/>
        <v>AldrinAnalytics.Instruments.SecurityBasket</v>
      </c>
      <c r="D26">
        <f ca="1"/>
        <v>-843401282</v>
      </c>
      <c r="E26" t="str">
        <f ca="1"/>
        <v>[AldrinAnalyticsBenchmark.xlsm]Models</v>
      </c>
      <c r="F26">
        <f ca="1"/>
        <v>3</v>
      </c>
      <c r="G26">
        <f ca="1"/>
        <v>1</v>
      </c>
      <c r="H26" s="17">
        <f ca="1"/>
        <v>44057.665353414355</v>
      </c>
    </row>
    <row r="27" spans="2:8" x14ac:dyDescent="0.35">
      <c r="B27" t="str">
        <f ca="1"/>
        <v>OBJ_19317517</v>
      </c>
      <c r="C27" t="str">
        <f ca="1"/>
        <v>AldrinAnalytics.Calibration.SingleNameSecurity</v>
      </c>
      <c r="D27">
        <f ca="1"/>
        <v>19317517</v>
      </c>
      <c r="E27" t="str">
        <f ca="1"/>
        <v>[AldrinAnalyticsBenchmark.xlsm]Single Names</v>
      </c>
      <c r="F27">
        <f ca="1"/>
        <v>26</v>
      </c>
      <c r="G27">
        <f ca="1"/>
        <v>9</v>
      </c>
      <c r="H27" s="17">
        <f ca="1"/>
        <v>44057.665348842595</v>
      </c>
    </row>
    <row r="28" spans="2:8" x14ac:dyDescent="0.35">
      <c r="B28" t="str">
        <f ca="1"/>
        <v>OBJ_35340701</v>
      </c>
      <c r="C28" t="str">
        <f ca="1"/>
        <v>AldrinAnalytics.Calibration.SingleNameDataSheet</v>
      </c>
      <c r="D28">
        <f ca="1"/>
        <v>35340701</v>
      </c>
      <c r="E28" t="str">
        <f ca="1"/>
        <v>[AldrinAnalyticsBenchmark.xlsm]Single Names</v>
      </c>
      <c r="F28">
        <f ca="1"/>
        <v>11</v>
      </c>
      <c r="G28">
        <f ca="1"/>
        <v>10</v>
      </c>
      <c r="H28" s="17">
        <f ca="1"/>
        <v>44057.665348888891</v>
      </c>
    </row>
    <row r="29" spans="2:8" x14ac:dyDescent="0.35">
      <c r="B29" t="str">
        <f ca="1"/>
        <v>OBJ_59859185</v>
      </c>
      <c r="C29" t="str">
        <f ca="1"/>
        <v>AldrinAnalytics.Instruments.SingleNameTicker</v>
      </c>
      <c r="D29">
        <f ca="1"/>
        <v>59859185</v>
      </c>
      <c r="E29" t="str">
        <f ca="1"/>
        <v>[AldrinAnalyticsBenchmark.xlsm]Single Names</v>
      </c>
      <c r="F29">
        <f ca="1"/>
        <v>41</v>
      </c>
      <c r="G29">
        <f ca="1"/>
        <v>8</v>
      </c>
      <c r="H29" s="17">
        <f ca="1"/>
        <v>44057.665348865739</v>
      </c>
    </row>
    <row r="30" spans="2:8" x14ac:dyDescent="0.35">
      <c r="B30" t="str">
        <f ca="1"/>
        <v>OBJ_885677583</v>
      </c>
      <c r="C30" t="str">
        <f ca="1"/>
        <v>AldrinAnalytics.Instruments.SingleNameTicker</v>
      </c>
      <c r="D30">
        <f ca="1"/>
        <v>885677583</v>
      </c>
      <c r="E30" t="str">
        <f ca="1"/>
        <v>[AldrinAnalyticsBenchmark.xlsm]Single Names</v>
      </c>
      <c r="F30">
        <f ca="1"/>
        <v>8</v>
      </c>
      <c r="G30">
        <f ca="1"/>
        <v>8</v>
      </c>
      <c r="H30" s="17">
        <f ca="1"/>
        <v>44057.665348773146</v>
      </c>
    </row>
    <row r="31" spans="2:8" x14ac:dyDescent="0.35">
      <c r="B31" t="str">
        <f ca="1"/>
        <v>OBJ_35502400</v>
      </c>
      <c r="C31" t="str">
        <f ca="1"/>
        <v>AldrinAnalytics.Instruments.Book</v>
      </c>
      <c r="D31">
        <f ca="1"/>
        <v>35502400</v>
      </c>
      <c r="E31" t="str">
        <f ca="1"/>
        <v>[AldrinAnalyticsBenchmark.xlsm]Book</v>
      </c>
      <c r="F31">
        <f ca="1"/>
        <v>3</v>
      </c>
      <c r="G31">
        <f ca="1"/>
        <v>28</v>
      </c>
      <c r="H31" s="17">
        <f ca="1"/>
        <v>44057.665350752315</v>
      </c>
    </row>
    <row r="32" spans="2:8" x14ac:dyDescent="0.35">
      <c r="B32" t="str">
        <f ca="1"/>
        <v>OBJ_559487264</v>
      </c>
      <c r="C32" t="str">
        <f ca="1"/>
        <v>AldrinAnalytics.Instruments.AssetLegStd</v>
      </c>
      <c r="D32">
        <f ca="1"/>
        <v>231171561</v>
      </c>
      <c r="E32" t="str">
        <f ca="1"/>
        <v>[AldrinAnalyticsBenchmark.xlsm]Book</v>
      </c>
      <c r="F32">
        <f ca="1"/>
        <v>9</v>
      </c>
      <c r="G32">
        <f ca="1"/>
        <v>25</v>
      </c>
      <c r="H32" s="17">
        <f ca="1"/>
        <v>44057.665350682873</v>
      </c>
    </row>
    <row r="33" spans="2:8" x14ac:dyDescent="0.35">
      <c r="B33" t="str">
        <f ca="1"/>
        <v>OBJ_1375974579</v>
      </c>
      <c r="C33" t="str">
        <f ca="1"/>
        <v>AldrinAnalytics.Instruments.OisReference</v>
      </c>
      <c r="D33">
        <f ca="1"/>
        <v>1375974579</v>
      </c>
      <c r="E33" t="str">
        <f ca="1"/>
        <v>[AldrinAnalyticsBenchmark.xlsm]Book</v>
      </c>
      <c r="F33">
        <f ca="1"/>
        <v>5</v>
      </c>
      <c r="G33">
        <f ca="1"/>
        <v>22</v>
      </c>
      <c r="H33" s="17">
        <f ca="1"/>
        <v>44057.665350740739</v>
      </c>
    </row>
    <row r="34" spans="2:8" x14ac:dyDescent="0.35">
      <c r="B34" t="str">
        <f ca="1"/>
        <v>OBJ_-249907328</v>
      </c>
      <c r="C34" t="str">
        <f ca="1"/>
        <v>AldrinAnalytics.Instruments.SingleNameTicker</v>
      </c>
      <c r="D34">
        <f ca="1"/>
        <v>-249907328</v>
      </c>
      <c r="E34" t="str">
        <f ca="1"/>
        <v>[AldrinAnalyticsBenchmark.xlsm]Single Names</v>
      </c>
      <c r="F34">
        <f ca="1"/>
        <v>13</v>
      </c>
      <c r="G34">
        <f ca="1"/>
        <v>8</v>
      </c>
      <c r="H34" s="17">
        <f ca="1"/>
        <v>44057.665348807874</v>
      </c>
    </row>
    <row r="35" spans="2:8" x14ac:dyDescent="0.35">
      <c r="B35" t="str">
        <f ca="1"/>
        <v>OBJ_59801811</v>
      </c>
      <c r="C35" t="str">
        <f ca="1"/>
        <v>System.String[]</v>
      </c>
      <c r="D35">
        <f ca="1"/>
        <v>59801811</v>
      </c>
      <c r="E35" t="str">
        <f ca="1"/>
        <v>[AldrinAnalyticsBenchmark.xlsm]Codings</v>
      </c>
      <c r="F35">
        <f ca="1"/>
        <v>1</v>
      </c>
      <c r="G35">
        <f ca="1"/>
        <v>2</v>
      </c>
      <c r="H35" s="17">
        <f ca="1"/>
        <v>44057.665356724538</v>
      </c>
    </row>
    <row r="36" spans="2:8" x14ac:dyDescent="0.35">
      <c r="B36" t="str">
        <f ca="1"/>
        <v>OBJ_-1172965612</v>
      </c>
      <c r="C36" t="str">
        <f ca="1"/>
        <v>Zeliade.Finance.Mrc.ParametricBusinessSchedule</v>
      </c>
      <c r="D36">
        <f ca="1"/>
        <v>-1172965612</v>
      </c>
      <c r="E36" t="str">
        <f ca="1"/>
        <v>[AldrinAnalyticsBenchmark.xlsm]Book</v>
      </c>
      <c r="F36">
        <f ca="1"/>
        <v>13</v>
      </c>
      <c r="G36">
        <f ca="1"/>
        <v>23</v>
      </c>
      <c r="H36" s="17">
        <f ca="1"/>
        <v>44057.665350729163</v>
      </c>
    </row>
    <row r="37" spans="2:8" x14ac:dyDescent="0.35">
      <c r="B37" t="str">
        <f ca="1"/>
        <v>OBJ_35340701</v>
      </c>
      <c r="C37" t="str">
        <f ca="1"/>
        <v>AldrinAnalytics.Calibration.SingleNameDataSheet</v>
      </c>
      <c r="D37">
        <f ca="1"/>
        <v>35340701</v>
      </c>
      <c r="E37" t="str">
        <f ca="1"/>
        <v>[AldrinAnalyticsBenchmark.xlsm]Single Names</v>
      </c>
      <c r="F37">
        <f ca="1"/>
        <v>26</v>
      </c>
      <c r="G37">
        <f ca="1"/>
        <v>10</v>
      </c>
      <c r="H37" s="17">
        <f ca="1"/>
        <v>44057.665348888891</v>
      </c>
    </row>
    <row r="38" spans="2:8" x14ac:dyDescent="0.35">
      <c r="B38" t="str">
        <f ca="1"/>
        <v>OBJ_41264680</v>
      </c>
      <c r="C38" t="str">
        <f ca="1"/>
        <v>System.String[]</v>
      </c>
      <c r="D38">
        <f ca="1"/>
        <v>41264680</v>
      </c>
      <c r="E38" t="str">
        <f ca="1"/>
        <v>[AldrinAnalyticsBenchmark.xlsm]Codings</v>
      </c>
      <c r="F38">
        <f ca="1"/>
        <v>1</v>
      </c>
      <c r="G38">
        <f ca="1"/>
        <v>6</v>
      </c>
      <c r="H38" s="17">
        <f ca="1"/>
        <v>44057.665356747682</v>
      </c>
    </row>
    <row r="39" spans="2:8" x14ac:dyDescent="0.35">
      <c r="B39" t="str">
        <f ca="1"/>
        <v>OBJ_11576397</v>
      </c>
      <c r="C39" t="str">
        <f ca="1"/>
        <v>Zeliade.Finance.Common.Calibration.DataQuoteSheet</v>
      </c>
      <c r="D39">
        <f ca="1"/>
        <v>11576397</v>
      </c>
      <c r="E39" t="str">
        <f ca="1"/>
        <v>[AldrinAnalyticsBenchmark.xlsm]Ois</v>
      </c>
      <c r="F39">
        <f ca="1"/>
        <v>2</v>
      </c>
      <c r="G39">
        <f ca="1"/>
        <v>1</v>
      </c>
      <c r="H39" s="17">
        <f ca="1"/>
        <v>44057.66534821759</v>
      </c>
    </row>
    <row r="40" spans="2:8" x14ac:dyDescent="0.35">
      <c r="B40" t="str">
        <f ca="1"/>
        <v>OBJ_25661391</v>
      </c>
      <c r="C40" t="str">
        <f ca="1"/>
        <v>AldrinAnalytics.Calibration.SingleNameSecurity</v>
      </c>
      <c r="D40">
        <f ca="1"/>
        <v>25661391</v>
      </c>
      <c r="E40" t="str">
        <f ca="1"/>
        <v>[AldrinAnalyticsBenchmark.xlsm]Single Names</v>
      </c>
      <c r="F40">
        <f ca="1"/>
        <v>41</v>
      </c>
      <c r="G40">
        <f ca="1"/>
        <v>9</v>
      </c>
      <c r="H40" s="17">
        <f ca="1"/>
        <v>44057.665348865739</v>
      </c>
    </row>
    <row r="41" spans="2:8" x14ac:dyDescent="0.35">
      <c r="B41" t="str">
        <f ca="1"/>
        <v>OBJ_1136092694</v>
      </c>
      <c r="C41" t="str">
        <f ca="1"/>
        <v>AldrinAnalytics.Instruments.SingleNameTicker</v>
      </c>
      <c r="D41">
        <f ca="1"/>
        <v>1136092694</v>
      </c>
      <c r="E41" t="str">
        <f ca="1"/>
        <v>[AldrinAnalyticsBenchmark.xlsm]Single Names</v>
      </c>
      <c r="F41">
        <f ca="1"/>
        <v>35</v>
      </c>
      <c r="G41">
        <f ca="1"/>
        <v>8</v>
      </c>
      <c r="H41" s="17">
        <f ca="1"/>
        <v>44057.665348854163</v>
      </c>
    </row>
    <row r="42" spans="2:8" x14ac:dyDescent="0.35">
      <c r="B42" t="str">
        <f ca="1"/>
        <v>OBJ_35340701</v>
      </c>
      <c r="C42" t="str">
        <f ca="1"/>
        <v>AldrinAnalytics.Calibration.SingleNameDataSheet</v>
      </c>
      <c r="D42">
        <f ca="1"/>
        <v>35340701</v>
      </c>
      <c r="E42" t="str">
        <f ca="1"/>
        <v>[AldrinAnalyticsBenchmark.xlsm]Single Names</v>
      </c>
      <c r="F42">
        <f ca="1"/>
        <v>22</v>
      </c>
      <c r="G42">
        <f ca="1"/>
        <v>10</v>
      </c>
      <c r="H42" s="17">
        <f ca="1"/>
        <v>44057.665348888891</v>
      </c>
    </row>
    <row r="43" spans="2:8" x14ac:dyDescent="0.35">
      <c r="B43" t="str">
        <f ca="1"/>
        <v>OBJ_46019115</v>
      </c>
      <c r="C43" t="str">
        <f ca="1"/>
        <v>Zeliade.Finance.Common.Calibration.DataQuoteSheet</v>
      </c>
      <c r="D43">
        <f ca="1"/>
        <v>46019115</v>
      </c>
      <c r="E43" t="str">
        <f ca="1"/>
        <v>[AldrinAnalyticsBenchmark.xlsm]Forward Rates</v>
      </c>
      <c r="F43">
        <f ca="1"/>
        <v>2</v>
      </c>
      <c r="G43">
        <f ca="1"/>
        <v>1</v>
      </c>
      <c r="H43" s="17">
        <f ca="1"/>
        <v>44057.665348495371</v>
      </c>
    </row>
    <row r="44" spans="2:8" x14ac:dyDescent="0.35">
      <c r="B44" t="str">
        <f ca="1"/>
        <v>OBJ_55622644</v>
      </c>
      <c r="C44" t="str">
        <f ca="1"/>
        <v>AldrinAnalytics.Calibration.SingleNameSecurity</v>
      </c>
      <c r="D44">
        <f ca="1"/>
        <v>55622644</v>
      </c>
      <c r="E44" t="str">
        <f ca="1"/>
        <v>[AldrinAnalyticsBenchmark.xlsm]Single Names</v>
      </c>
      <c r="F44">
        <f ca="1"/>
        <v>53</v>
      </c>
      <c r="G44">
        <f ca="1"/>
        <v>9</v>
      </c>
      <c r="H44" s="17">
        <f ca="1"/>
        <v>44057.665348888891</v>
      </c>
    </row>
    <row r="45" spans="2:8" x14ac:dyDescent="0.35">
      <c r="B45" t="str">
        <f ca="1"/>
        <v>OBJ_670356115</v>
      </c>
      <c r="C45" t="str">
        <f ca="1"/>
        <v>AldrinAnalytics.Instruments.AssetLegFloatRate</v>
      </c>
      <c r="D45">
        <f ca="1"/>
        <v>-1814929578</v>
      </c>
      <c r="E45" t="str">
        <f ca="1"/>
        <v>[AldrinAnalyticsBenchmark.xlsm]Book</v>
      </c>
      <c r="F45">
        <f ca="1"/>
        <v>8</v>
      </c>
      <c r="G45">
        <f ca="1"/>
        <v>26</v>
      </c>
      <c r="H45" s="17">
        <f ca="1"/>
        <v>44057.665350671297</v>
      </c>
    </row>
    <row r="46" spans="2:8" x14ac:dyDescent="0.35">
      <c r="B46" t="str">
        <f ca="1"/>
        <v>OBJ_4912550</v>
      </c>
      <c r="C46" t="str">
        <f ca="1"/>
        <v>AldrinAnalytics.Calibration.SingleNameSecurity</v>
      </c>
      <c r="D46">
        <f ca="1"/>
        <v>4912550</v>
      </c>
      <c r="E46" t="str">
        <f ca="1"/>
        <v>[AldrinAnalyticsBenchmark.xlsm]Single Names</v>
      </c>
      <c r="F46">
        <f ca="1"/>
        <v>19</v>
      </c>
      <c r="G46">
        <f ca="1"/>
        <v>9</v>
      </c>
      <c r="H46" s="17">
        <f ca="1"/>
        <v>44057.665348819442</v>
      </c>
    </row>
    <row r="47" spans="2:8" x14ac:dyDescent="0.35">
      <c r="B47" t="str">
        <f ca="1"/>
        <v>OBJ_1508097</v>
      </c>
      <c r="C47" t="str">
        <f ca="1"/>
        <v>AldrinAnalytics.Calibration.SingleNameSecurity</v>
      </c>
      <c r="D47">
        <f ca="1"/>
        <v>1508097</v>
      </c>
      <c r="E47" t="str">
        <f ca="1"/>
        <v>[AldrinAnalyticsBenchmark.xlsm]Single Names</v>
      </c>
      <c r="F47">
        <f ca="1"/>
        <v>38</v>
      </c>
      <c r="G47">
        <f ca="1"/>
        <v>9</v>
      </c>
      <c r="H47" s="17">
        <f ca="1"/>
        <v>44057.665348865739</v>
      </c>
    </row>
    <row r="48" spans="2:8" x14ac:dyDescent="0.35">
      <c r="B48" t="str">
        <f ca="1"/>
        <v>OBJ_9553281</v>
      </c>
      <c r="C48" t="str">
        <f ca="1"/>
        <v>AldrinAnalytics.Calibration.DiscountCurveBootstrapperOis</v>
      </c>
      <c r="D48">
        <f ca="1"/>
        <v>9553281</v>
      </c>
      <c r="E48" t="str">
        <f ca="1"/>
        <v>[AldrinAnalyticsBenchmark.xlsm]Markets</v>
      </c>
      <c r="F48">
        <f ca="1"/>
        <v>3</v>
      </c>
      <c r="G48">
        <f ca="1"/>
        <v>1</v>
      </c>
      <c r="H48" s="17">
        <f ca="1"/>
        <v>44057.665351307871</v>
      </c>
    </row>
    <row r="49" spans="2:8" x14ac:dyDescent="0.35">
      <c r="B49" t="str">
        <f ca="1"/>
        <v>OBJ_-843401282</v>
      </c>
      <c r="C49" t="str">
        <f ca="1"/>
        <v>AldrinAnalytics.Instruments.SecurityBasket</v>
      </c>
      <c r="D49">
        <f ca="1"/>
        <v>-843401282</v>
      </c>
      <c r="E49" t="str">
        <f ca="1"/>
        <v>[AldrinAnalyticsBenchmark.xlsm]Book</v>
      </c>
      <c r="F49">
        <f ca="1"/>
        <v>12</v>
      </c>
      <c r="G49">
        <f ca="1"/>
        <v>21</v>
      </c>
      <c r="H49" s="17">
        <f ca="1"/>
        <v>44057.665353414355</v>
      </c>
    </row>
    <row r="50" spans="2:8" x14ac:dyDescent="0.35">
      <c r="B50" t="str">
        <f ca="1"/>
        <v>OBJ_-1158464529</v>
      </c>
      <c r="C50" t="str">
        <f ca="1"/>
        <v>Zeliade.Finance.Mrc.ParametricBusinessSchedule</v>
      </c>
      <c r="D50">
        <f ca="1"/>
        <v>-1158464529</v>
      </c>
      <c r="E50" t="str">
        <f ca="1"/>
        <v>[AldrinAnalyticsBenchmark.xlsm]Book</v>
      </c>
      <c r="F50">
        <f ca="1"/>
        <v>11</v>
      </c>
      <c r="G50">
        <f ca="1"/>
        <v>23</v>
      </c>
      <c r="H50" s="17">
        <f ca="1"/>
        <v>44057.665350706018</v>
      </c>
    </row>
    <row r="51" spans="2:8" x14ac:dyDescent="0.35">
      <c r="B51" t="str">
        <f ca="1"/>
        <v>OBJ_35340701</v>
      </c>
      <c r="C51" t="str">
        <f ca="1"/>
        <v>AldrinAnalytics.Calibration.SingleNameDataSheet</v>
      </c>
      <c r="D51">
        <f ca="1"/>
        <v>35340701</v>
      </c>
      <c r="E51" t="str">
        <f ca="1"/>
        <v>[AldrinAnalyticsBenchmark.xlsm]Single Names</v>
      </c>
      <c r="F51">
        <f ca="1"/>
        <v>15</v>
      </c>
      <c r="G51">
        <f ca="1"/>
        <v>10</v>
      </c>
      <c r="H51" s="17">
        <f ca="1"/>
        <v>44057.665348888891</v>
      </c>
    </row>
    <row r="52" spans="2:8" x14ac:dyDescent="0.35">
      <c r="B52" t="str">
        <f ca="1"/>
        <v>OBJ_55359449</v>
      </c>
      <c r="C52" t="str">
        <f ca="1"/>
        <v>AldrinAnalytics.Calibration.SingleNameSecurity</v>
      </c>
      <c r="D52">
        <f ca="1"/>
        <v>55359449</v>
      </c>
      <c r="E52" t="str">
        <f ca="1"/>
        <v>[AldrinAnalyticsBenchmark.xlsm]Single Names</v>
      </c>
      <c r="F52">
        <f ca="1"/>
        <v>45</v>
      </c>
      <c r="G52">
        <f ca="1"/>
        <v>9</v>
      </c>
      <c r="H52" s="17">
        <f ca="1"/>
        <v>44057.665348877315</v>
      </c>
    </row>
    <row r="53" spans="2:8" x14ac:dyDescent="0.35">
      <c r="B53" t="str">
        <f ca="1"/>
        <v>OBJ_35340701</v>
      </c>
      <c r="C53" t="str">
        <f ca="1"/>
        <v>AldrinAnalytics.Calibration.SingleNameDataSheet</v>
      </c>
      <c r="D53">
        <f ca="1"/>
        <v>35340701</v>
      </c>
      <c r="E53" t="str">
        <f ca="1"/>
        <v>[AldrinAnalyticsBenchmark.xlsm]Single Names</v>
      </c>
      <c r="F53">
        <f ca="1"/>
        <v>38</v>
      </c>
      <c r="G53">
        <f ca="1"/>
        <v>10</v>
      </c>
      <c r="H53" s="17">
        <f ca="1"/>
        <v>44057.665348888891</v>
      </c>
    </row>
    <row r="54" spans="2:8" x14ac:dyDescent="0.35">
      <c r="B54" t="str">
        <f ca="1"/>
        <v>OBJ_985702608</v>
      </c>
      <c r="C54" t="str">
        <f ca="1"/>
        <v>Zeliade.Finance.Mrc.ParametricBusinessSchedule</v>
      </c>
      <c r="D54">
        <f ca="1"/>
        <v>985702608</v>
      </c>
      <c r="E54" t="str">
        <f ca="1"/>
        <v>[AldrinAnalyticsBenchmark.xlsm]Book</v>
      </c>
      <c r="F54">
        <f ca="1"/>
        <v>8</v>
      </c>
      <c r="G54">
        <f ca="1"/>
        <v>23</v>
      </c>
      <c r="H54" s="17">
        <f ca="1"/>
        <v>44057.665350671297</v>
      </c>
    </row>
    <row r="55" spans="2:8" x14ac:dyDescent="0.35">
      <c r="B55" t="str">
        <f ca="1"/>
        <v>OBJ_5770151</v>
      </c>
      <c r="C55" t="str">
        <f ca="1"/>
        <v>AldrinAnalytics.Excel.ModelSet</v>
      </c>
      <c r="D55">
        <f ca="1"/>
        <v>5770151</v>
      </c>
      <c r="E55" t="str">
        <f ca="1"/>
        <v>[AldrinAnalyticsBenchmark.xlsm]Models</v>
      </c>
      <c r="F55">
        <f ca="1"/>
        <v>7</v>
      </c>
      <c r="G55">
        <f ca="1"/>
        <v>3</v>
      </c>
      <c r="H55" s="17">
        <f ca="1"/>
        <v>44057.665353622688</v>
      </c>
    </row>
    <row r="56" spans="2:8" x14ac:dyDescent="0.35">
      <c r="B56" t="str">
        <f ca="1"/>
        <v>OBJ_-1903731168</v>
      </c>
      <c r="C56" t="str">
        <f ca="1"/>
        <v>AldrinAnalytics.Instruments.SingleNameTicker</v>
      </c>
      <c r="D56">
        <f ca="1"/>
        <v>-1903731168</v>
      </c>
      <c r="E56" t="str">
        <f ca="1"/>
        <v>[AldrinAnalyticsBenchmark.xlsm]Single Names</v>
      </c>
      <c r="F56">
        <f ca="1"/>
        <v>5</v>
      </c>
      <c r="G56">
        <f ca="1"/>
        <v>8</v>
      </c>
      <c r="H56" s="17">
        <f ca="1"/>
        <v>44057.665348773146</v>
      </c>
    </row>
    <row r="57" spans="2:8" x14ac:dyDescent="0.35">
      <c r="B57" t="str">
        <f ca="1"/>
        <v>OBJ_35340701</v>
      </c>
      <c r="C57" t="str">
        <f ca="1"/>
        <v>AldrinAnalytics.Calibration.SingleNameDataSheet</v>
      </c>
      <c r="D57">
        <f ca="1"/>
        <v>35340701</v>
      </c>
      <c r="E57" t="str">
        <f ca="1"/>
        <v>[AldrinAnalyticsBenchmark.xlsm]Single Names</v>
      </c>
      <c r="F57">
        <f ca="1"/>
        <v>42</v>
      </c>
      <c r="G57">
        <f ca="1"/>
        <v>10</v>
      </c>
      <c r="H57" s="17">
        <f ca="1"/>
        <v>44057.665348888891</v>
      </c>
    </row>
    <row r="58" spans="2:8" x14ac:dyDescent="0.35">
      <c r="B58" t="str">
        <f ca="1"/>
        <v>OBJ_51383888</v>
      </c>
      <c r="C58" t="str">
        <f ca="1"/>
        <v>System.String[]</v>
      </c>
      <c r="D58">
        <f ca="1"/>
        <v>51383888</v>
      </c>
      <c r="E58" t="str">
        <f ca="1"/>
        <v>[AldrinAnalyticsBenchmark.xlsm]Codings</v>
      </c>
      <c r="F58">
        <f ca="1"/>
        <v>1</v>
      </c>
      <c r="G58">
        <f ca="1"/>
        <v>1</v>
      </c>
      <c r="H58" s="17">
        <f ca="1"/>
        <v>44057.665356724538</v>
      </c>
    </row>
    <row r="59" spans="2:8" x14ac:dyDescent="0.35">
      <c r="B59" t="str">
        <f ca="1"/>
        <v>OBJ_-264652769</v>
      </c>
      <c r="C59" t="str">
        <f ca="1"/>
        <v>AldrinAnalytics.Instruments.SingleNameTicker</v>
      </c>
      <c r="D59">
        <f ca="1"/>
        <v>-264652769</v>
      </c>
      <c r="E59" t="str">
        <f ca="1"/>
        <v>[AldrinAnalyticsBenchmark.xlsm]Single Names</v>
      </c>
      <c r="F59">
        <f ca="1"/>
        <v>6</v>
      </c>
      <c r="G59">
        <f ca="1"/>
        <v>8</v>
      </c>
      <c r="H59" s="17">
        <f ca="1"/>
        <v>44057.665348773146</v>
      </c>
    </row>
    <row r="60" spans="2:8" x14ac:dyDescent="0.35">
      <c r="B60" t="str">
        <f ca="1"/>
        <v>OBJ_35340701</v>
      </c>
      <c r="C60" t="str">
        <f ca="1"/>
        <v>AldrinAnalytics.Calibration.SingleNameDataSheet</v>
      </c>
      <c r="D60">
        <f ca="1"/>
        <v>35340701</v>
      </c>
      <c r="E60" t="str">
        <f ca="1"/>
        <v>[AldrinAnalyticsBenchmark.xlsm]Single Names</v>
      </c>
      <c r="F60">
        <f ca="1"/>
        <v>12</v>
      </c>
      <c r="G60">
        <f ca="1"/>
        <v>10</v>
      </c>
      <c r="H60" s="17">
        <f ca="1"/>
        <v>44057.665348888891</v>
      </c>
    </row>
    <row r="61" spans="2:8" x14ac:dyDescent="0.35">
      <c r="B61" t="str">
        <f ca="1"/>
        <v>OBJ_-284902669</v>
      </c>
      <c r="C61" t="str">
        <f ca="1"/>
        <v>AldrinAnalytics.Instruments.SingleNameTicker</v>
      </c>
      <c r="D61">
        <f ca="1"/>
        <v>-284902669</v>
      </c>
      <c r="E61" t="str">
        <f ca="1"/>
        <v>[AldrinAnalyticsBenchmark.xlsm]Single Names</v>
      </c>
      <c r="F61">
        <f ca="1"/>
        <v>33</v>
      </c>
      <c r="G61">
        <f ca="1"/>
        <v>8</v>
      </c>
      <c r="H61" s="17">
        <f ca="1"/>
        <v>44057.665348854163</v>
      </c>
    </row>
    <row r="62" spans="2:8" x14ac:dyDescent="0.35">
      <c r="B62" t="str">
        <f ca="1"/>
        <v>OBJ_35502400</v>
      </c>
      <c r="C62" t="str">
        <f ca="1"/>
        <v>AldrinAnalytics.Instruments.Book</v>
      </c>
      <c r="D62">
        <f ca="1"/>
        <v>35502400</v>
      </c>
      <c r="E62" t="str">
        <f ca="1"/>
        <v>[AldrinAnalyticsBenchmark.xlsm]Book</v>
      </c>
      <c r="F62">
        <f ca="1"/>
        <v>8</v>
      </c>
      <c r="G62">
        <f ca="1"/>
        <v>28</v>
      </c>
      <c r="H62" s="17">
        <f ca="1"/>
        <v>44057.665350752315</v>
      </c>
    </row>
    <row r="63" spans="2:8" x14ac:dyDescent="0.35">
      <c r="B63" t="str">
        <f ca="1"/>
        <v>OBJ_51931360</v>
      </c>
      <c r="C63" t="str">
        <f ca="1"/>
        <v>AldrinAnalytics.Models.StaticModel</v>
      </c>
      <c r="D63">
        <f ca="1"/>
        <v>51931360</v>
      </c>
      <c r="E63" t="str">
        <f ca="1"/>
        <v>[AldrinAnalyticsBenchmark.xlsm]Models</v>
      </c>
      <c r="F63">
        <f ca="1"/>
        <v>6</v>
      </c>
      <c r="G63">
        <f ca="1"/>
        <v>3</v>
      </c>
      <c r="H63" s="17">
        <f ca="1"/>
        <v>44057.6653534375</v>
      </c>
    </row>
    <row r="64" spans="2:8" x14ac:dyDescent="0.35">
      <c r="B64" t="str">
        <f ca="1"/>
        <v>OBJ_35340701</v>
      </c>
      <c r="C64" t="str">
        <f ca="1"/>
        <v>AldrinAnalytics.Calibration.SingleNameDataSheet</v>
      </c>
      <c r="D64">
        <f ca="1"/>
        <v>35340701</v>
      </c>
      <c r="E64" t="str">
        <f ca="1"/>
        <v>[AldrinAnalyticsBenchmark.xlsm]Single Names</v>
      </c>
      <c r="F64">
        <f ca="1"/>
        <v>27</v>
      </c>
      <c r="G64">
        <f ca="1"/>
        <v>10</v>
      </c>
      <c r="H64" s="17">
        <f ca="1"/>
        <v>44057.665348888891</v>
      </c>
    </row>
    <row r="65" spans="2:8" x14ac:dyDescent="0.35">
      <c r="B65" t="str">
        <f ca="1"/>
        <v>OBJ_36692685</v>
      </c>
      <c r="C65" t="str">
        <f ca="1"/>
        <v>AldrinAnalytics.Calibration.SingleNameSecurity</v>
      </c>
      <c r="D65">
        <f ca="1"/>
        <v>36692685</v>
      </c>
      <c r="E65" t="str">
        <f ca="1"/>
        <v>[AldrinAnalyticsBenchmark.xlsm]Single Names</v>
      </c>
      <c r="F65">
        <f ca="1"/>
        <v>24</v>
      </c>
      <c r="G65">
        <f ca="1"/>
        <v>9</v>
      </c>
      <c r="H65" s="17">
        <f ca="1"/>
        <v>44057.665348831018</v>
      </c>
    </row>
    <row r="66" spans="2:8" x14ac:dyDescent="0.35">
      <c r="B66" t="str">
        <f ca="1"/>
        <v>OBJ_1660021210</v>
      </c>
      <c r="C66" t="str">
        <f ca="1"/>
        <v>AldrinAnalytics.Instruments.SingleNameTicker</v>
      </c>
      <c r="D66">
        <f ca="1"/>
        <v>1660021210</v>
      </c>
      <c r="E66" t="str">
        <f ca="1"/>
        <v>[AldrinAnalyticsBenchmark.xlsm]Single Names</v>
      </c>
      <c r="F66">
        <f ca="1"/>
        <v>28</v>
      </c>
      <c r="G66">
        <f ca="1"/>
        <v>8</v>
      </c>
      <c r="H66" s="17">
        <f ca="1"/>
        <v>44057.665348842595</v>
      </c>
    </row>
    <row r="67" spans="2:8" x14ac:dyDescent="0.35">
      <c r="B67" t="str">
        <f ca="1"/>
        <v>OBJ_-1807569594</v>
      </c>
      <c r="C67" t="str">
        <f ca="1"/>
        <v>AldrinAnalytics.Instruments.AssetLegStd</v>
      </c>
      <c r="D67">
        <f ca="1"/>
        <v>287119865</v>
      </c>
      <c r="E67" t="str">
        <f ca="1"/>
        <v>[AldrinAnalyticsBenchmark.xlsm]Book</v>
      </c>
      <c r="F67">
        <f ca="1"/>
        <v>4</v>
      </c>
      <c r="G67">
        <f ca="1"/>
        <v>25</v>
      </c>
      <c r="H67" s="17">
        <f ca="1"/>
        <v>44057.66535059028</v>
      </c>
    </row>
    <row r="68" spans="2:8" x14ac:dyDescent="0.35">
      <c r="B68" t="str">
        <f ca="1"/>
        <v>OBJ_1375974579</v>
      </c>
      <c r="C68" t="str">
        <f ca="1"/>
        <v>AldrinAnalytics.Instruments.OisReference</v>
      </c>
      <c r="D68">
        <f ca="1"/>
        <v>1375974579</v>
      </c>
      <c r="E68" t="str">
        <f ca="1"/>
        <v>[AldrinAnalyticsBenchmark.xlsm]Book</v>
      </c>
      <c r="F68">
        <f ca="1"/>
        <v>14</v>
      </c>
      <c r="G68">
        <f ca="1"/>
        <v>22</v>
      </c>
      <c r="H68" s="17">
        <f ca="1"/>
        <v>44057.665350740739</v>
      </c>
    </row>
    <row r="69" spans="2:8" x14ac:dyDescent="0.35">
      <c r="B69" t="str">
        <f ca="1"/>
        <v>OBJ_45414681</v>
      </c>
      <c r="C69" t="str">
        <f ca="1"/>
        <v>AldrinAnalytics.Instruments.CashCollateral</v>
      </c>
      <c r="D69">
        <f ca="1"/>
        <v>45414681</v>
      </c>
      <c r="E69" t="str">
        <f ca="1"/>
        <v>[AldrinAnalyticsBenchmark.xlsm]Book</v>
      </c>
      <c r="F69">
        <f ca="1"/>
        <v>11</v>
      </c>
      <c r="G69">
        <f ca="1"/>
        <v>20</v>
      </c>
      <c r="H69" s="17">
        <f ca="1"/>
        <v>44057.665350717594</v>
      </c>
    </row>
    <row r="70" spans="2:8" x14ac:dyDescent="0.35">
      <c r="B70" t="str">
        <f ca="1"/>
        <v>OBJ_35502400</v>
      </c>
      <c r="C70" t="str">
        <f ca="1"/>
        <v>AldrinAnalytics.Instruments.Book</v>
      </c>
      <c r="D70">
        <f ca="1"/>
        <v>35502400</v>
      </c>
      <c r="E70" t="str">
        <f ca="1"/>
        <v>[AldrinAnalyticsBenchmark.xlsm]Book</v>
      </c>
      <c r="F70">
        <f ca="1"/>
        <v>14</v>
      </c>
      <c r="G70">
        <f ca="1"/>
        <v>28</v>
      </c>
      <c r="H70" s="17">
        <f ca="1"/>
        <v>44057.665350752315</v>
      </c>
    </row>
    <row r="71" spans="2:8" x14ac:dyDescent="0.35">
      <c r="B71" t="str">
        <f ca="1"/>
        <v>OBJ_-641591466</v>
      </c>
      <c r="C71" t="str">
        <f ca="1"/>
        <v>AldrinAnalytics.Instruments.SingleNameTicker</v>
      </c>
      <c r="D71">
        <f ca="1"/>
        <v>-641591466</v>
      </c>
      <c r="E71" t="str">
        <f ca="1"/>
        <v>[AldrinAnalyticsBenchmark.xlsm]Single Names</v>
      </c>
      <c r="F71">
        <f ca="1"/>
        <v>52</v>
      </c>
      <c r="G71">
        <f ca="1"/>
        <v>8</v>
      </c>
      <c r="H71" s="17">
        <f ca="1"/>
        <v>44057.665348888891</v>
      </c>
    </row>
    <row r="72" spans="2:8" x14ac:dyDescent="0.35">
      <c r="B72" t="str">
        <f ca="1"/>
        <v>OBJ_30841752</v>
      </c>
      <c r="C72" t="str">
        <f ca="1"/>
        <v>AldrinAnalytics.Excel.BasketSet</v>
      </c>
      <c r="D72">
        <f ca="1"/>
        <v>30841752</v>
      </c>
      <c r="E72" t="str">
        <f ca="1"/>
        <v>[AldrinAnalyticsBenchmark.xlsm]Baskets</v>
      </c>
      <c r="F72">
        <f ca="1"/>
        <v>1</v>
      </c>
      <c r="G72">
        <f ca="1"/>
        <v>1</v>
      </c>
      <c r="H72" s="17">
        <f ca="1"/>
        <v>44057.665349027775</v>
      </c>
    </row>
    <row r="73" spans="2:8" x14ac:dyDescent="0.35">
      <c r="B73" t="str">
        <f ca="1"/>
        <v>OBJ_13572879</v>
      </c>
      <c r="C73" t="str">
        <f ca="1"/>
        <v>AldrinAnalytics.Calibration.SingleNameSecurity</v>
      </c>
      <c r="D73">
        <f ca="1"/>
        <v>13572879</v>
      </c>
      <c r="E73" t="str">
        <f ca="1"/>
        <v>[AldrinAnalyticsBenchmark.xlsm]Single Names</v>
      </c>
      <c r="F73">
        <f ca="1"/>
        <v>39</v>
      </c>
      <c r="G73">
        <f ca="1"/>
        <v>9</v>
      </c>
      <c r="H73" s="17">
        <f ca="1"/>
        <v>44057.665348865739</v>
      </c>
    </row>
    <row r="74" spans="2:8" x14ac:dyDescent="0.35">
      <c r="B74" t="str">
        <f ca="1"/>
        <v>OBJ_35340701</v>
      </c>
      <c r="C74" t="str">
        <f ca="1"/>
        <v>AldrinAnalytics.Calibration.SingleNameDataSheet</v>
      </c>
      <c r="D74">
        <f ca="1"/>
        <v>35340701</v>
      </c>
      <c r="E74" t="str">
        <f ca="1"/>
        <v>[AldrinAnalyticsBenchmark.xlsm]Single Names</v>
      </c>
      <c r="F74">
        <f ca="1"/>
        <v>4</v>
      </c>
      <c r="G74">
        <f ca="1"/>
        <v>10</v>
      </c>
      <c r="H74" s="17">
        <f ca="1"/>
        <v>44057.665348888891</v>
      </c>
    </row>
    <row r="75" spans="2:8" x14ac:dyDescent="0.35">
      <c r="B75" t="str">
        <f ca="1"/>
        <v>OBJ_-181684590</v>
      </c>
      <c r="C75" t="str">
        <f ca="1"/>
        <v>AldrinAnalytics.Instruments.SingleNameTicker</v>
      </c>
      <c r="D75">
        <f ca="1"/>
        <v>-181684590</v>
      </c>
      <c r="E75" t="str">
        <f ca="1"/>
        <v>[AldrinAnalyticsBenchmark.xlsm]Single Names</v>
      </c>
      <c r="F75">
        <f ca="1"/>
        <v>32</v>
      </c>
      <c r="G75">
        <f ca="1"/>
        <v>8</v>
      </c>
      <c r="H75" s="17">
        <f ca="1"/>
        <v>44057.665348854163</v>
      </c>
    </row>
    <row r="76" spans="2:8" x14ac:dyDescent="0.35">
      <c r="B76" t="str">
        <f ca="1"/>
        <v>OBJ_903863</v>
      </c>
      <c r="C76" t="str">
        <f ca="1"/>
        <v>AldrinAnalytics.Pricers.MonteCarloPricingSetting</v>
      </c>
      <c r="D76">
        <f ca="1"/>
        <v>903863</v>
      </c>
      <c r="E76" t="str">
        <f ca="1"/>
        <v>[AldrinAnalyticsBenchmark.xlsm]Pricing</v>
      </c>
      <c r="F76">
        <f ca="1"/>
        <v>1</v>
      </c>
      <c r="G76">
        <f ca="1"/>
        <v>7</v>
      </c>
      <c r="H76" s="17">
        <f ca="1"/>
        <v>44057.66535427083</v>
      </c>
    </row>
    <row r="77" spans="2:8" x14ac:dyDescent="0.35">
      <c r="B77" t="str">
        <f ca="1"/>
        <v>OBJ_35502400</v>
      </c>
      <c r="C77" t="str">
        <f ca="1"/>
        <v>AldrinAnalytics.Instruments.Book</v>
      </c>
      <c r="D77">
        <f ca="1"/>
        <v>35502400</v>
      </c>
      <c r="E77" t="str">
        <f ca="1"/>
        <v>[AldrinAnalyticsBenchmark.xlsm]Book</v>
      </c>
      <c r="F77">
        <f ca="1"/>
        <v>12</v>
      </c>
      <c r="G77">
        <f ca="1"/>
        <v>28</v>
      </c>
      <c r="H77" s="17">
        <f ca="1"/>
        <v>44057.665350752315</v>
      </c>
    </row>
    <row r="78" spans="2:8" x14ac:dyDescent="0.35">
      <c r="B78" t="str">
        <f ca="1"/>
        <v>OBJ_35340701</v>
      </c>
      <c r="C78" t="str">
        <f ca="1"/>
        <v>AldrinAnalytics.Calibration.SingleNameDataSheet</v>
      </c>
      <c r="D78">
        <f ca="1"/>
        <v>35340701</v>
      </c>
      <c r="E78" t="str">
        <f ca="1"/>
        <v>[AldrinAnalyticsBenchmark.xlsm]Single Names</v>
      </c>
      <c r="F78">
        <f ca="1"/>
        <v>7</v>
      </c>
      <c r="G78">
        <f ca="1"/>
        <v>10</v>
      </c>
      <c r="H78" s="17">
        <f ca="1"/>
        <v>44057.665348888891</v>
      </c>
    </row>
    <row r="79" spans="2:8" x14ac:dyDescent="0.35">
      <c r="B79" t="str">
        <f ca="1"/>
        <v>OBJ_1345389</v>
      </c>
      <c r="C79" t="str">
        <f ca="1"/>
        <v>System.String[]</v>
      </c>
      <c r="D79">
        <f ca="1"/>
        <v>1345389</v>
      </c>
      <c r="E79" t="str">
        <f ca="1"/>
        <v>[AldrinAnalyticsBenchmark.xlsm]Codings</v>
      </c>
      <c r="F79">
        <f ca="1"/>
        <v>1</v>
      </c>
      <c r="G79">
        <f ca="1"/>
        <v>3</v>
      </c>
      <c r="H79" s="17">
        <f ca="1"/>
        <v>44057.665356736114</v>
      </c>
    </row>
    <row r="80" spans="2:8" x14ac:dyDescent="0.35">
      <c r="B80" t="str">
        <f ca="1"/>
        <v>OBJ_2366611</v>
      </c>
      <c r="C80" t="str">
        <f ca="1"/>
        <v>AldrinAnalytics.Instruments.CashCollateral</v>
      </c>
      <c r="D80">
        <f ca="1"/>
        <v>2366611</v>
      </c>
      <c r="E80" t="str">
        <f ca="1"/>
        <v>[AldrinAnalyticsBenchmark.xlsm]Book</v>
      </c>
      <c r="F80">
        <f ca="1"/>
        <v>13</v>
      </c>
      <c r="G80">
        <f ca="1"/>
        <v>20</v>
      </c>
      <c r="H80" s="17">
        <f ca="1"/>
        <v>44057.665350740739</v>
      </c>
    </row>
    <row r="81" spans="2:8" x14ac:dyDescent="0.35">
      <c r="B81" t="str">
        <f ca="1"/>
        <v>OBJ_23884825</v>
      </c>
      <c r="C81" t="str">
        <f ca="1"/>
        <v>AldrinAnalytics.Calibration.SingleNameSecurity</v>
      </c>
      <c r="D81">
        <f ca="1"/>
        <v>23884825</v>
      </c>
      <c r="E81" t="str">
        <f ca="1"/>
        <v>[AldrinAnalyticsBenchmark.xlsm]Single Names</v>
      </c>
      <c r="F81">
        <f ca="1"/>
        <v>51</v>
      </c>
      <c r="G81">
        <f ca="1"/>
        <v>9</v>
      </c>
      <c r="H81" s="17">
        <f ca="1"/>
        <v>44057.665348888891</v>
      </c>
    </row>
    <row r="82" spans="2:8" x14ac:dyDescent="0.35">
      <c r="B82" t="str">
        <f ca="1"/>
        <v>OBJ_28182506</v>
      </c>
      <c r="C82" t="str">
        <f ca="1"/>
        <v>AldrinAnalytics.Instruments.CashCollateral</v>
      </c>
      <c r="D82">
        <f ca="1"/>
        <v>28182506</v>
      </c>
      <c r="E82" t="str">
        <f ca="1"/>
        <v>[AldrinAnalyticsBenchmark.xlsm]Book</v>
      </c>
      <c r="F82">
        <f ca="1"/>
        <v>7</v>
      </c>
      <c r="G82">
        <f ca="1"/>
        <v>20</v>
      </c>
      <c r="H82" s="17">
        <f ca="1"/>
        <v>44057.665350659721</v>
      </c>
    </row>
    <row r="83" spans="2:8" x14ac:dyDescent="0.35">
      <c r="B83" t="str">
        <f ca="1"/>
        <v>OBJ_40695458</v>
      </c>
      <c r="C83" t="str">
        <f ca="1"/>
        <v>AldrinAnalytics.Calibration.SingleNameSecurity</v>
      </c>
      <c r="D83">
        <f ca="1"/>
        <v>40695458</v>
      </c>
      <c r="E83" t="str">
        <f ca="1"/>
        <v>[AldrinAnalyticsBenchmark.xlsm]Single Names</v>
      </c>
      <c r="F83">
        <f ca="1"/>
        <v>30</v>
      </c>
      <c r="G83">
        <f ca="1"/>
        <v>9</v>
      </c>
      <c r="H83" s="17">
        <f ca="1"/>
        <v>44057.665348842595</v>
      </c>
    </row>
    <row r="84" spans="2:8" x14ac:dyDescent="0.35">
      <c r="B84" t="str">
        <f ca="1"/>
        <v>OBJ_62372282</v>
      </c>
      <c r="C84" t="str">
        <f ca="1"/>
        <v>AldrinAnalytics.Calibration.SingleNameSecurity</v>
      </c>
      <c r="D84">
        <f ca="1"/>
        <v>62372282</v>
      </c>
      <c r="E84" t="str">
        <f ca="1"/>
        <v>[AldrinAnalyticsBenchmark.xlsm]Single Names</v>
      </c>
      <c r="F84">
        <f ca="1"/>
        <v>21</v>
      </c>
      <c r="G84">
        <f ca="1"/>
        <v>9</v>
      </c>
      <c r="H84" s="17">
        <f ca="1"/>
        <v>44057.665348831018</v>
      </c>
    </row>
    <row r="85" spans="2:8" x14ac:dyDescent="0.35">
      <c r="B85" t="str">
        <f ca="1"/>
        <v>OBJ_-843401282</v>
      </c>
      <c r="C85" t="str">
        <f ca="1"/>
        <v>AldrinAnalytics.Instruments.SecurityBasket</v>
      </c>
      <c r="D85">
        <f ca="1"/>
        <v>-843401282</v>
      </c>
      <c r="E85" t="str">
        <f ca="1"/>
        <v>[AldrinAnalyticsBenchmark.xlsm]Book</v>
      </c>
      <c r="F85">
        <f ca="1"/>
        <v>8</v>
      </c>
      <c r="G85">
        <f ca="1"/>
        <v>21</v>
      </c>
      <c r="H85" s="17">
        <f ca="1"/>
        <v>44057.665353414355</v>
      </c>
    </row>
    <row r="86" spans="2:8" x14ac:dyDescent="0.35">
      <c r="B86" t="str">
        <f ca="1"/>
        <v>OBJ_35340701</v>
      </c>
      <c r="C86" t="str">
        <f ca="1"/>
        <v>AldrinAnalytics.Calibration.SingleNameDataSheet</v>
      </c>
      <c r="D86">
        <f ca="1"/>
        <v>35340701</v>
      </c>
      <c r="E86" t="str">
        <f ca="1"/>
        <v>[AldrinAnalyticsBenchmark.xlsm]Single Names</v>
      </c>
      <c r="F86">
        <f ca="1"/>
        <v>35</v>
      </c>
      <c r="G86">
        <f ca="1"/>
        <v>10</v>
      </c>
      <c r="H86" s="17">
        <f ca="1"/>
        <v>44057.665348888891</v>
      </c>
    </row>
    <row r="87" spans="2:8" x14ac:dyDescent="0.35">
      <c r="B87" t="str">
        <f ca="1"/>
        <v>OBJ_35340701</v>
      </c>
      <c r="C87" t="str">
        <f ca="1"/>
        <v>AldrinAnalytics.Calibration.SingleNameDataSheet</v>
      </c>
      <c r="D87">
        <f ca="1"/>
        <v>35340701</v>
      </c>
      <c r="E87" t="str">
        <f ca="1"/>
        <v>[AldrinAnalyticsBenchmark.xlsm]Single Names</v>
      </c>
      <c r="F87">
        <f ca="1"/>
        <v>39</v>
      </c>
      <c r="G87">
        <f ca="1"/>
        <v>10</v>
      </c>
      <c r="H87" s="17">
        <f ca="1"/>
        <v>44057.665348888891</v>
      </c>
    </row>
    <row r="88" spans="2:8" x14ac:dyDescent="0.35">
      <c r="B88" t="str">
        <f ca="1"/>
        <v>OBJ_35340701</v>
      </c>
      <c r="C88" t="str">
        <f ca="1"/>
        <v>AldrinAnalytics.Calibration.SingleNameDataSheet</v>
      </c>
      <c r="D88">
        <f ca="1"/>
        <v>35340701</v>
      </c>
      <c r="E88" t="str">
        <f ca="1"/>
        <v>[AldrinAnalyticsBenchmark.xlsm]Single Names</v>
      </c>
      <c r="F88">
        <f ca="1"/>
        <v>13</v>
      </c>
      <c r="G88">
        <f ca="1"/>
        <v>10</v>
      </c>
      <c r="H88" s="17">
        <f ca="1"/>
        <v>44057.665348888891</v>
      </c>
    </row>
    <row r="89" spans="2:8" x14ac:dyDescent="0.35">
      <c r="B89" t="str">
        <f ca="1"/>
        <v>OBJ_1327776643</v>
      </c>
      <c r="C89" t="str">
        <f ca="1"/>
        <v>AldrinAnalytics.Instruments.SingleNameTicker</v>
      </c>
      <c r="D89">
        <f ca="1"/>
        <v>1327776643</v>
      </c>
      <c r="E89" t="str">
        <f ca="1"/>
        <v>[AldrinAnalyticsBenchmark.xlsm]Single Names</v>
      </c>
      <c r="F89">
        <f ca="1"/>
        <v>7</v>
      </c>
      <c r="G89">
        <f ca="1"/>
        <v>8</v>
      </c>
      <c r="H89" s="17">
        <f ca="1"/>
        <v>44057.665348773146</v>
      </c>
    </row>
    <row r="90" spans="2:8" x14ac:dyDescent="0.35">
      <c r="B90" t="str">
        <f ca="1"/>
        <v>OBJ_8562452</v>
      </c>
      <c r="C90" t="str">
        <f ca="1"/>
        <v>AldrinAnalytics.Excel.PricingSettingSet</v>
      </c>
      <c r="D90">
        <f ca="1"/>
        <v>8562452</v>
      </c>
      <c r="E90" t="str">
        <f ca="1"/>
        <v>[AldrinAnalyticsBenchmark.xlsm]Pricing</v>
      </c>
      <c r="F90">
        <f ca="1"/>
        <v>8</v>
      </c>
      <c r="G90">
        <f ca="1"/>
        <v>7</v>
      </c>
      <c r="H90" s="17">
        <f ca="1"/>
        <v>44057.66535427083</v>
      </c>
    </row>
    <row r="91" spans="2:8" x14ac:dyDescent="0.35">
      <c r="B91" t="str">
        <f ca="1"/>
        <v>OBJ_5791838</v>
      </c>
      <c r="C91" t="str">
        <f ca="1"/>
        <v>AldrinAnalytics.Calibration.SingleNameSecurity</v>
      </c>
      <c r="D91">
        <f ca="1"/>
        <v>5791838</v>
      </c>
      <c r="E91" t="str">
        <f ca="1"/>
        <v>[AldrinAnalyticsBenchmark.xlsm]Single Names</v>
      </c>
      <c r="F91">
        <f ca="1"/>
        <v>11</v>
      </c>
      <c r="G91">
        <f ca="1"/>
        <v>9</v>
      </c>
      <c r="H91" s="17">
        <f ca="1"/>
        <v>44057.665348807874</v>
      </c>
    </row>
    <row r="92" spans="2:8" x14ac:dyDescent="0.35">
      <c r="B92" t="str">
        <f ca="1"/>
        <v>OBJ_50270944</v>
      </c>
      <c r="C92" t="str">
        <f ca="1"/>
        <v>AldrinAnalytics.Instruments.CashCollateral</v>
      </c>
      <c r="D92">
        <f ca="1"/>
        <v>50270944</v>
      </c>
      <c r="E92" t="str">
        <f ca="1"/>
        <v>[AldrinAnalyticsBenchmark.xlsm]Book</v>
      </c>
      <c r="F92">
        <f ca="1"/>
        <v>10</v>
      </c>
      <c r="G92">
        <f ca="1"/>
        <v>20</v>
      </c>
      <c r="H92" s="17">
        <f ca="1"/>
        <v>44057.665350706018</v>
      </c>
    </row>
    <row r="93" spans="2:8" x14ac:dyDescent="0.35">
      <c r="B93" t="str">
        <f ca="1"/>
        <v>OBJ_1375974579</v>
      </c>
      <c r="C93" t="str">
        <f ca="1"/>
        <v>AldrinAnalytics.Instruments.OisReference</v>
      </c>
      <c r="D93">
        <f ca="1"/>
        <v>1375974579</v>
      </c>
      <c r="E93" t="str">
        <f ca="1"/>
        <v>[AldrinAnalyticsBenchmark.xlsm]Book</v>
      </c>
      <c r="F93">
        <f ca="1"/>
        <v>13</v>
      </c>
      <c r="G93">
        <f ca="1"/>
        <v>22</v>
      </c>
      <c r="H93" s="17">
        <f ca="1"/>
        <v>44057.665350740739</v>
      </c>
    </row>
    <row r="94" spans="2:8" x14ac:dyDescent="0.35">
      <c r="B94" t="str">
        <f ca="1"/>
        <v>OBJ_-843401282</v>
      </c>
      <c r="C94" t="str">
        <f ca="1"/>
        <v>AldrinAnalytics.Instruments.SecurityBasket</v>
      </c>
      <c r="D94">
        <f ca="1"/>
        <v>-843401282</v>
      </c>
      <c r="E94" t="str">
        <f ca="1"/>
        <v>[AldrinAnalyticsBenchmark.xlsm]Book</v>
      </c>
      <c r="F94">
        <f ca="1"/>
        <v>10</v>
      </c>
      <c r="G94">
        <f ca="1"/>
        <v>21</v>
      </c>
      <c r="H94" s="17">
        <f ca="1"/>
        <v>44057.665353414355</v>
      </c>
    </row>
    <row r="95" spans="2:8" x14ac:dyDescent="0.35">
      <c r="B95" t="str">
        <f ca="1"/>
        <v>OBJ_-1321768695</v>
      </c>
      <c r="C95" t="str">
        <f ca="1"/>
        <v>AldrinAnalytics.Instruments.AssetLegFloatRate</v>
      </c>
      <c r="D95">
        <f ca="1"/>
        <v>-49400160</v>
      </c>
      <c r="E95" t="str">
        <f ca="1"/>
        <v>[AldrinAnalyticsBenchmark.xlsm]Book</v>
      </c>
      <c r="F95">
        <f ca="1"/>
        <v>13</v>
      </c>
      <c r="G95">
        <f ca="1"/>
        <v>26</v>
      </c>
      <c r="H95" s="17">
        <f ca="1"/>
        <v>44057.665350740739</v>
      </c>
    </row>
    <row r="96" spans="2:8" x14ac:dyDescent="0.35">
      <c r="B96" t="str">
        <f ca="1"/>
        <v>OBJ_64330188</v>
      </c>
      <c r="C96" t="str">
        <f ca="1"/>
        <v>AldrinAnalytics.Pricers.GenericMarket`2[AldrinAnalytics.Instruments.LiborReference,Zeliade.Finance.Common.RateCurves.IDiscountCurve`1[System.DateTime]]</v>
      </c>
      <c r="D96">
        <f ca="1"/>
        <v>64330188</v>
      </c>
      <c r="E96" t="str">
        <f ca="1"/>
        <v>[AldrinAnalyticsBenchmark.xlsm]Markets</v>
      </c>
      <c r="F96">
        <f ca="1"/>
        <v>13</v>
      </c>
      <c r="G96">
        <f ca="1"/>
        <v>1</v>
      </c>
      <c r="H96" s="17">
        <f ca="1"/>
        <v>44057.665352777774</v>
      </c>
    </row>
    <row r="97" spans="2:8" x14ac:dyDescent="0.35">
      <c r="B97" t="str">
        <f ca="1"/>
        <v>OBJ_558409692</v>
      </c>
      <c r="C97" t="str">
        <f ca="1"/>
        <v>AldrinAnalytics.Instruments.SingleNameTicker</v>
      </c>
      <c r="D97">
        <f ca="1"/>
        <v>558409692</v>
      </c>
      <c r="E97" t="str">
        <f ca="1"/>
        <v>[AldrinAnalyticsBenchmark.xlsm]Single Names</v>
      </c>
      <c r="F97">
        <f ca="1"/>
        <v>14</v>
      </c>
      <c r="G97">
        <f ca="1"/>
        <v>8</v>
      </c>
      <c r="H97" s="17">
        <f ca="1"/>
        <v>44057.665348819442</v>
      </c>
    </row>
    <row r="98" spans="2:8" x14ac:dyDescent="0.35">
      <c r="B98" t="str">
        <f ca="1"/>
        <v>OBJ_63597034</v>
      </c>
      <c r="C98" t="str">
        <f ca="1"/>
        <v>Zeliade.Finance.Common.Calibration.DataQuoteSheet</v>
      </c>
      <c r="D98">
        <f ca="1"/>
        <v>63597034</v>
      </c>
      <c r="E98" t="str">
        <f ca="1"/>
        <v>[AldrinAnalyticsBenchmark.xlsm]Repos</v>
      </c>
      <c r="F98">
        <f ca="1"/>
        <v>3</v>
      </c>
      <c r="G98">
        <f ca="1"/>
        <v>1</v>
      </c>
      <c r="H98" s="17">
        <f ca="1"/>
        <v>44057.665349699077</v>
      </c>
    </row>
    <row r="99" spans="2:8" x14ac:dyDescent="0.35">
      <c r="B99" t="str">
        <f ca="1"/>
        <v>OBJ_-843401282</v>
      </c>
      <c r="C99" t="str">
        <f ca="1"/>
        <v>AldrinAnalytics.Instruments.SecurityBasket</v>
      </c>
      <c r="D99">
        <f ca="1"/>
        <v>-843401282</v>
      </c>
      <c r="E99" t="str">
        <f ca="1"/>
        <v>[AldrinAnalyticsBenchmark.xlsm]Baskets</v>
      </c>
      <c r="F99">
        <f ca="1"/>
        <v>2</v>
      </c>
      <c r="G99">
        <f ca="1"/>
        <v>1</v>
      </c>
      <c r="H99" s="17">
        <f ca="1"/>
        <v>44057.665353414355</v>
      </c>
    </row>
    <row r="100" spans="2:8" x14ac:dyDescent="0.35">
      <c r="B100" t="str">
        <f ca="1"/>
        <v>OBJ_5770151</v>
      </c>
      <c r="C100" t="str">
        <f ca="1"/>
        <v>AldrinAnalytics.Excel.ModelSet</v>
      </c>
      <c r="D100">
        <f ca="1"/>
        <v>5770151</v>
      </c>
      <c r="E100" t="str">
        <f ca="1"/>
        <v>[AldrinAnalyticsBenchmark.xlsm]Models</v>
      </c>
      <c r="F100">
        <f ca="1"/>
        <v>7</v>
      </c>
      <c r="G100">
        <f ca="1"/>
        <v>2</v>
      </c>
      <c r="H100" s="17">
        <f ca="1"/>
        <v>44057.665353622688</v>
      </c>
    </row>
    <row r="101" spans="2:8" x14ac:dyDescent="0.35">
      <c r="B101" t="str">
        <f ca="1"/>
        <v>OBJ_25189967</v>
      </c>
      <c r="C101" t="str">
        <f ca="1"/>
        <v>AldrinAnalytics.Pricers.DividendMarket</v>
      </c>
      <c r="D101">
        <f ca="1"/>
        <v>25189967</v>
      </c>
      <c r="E101" t="str">
        <f ca="1"/>
        <v>[AldrinAnalyticsBenchmark.xlsm]Markets</v>
      </c>
      <c r="F101">
        <f ca="1"/>
        <v>20</v>
      </c>
      <c r="G101">
        <f ca="1"/>
        <v>2</v>
      </c>
      <c r="H101" s="17">
        <f ca="1"/>
        <v>44057.665351203701</v>
      </c>
    </row>
    <row r="102" spans="2:8" x14ac:dyDescent="0.35">
      <c r="B102" t="str">
        <f ca="1"/>
        <v>OBJ_61327951</v>
      </c>
      <c r="C102" t="str">
        <f ca="1"/>
        <v>AldrinAnalytics.Calibration.SingleNameSecurity</v>
      </c>
      <c r="D102">
        <f ca="1"/>
        <v>61327951</v>
      </c>
      <c r="E102" t="str">
        <f ca="1"/>
        <v>[AldrinAnalyticsBenchmark.xlsm]Single Names</v>
      </c>
      <c r="F102">
        <f ca="1"/>
        <v>36</v>
      </c>
      <c r="G102">
        <f ca="1"/>
        <v>9</v>
      </c>
      <c r="H102" s="17">
        <f ca="1"/>
        <v>44057.665348854163</v>
      </c>
    </row>
    <row r="103" spans="2:8" x14ac:dyDescent="0.35">
      <c r="B103" t="str">
        <f ca="1"/>
        <v>OBJ_35340701</v>
      </c>
      <c r="C103" t="str">
        <f ca="1"/>
        <v>AldrinAnalytics.Calibration.SingleNameDataSheet</v>
      </c>
      <c r="D103">
        <f ca="1"/>
        <v>35340701</v>
      </c>
      <c r="E103" t="str">
        <f ca="1"/>
        <v>[AldrinAnalyticsBenchmark.xlsm]Single Names</v>
      </c>
      <c r="F103">
        <f ca="1"/>
        <v>25</v>
      </c>
      <c r="G103">
        <f ca="1"/>
        <v>10</v>
      </c>
      <c r="H103" s="17">
        <f ca="1"/>
        <v>44057.665348888891</v>
      </c>
    </row>
    <row r="104" spans="2:8" x14ac:dyDescent="0.35">
      <c r="B104" t="str">
        <f ca="1"/>
        <v>OBJ_29752766</v>
      </c>
      <c r="C104" t="str">
        <f ca="1"/>
        <v>AldrinAnalytics.Instruments.TotalReturnSwap</v>
      </c>
      <c r="D104">
        <f ca="1"/>
        <v>29752766</v>
      </c>
      <c r="E104" t="str">
        <f ca="1"/>
        <v>[AldrinAnalyticsBenchmark.xlsm]Book</v>
      </c>
      <c r="F104">
        <f ca="1"/>
        <v>5</v>
      </c>
      <c r="G104">
        <f ca="1"/>
        <v>27</v>
      </c>
      <c r="H104" s="17">
        <f ca="1"/>
        <v>44057.665350636576</v>
      </c>
    </row>
    <row r="105" spans="2:8" x14ac:dyDescent="0.35">
      <c r="B105" t="str">
        <f ca="1"/>
        <v>OBJ_35340701</v>
      </c>
      <c r="C105" t="str">
        <f ca="1"/>
        <v>AldrinAnalytics.Calibration.SingleNameDataSheet</v>
      </c>
      <c r="D105">
        <f ca="1"/>
        <v>35340701</v>
      </c>
      <c r="E105" t="str">
        <f ca="1"/>
        <v>[AldrinAnalyticsBenchmark.xlsm]Single Names</v>
      </c>
      <c r="F105">
        <f ca="1"/>
        <v>14</v>
      </c>
      <c r="G105">
        <f ca="1"/>
        <v>10</v>
      </c>
      <c r="H105" s="17">
        <f ca="1"/>
        <v>44057.665348888891</v>
      </c>
    </row>
    <row r="106" spans="2:8" x14ac:dyDescent="0.35">
      <c r="B106" t="str">
        <f ca="1"/>
        <v>OBJ_1647307432</v>
      </c>
      <c r="C106" t="str">
        <f ca="1"/>
        <v>AldrinAnalytics.Instruments.SingleNameTicker</v>
      </c>
      <c r="D106">
        <f ca="1"/>
        <v>1647307432</v>
      </c>
      <c r="E106" t="str">
        <f ca="1"/>
        <v>[AldrinAnalyticsBenchmark.xlsm]Single Names</v>
      </c>
      <c r="F106">
        <f ca="1"/>
        <v>23</v>
      </c>
      <c r="G106">
        <f ca="1"/>
        <v>8</v>
      </c>
      <c r="H106" s="17">
        <f ca="1"/>
        <v>44057.665348831018</v>
      </c>
    </row>
    <row r="107" spans="2:8" x14ac:dyDescent="0.35">
      <c r="B107" t="str">
        <f ca="1"/>
        <v>OBJ_35340701</v>
      </c>
      <c r="C107" t="str">
        <f ca="1"/>
        <v>AldrinAnalytics.Calibration.SingleNameDataSheet</v>
      </c>
      <c r="D107">
        <f ca="1"/>
        <v>35340701</v>
      </c>
      <c r="E107" t="str">
        <f ca="1"/>
        <v>[AldrinAnalyticsBenchmark.xlsm]Single Names</v>
      </c>
      <c r="F107">
        <f ca="1"/>
        <v>36</v>
      </c>
      <c r="G107">
        <f ca="1"/>
        <v>10</v>
      </c>
      <c r="H107" s="17">
        <f ca="1"/>
        <v>44057.665348888891</v>
      </c>
    </row>
    <row r="108" spans="2:8" x14ac:dyDescent="0.35">
      <c r="B108" t="str">
        <f ca="1"/>
        <v>OBJ_2068126436</v>
      </c>
      <c r="C108" t="str">
        <f ca="1"/>
        <v>AldrinAnalytics.Instruments.AssetLegStd</v>
      </c>
      <c r="D108">
        <f ca="1"/>
        <v>-336158419</v>
      </c>
      <c r="E108" t="str">
        <f ca="1"/>
        <v>[AldrinAnalyticsBenchmark.xlsm]Book</v>
      </c>
      <c r="F108">
        <f ca="1"/>
        <v>7</v>
      </c>
      <c r="G108">
        <f ca="1"/>
        <v>25</v>
      </c>
      <c r="H108" s="17">
        <f ca="1"/>
        <v>44057.665350659721</v>
      </c>
    </row>
    <row r="109" spans="2:8" x14ac:dyDescent="0.35">
      <c r="B109" t="str">
        <f ca="1"/>
        <v>OBJ_55047048</v>
      </c>
      <c r="C109" t="str">
        <f ca="1"/>
        <v>AldrinAnalytics.Calibration.SingleNameSecurity</v>
      </c>
      <c r="D109">
        <f ca="1"/>
        <v>55047048</v>
      </c>
      <c r="E109" t="str">
        <f ca="1"/>
        <v>[AldrinAnalyticsBenchmark.xlsm]Single Names</v>
      </c>
      <c r="F109">
        <f ca="1"/>
        <v>40</v>
      </c>
      <c r="G109">
        <f ca="1"/>
        <v>9</v>
      </c>
      <c r="H109" s="17">
        <f ca="1"/>
        <v>44057.665348865739</v>
      </c>
    </row>
    <row r="110" spans="2:8" x14ac:dyDescent="0.35">
      <c r="B110" t="str">
        <f ca="1"/>
        <v>OBJ_2079099372</v>
      </c>
      <c r="C110" t="str">
        <f ca="1"/>
        <v>AldrinAnalytics.Instruments.SingleNameTicker</v>
      </c>
      <c r="D110">
        <f ca="1"/>
        <v>2079099372</v>
      </c>
      <c r="E110" t="str">
        <f ca="1"/>
        <v>[AldrinAnalyticsBenchmark.xlsm]Single Names</v>
      </c>
      <c r="F110">
        <f ca="1"/>
        <v>16</v>
      </c>
      <c r="G110">
        <f ca="1"/>
        <v>8</v>
      </c>
      <c r="H110" s="17">
        <f ca="1"/>
        <v>44057.665348819442</v>
      </c>
    </row>
    <row r="111" spans="2:8" x14ac:dyDescent="0.35">
      <c r="B111" t="str">
        <f ca="1"/>
        <v>OBJ_20178982</v>
      </c>
      <c r="C111" t="str">
        <f ca="1"/>
        <v>AldrinAnalytics.Calibration.SingleNameSecurity</v>
      </c>
      <c r="D111">
        <f ca="1"/>
        <v>20178982</v>
      </c>
      <c r="E111" t="str">
        <f ca="1"/>
        <v>[AldrinAnalyticsBenchmark.xlsm]Single Names</v>
      </c>
      <c r="F111">
        <f ca="1"/>
        <v>49</v>
      </c>
      <c r="G111">
        <f ca="1"/>
        <v>9</v>
      </c>
      <c r="H111" s="17">
        <f ca="1"/>
        <v>44057.665348877315</v>
      </c>
    </row>
    <row r="112" spans="2:8" x14ac:dyDescent="0.35">
      <c r="B112" t="str">
        <f ca="1"/>
        <v>OBJ_153377696</v>
      </c>
      <c r="C112" t="str">
        <f ca="1"/>
        <v>AldrinAnalytics.Instruments.SingleNameTicker</v>
      </c>
      <c r="D112">
        <f ca="1"/>
        <v>153377696</v>
      </c>
      <c r="E112" t="str">
        <f ca="1"/>
        <v>[AldrinAnalyticsBenchmark.xlsm]Single Names</v>
      </c>
      <c r="F112">
        <f ca="1"/>
        <v>43</v>
      </c>
      <c r="G112">
        <f ca="1"/>
        <v>8</v>
      </c>
      <c r="H112" s="17">
        <f ca="1"/>
        <v>44057.665348865739</v>
      </c>
    </row>
    <row r="113" spans="2:8" x14ac:dyDescent="0.35">
      <c r="B113" t="str">
        <f ca="1"/>
        <v>OBJ_52836911</v>
      </c>
      <c r="C113" t="str">
        <f ca="1"/>
        <v>AldrinAnalytics.Pricers.GlobalMarket</v>
      </c>
      <c r="D113">
        <f ca="1"/>
        <v>52836911</v>
      </c>
      <c r="E113" t="str">
        <f ca="1"/>
        <v>[AldrinAnalyticsBenchmark.xlsm]Markets</v>
      </c>
      <c r="F113">
        <f ca="1"/>
        <v>25</v>
      </c>
      <c r="G113">
        <f ca="1"/>
        <v>1</v>
      </c>
      <c r="H113" s="17">
        <f ca="1"/>
        <v>44057.665353182871</v>
      </c>
    </row>
    <row r="114" spans="2:8" x14ac:dyDescent="0.35">
      <c r="B114" t="str">
        <f ca="1"/>
        <v>OBJ_35340701</v>
      </c>
      <c r="C114" t="str">
        <f ca="1"/>
        <v>AldrinAnalytics.Calibration.SingleNameDataSheet</v>
      </c>
      <c r="D114">
        <f ca="1"/>
        <v>35340701</v>
      </c>
      <c r="E114" t="str">
        <f ca="1"/>
        <v>[AldrinAnalyticsBenchmark.xlsm]Single Names</v>
      </c>
      <c r="F114">
        <f ca="1"/>
        <v>31</v>
      </c>
      <c r="G114">
        <f ca="1"/>
        <v>10</v>
      </c>
      <c r="H114" s="17">
        <f ca="1"/>
        <v>44057.665348888891</v>
      </c>
    </row>
    <row r="115" spans="2:8" x14ac:dyDescent="0.35">
      <c r="B115" t="str">
        <f ca="1"/>
        <v>OBJ_-843401282</v>
      </c>
      <c r="C115" t="str">
        <f ca="1"/>
        <v>AldrinAnalytics.Instruments.SecurityBasket</v>
      </c>
      <c r="D115">
        <f ca="1"/>
        <v>-843401282</v>
      </c>
      <c r="E115" t="str">
        <f ca="1"/>
        <v>[AldrinAnalyticsBenchmark.xlsm]Book</v>
      </c>
      <c r="F115">
        <f ca="1"/>
        <v>7</v>
      </c>
      <c r="G115">
        <f ca="1"/>
        <v>21</v>
      </c>
      <c r="H115" s="17">
        <f ca="1"/>
        <v>44057.665353414355</v>
      </c>
    </row>
    <row r="116" spans="2:8" x14ac:dyDescent="0.35">
      <c r="B116" t="str">
        <f ca="1"/>
        <v>OBJ_35340701</v>
      </c>
      <c r="C116" t="str">
        <f ca="1"/>
        <v>AldrinAnalytics.Calibration.SingleNameDataSheet</v>
      </c>
      <c r="D116">
        <f ca="1"/>
        <v>35340701</v>
      </c>
      <c r="E116" t="str">
        <f ca="1"/>
        <v>[AldrinAnalyticsBenchmark.xlsm]Single Names</v>
      </c>
      <c r="F116">
        <f ca="1"/>
        <v>18</v>
      </c>
      <c r="G116">
        <f ca="1"/>
        <v>10</v>
      </c>
      <c r="H116" s="17">
        <f ca="1"/>
        <v>44057.665348888891</v>
      </c>
    </row>
    <row r="117" spans="2:8" x14ac:dyDescent="0.35">
      <c r="B117" t="str">
        <f ca="1"/>
        <v>OBJ_879189387</v>
      </c>
      <c r="C117" t="str">
        <f ca="1"/>
        <v>AldrinAnalytics.Instruments.SingleNameTicker</v>
      </c>
      <c r="D117">
        <f ca="1"/>
        <v>879189387</v>
      </c>
      <c r="E117" t="str">
        <f ca="1"/>
        <v>[AldrinAnalyticsBenchmark.xlsm]Single Names</v>
      </c>
      <c r="F117">
        <f ca="1"/>
        <v>27</v>
      </c>
      <c r="G117">
        <f ca="1"/>
        <v>8</v>
      </c>
      <c r="H117" s="17">
        <f ca="1"/>
        <v>44057.665348842595</v>
      </c>
    </row>
    <row r="118" spans="2:8" x14ac:dyDescent="0.35">
      <c r="B118" t="str">
        <f ca="1"/>
        <v>OBJ_-23348178</v>
      </c>
      <c r="C118" t="str">
        <f ca="1"/>
        <v>AldrinAnalytics.Instruments.AssetLegStd</v>
      </c>
      <c r="D118">
        <f ca="1"/>
        <v>1402561747</v>
      </c>
      <c r="E118" t="str">
        <f ca="1"/>
        <v>[AldrinAnalyticsBenchmark.xlsm]Book</v>
      </c>
      <c r="F118">
        <f ca="1"/>
        <v>11</v>
      </c>
      <c r="G118">
        <f ca="1"/>
        <v>25</v>
      </c>
      <c r="H118" s="17">
        <f ca="1"/>
        <v>44057.665350717594</v>
      </c>
    </row>
    <row r="119" spans="2:8" x14ac:dyDescent="0.35">
      <c r="B119" t="str">
        <f ca="1"/>
        <v>OBJ_-2137739022</v>
      </c>
      <c r="C119" t="str">
        <f ca="1"/>
        <v>AldrinAnalytics.Instruments.AssetLegStd</v>
      </c>
      <c r="D119">
        <f ca="1"/>
        <v>622216275</v>
      </c>
      <c r="E119" t="str">
        <f ca="1"/>
        <v>[AldrinAnalyticsBenchmark.xlsm]Book</v>
      </c>
      <c r="F119">
        <f ca="1"/>
        <v>6</v>
      </c>
      <c r="G119">
        <f ca="1"/>
        <v>25</v>
      </c>
      <c r="H119" s="17">
        <f ca="1"/>
        <v>44057.665350648145</v>
      </c>
    </row>
    <row r="120" spans="2:8" x14ac:dyDescent="0.35">
      <c r="B120" t="str">
        <f ca="1"/>
        <v>OBJ_-1685277503</v>
      </c>
      <c r="C120" t="str">
        <f ca="1"/>
        <v>AldrinAnalytics.Instruments.SingleNameTicker</v>
      </c>
      <c r="D120">
        <f ca="1"/>
        <v>-1685277503</v>
      </c>
      <c r="E120" t="str">
        <f ca="1"/>
        <v>[AldrinAnalyticsBenchmark.xlsm]Single Names</v>
      </c>
      <c r="F120">
        <f ca="1"/>
        <v>24</v>
      </c>
      <c r="G120">
        <f ca="1"/>
        <v>8</v>
      </c>
      <c r="H120" s="17">
        <f ca="1"/>
        <v>44057.665348831018</v>
      </c>
    </row>
    <row r="121" spans="2:8" x14ac:dyDescent="0.35">
      <c r="B121" t="str">
        <f ca="1"/>
        <v>OBJ_1375974579</v>
      </c>
      <c r="C121" t="str">
        <f ca="1"/>
        <v>AldrinAnalytics.Instruments.OisReference</v>
      </c>
      <c r="D121">
        <f ca="1"/>
        <v>1375974579</v>
      </c>
      <c r="E121" t="str">
        <f ca="1"/>
        <v>[AldrinAnalyticsBenchmark.xlsm]Book</v>
      </c>
      <c r="F121">
        <f ca="1"/>
        <v>4</v>
      </c>
      <c r="G121">
        <f ca="1"/>
        <v>22</v>
      </c>
      <c r="H121" s="17">
        <f ca="1"/>
        <v>44057.665350740739</v>
      </c>
    </row>
    <row r="122" spans="2:8" x14ac:dyDescent="0.35">
      <c r="B122" t="str">
        <f ca="1"/>
        <v>OBJ_41867666</v>
      </c>
      <c r="C122" t="str">
        <f ca="1"/>
        <v>System.String[]</v>
      </c>
      <c r="D122">
        <f ca="1"/>
        <v>41867666</v>
      </c>
      <c r="E122" t="str">
        <f ca="1"/>
        <v>[AldrinAnalyticsBenchmark.xlsm]Codings</v>
      </c>
      <c r="F122">
        <f ca="1"/>
        <v>1</v>
      </c>
      <c r="G122">
        <f ca="1"/>
        <v>5</v>
      </c>
      <c r="H122" s="17">
        <f ca="1"/>
        <v>44057.665356736114</v>
      </c>
    </row>
    <row r="123" spans="2:8" x14ac:dyDescent="0.35">
      <c r="B123" t="str">
        <f ca="1"/>
        <v>OBJ_184965984</v>
      </c>
      <c r="C123" t="str">
        <f ca="1"/>
        <v>AldrinAnalytics.Instruments.SingleNameTicker</v>
      </c>
      <c r="D123">
        <f ca="1"/>
        <v>184965984</v>
      </c>
      <c r="E123" t="str">
        <f ca="1"/>
        <v>[AldrinAnalyticsBenchmark.xlsm]Single Names</v>
      </c>
      <c r="F123">
        <f ca="1"/>
        <v>31</v>
      </c>
      <c r="G123">
        <f ca="1"/>
        <v>8</v>
      </c>
      <c r="H123" s="17">
        <f ca="1"/>
        <v>44057.665348842595</v>
      </c>
    </row>
    <row r="124" spans="2:8" x14ac:dyDescent="0.35">
      <c r="B124" t="str">
        <f ca="1"/>
        <v>OBJ_61798714</v>
      </c>
      <c r="C124" t="str">
        <f ca="1"/>
        <v>AldrinAnalytics.Calibration.SingleNameSecurity</v>
      </c>
      <c r="D124">
        <f ca="1"/>
        <v>61798714</v>
      </c>
      <c r="E124" t="str">
        <f ca="1"/>
        <v>[AldrinAnalyticsBenchmark.xlsm]Single Names</v>
      </c>
      <c r="F124">
        <f ca="1"/>
        <v>25</v>
      </c>
      <c r="G124">
        <f ca="1"/>
        <v>9</v>
      </c>
      <c r="H124" s="17">
        <f ca="1"/>
        <v>44057.665348831018</v>
      </c>
    </row>
    <row r="125" spans="2:8" x14ac:dyDescent="0.35">
      <c r="B125" t="str">
        <f ca="1"/>
        <v>OBJ_35340701</v>
      </c>
      <c r="C125" t="str">
        <f ca="1"/>
        <v>AldrinAnalytics.Calibration.SingleNameDataSheet</v>
      </c>
      <c r="D125">
        <f ca="1"/>
        <v>35340701</v>
      </c>
      <c r="E125" t="str">
        <f ca="1"/>
        <v>[AldrinAnalyticsBenchmark.xlsm]Single Names</v>
      </c>
      <c r="F125">
        <f ca="1"/>
        <v>49</v>
      </c>
      <c r="G125">
        <f ca="1"/>
        <v>10</v>
      </c>
      <c r="H125" s="17">
        <f ca="1"/>
        <v>44057.665348888891</v>
      </c>
    </row>
    <row r="126" spans="2:8" x14ac:dyDescent="0.35">
      <c r="B126" t="str">
        <f ca="1"/>
        <v>OBJ_54719288</v>
      </c>
      <c r="C126" t="str">
        <f ca="1"/>
        <v>AldrinAnalytics.Pricers.OisCurveMarket</v>
      </c>
      <c r="D126">
        <f ca="1"/>
        <v>54719288</v>
      </c>
      <c r="E126" t="str">
        <f ca="1"/>
        <v>[AldrinAnalyticsBenchmark.xlsm]Markets</v>
      </c>
      <c r="F126">
        <f ca="1"/>
        <v>4</v>
      </c>
      <c r="G126">
        <f ca="1"/>
        <v>1</v>
      </c>
      <c r="H126" s="17">
        <f ca="1"/>
        <v>44057.665351898147</v>
      </c>
    </row>
    <row r="127" spans="2:8" x14ac:dyDescent="0.35">
      <c r="B127" t="str">
        <f ca="1"/>
        <v>OBJ_35340701</v>
      </c>
      <c r="C127" t="str">
        <f ca="1"/>
        <v>AldrinAnalytics.Calibration.SingleNameDataSheet</v>
      </c>
      <c r="D127">
        <f ca="1"/>
        <v>35340701</v>
      </c>
      <c r="E127" t="str">
        <f ca="1"/>
        <v>[AldrinAnalyticsBenchmark.xlsm]Single Names</v>
      </c>
      <c r="F127">
        <f ca="1"/>
        <v>37</v>
      </c>
      <c r="G127">
        <f ca="1"/>
        <v>10</v>
      </c>
      <c r="H127" s="17">
        <f ca="1"/>
        <v>44057.665348888891</v>
      </c>
    </row>
    <row r="128" spans="2:8" x14ac:dyDescent="0.35">
      <c r="B128" t="str">
        <f ca="1"/>
        <v>OBJ_25189967</v>
      </c>
      <c r="C128" t="str">
        <f ca="1"/>
        <v>AldrinAnalytics.Pricers.DividendMarket</v>
      </c>
      <c r="D128">
        <f ca="1"/>
        <v>25189967</v>
      </c>
      <c r="E128" t="str">
        <f ca="1"/>
        <v>[AldrinAnalyticsBenchmark.xlsm]Markets</v>
      </c>
      <c r="F128">
        <f ca="1"/>
        <v>23</v>
      </c>
      <c r="G128">
        <f ca="1"/>
        <v>2</v>
      </c>
      <c r="H128" s="17">
        <f ca="1"/>
        <v>44057.665351203701</v>
      </c>
    </row>
    <row r="129" spans="2:8" x14ac:dyDescent="0.35">
      <c r="B129" t="str">
        <f ca="1"/>
        <v>OBJ_-803566116</v>
      </c>
      <c r="C129" t="str">
        <f ca="1"/>
        <v>AldrinAnalytics.Instruments.AssetLegStd</v>
      </c>
      <c r="D129">
        <f ca="1"/>
        <v>-305473696</v>
      </c>
      <c r="E129" t="str">
        <f ca="1"/>
        <v>[AldrinAnalyticsBenchmark.xlsm]Book</v>
      </c>
      <c r="F129">
        <f ca="1"/>
        <v>14</v>
      </c>
      <c r="G129">
        <f ca="1"/>
        <v>25</v>
      </c>
      <c r="H129" s="17">
        <f ca="1"/>
        <v>44057.665350740739</v>
      </c>
    </row>
    <row r="130" spans="2:8" x14ac:dyDescent="0.35">
      <c r="B130" t="str">
        <f ca="1"/>
        <v>OBJ_-296174554</v>
      </c>
      <c r="C130" t="str">
        <f ca="1"/>
        <v>AldrinAnalytics.Instruments.SingleNameTicker</v>
      </c>
      <c r="D130">
        <f ca="1"/>
        <v>-296174554</v>
      </c>
      <c r="E130" t="str">
        <f ca="1"/>
        <v>[AldrinAnalyticsBenchmark.xlsm]Single Names</v>
      </c>
      <c r="F130">
        <f ca="1"/>
        <v>42</v>
      </c>
      <c r="G130">
        <f ca="1"/>
        <v>8</v>
      </c>
      <c r="H130" s="17">
        <f ca="1"/>
        <v>44057.665348865739</v>
      </c>
    </row>
    <row r="131" spans="2:8" x14ac:dyDescent="0.35">
      <c r="B131" t="str">
        <f ca="1"/>
        <v>OBJ_8100078</v>
      </c>
      <c r="C131" t="str">
        <f ca="1"/>
        <v>AldrinAnalytics.Calibration.SingleNameSecurity</v>
      </c>
      <c r="D131">
        <f ca="1"/>
        <v>8100078</v>
      </c>
      <c r="E131" t="str">
        <f ca="1"/>
        <v>[AldrinAnalyticsBenchmark.xlsm]Single Names</v>
      </c>
      <c r="F131">
        <f ca="1"/>
        <v>10</v>
      </c>
      <c r="G131">
        <f ca="1"/>
        <v>9</v>
      </c>
      <c r="H131" s="17">
        <f ca="1"/>
        <v>44057.665348807874</v>
      </c>
    </row>
    <row r="132" spans="2:8" x14ac:dyDescent="0.35">
      <c r="B132" t="str">
        <f ca="1"/>
        <v>OBJ_30714802</v>
      </c>
      <c r="C132" t="str">
        <f ca="1"/>
        <v>AldrinAnalytics.Calibration.SingleNameSecurity</v>
      </c>
      <c r="D132">
        <f ca="1"/>
        <v>30714802</v>
      </c>
      <c r="E132" t="str">
        <f ca="1"/>
        <v>[AldrinAnalyticsBenchmark.xlsm]Single Names</v>
      </c>
      <c r="F132">
        <f ca="1"/>
        <v>31</v>
      </c>
      <c r="G132">
        <f ca="1"/>
        <v>9</v>
      </c>
      <c r="H132" s="17">
        <f ca="1"/>
        <v>44057.665348842595</v>
      </c>
    </row>
    <row r="133" spans="2:8" x14ac:dyDescent="0.35">
      <c r="B133" t="str">
        <f ca="1"/>
        <v>OBJ_25383117</v>
      </c>
      <c r="C133" t="str">
        <f ca="1"/>
        <v>AldrinAnalytics.Calibration.DividendCurveBootstrapper</v>
      </c>
      <c r="D133">
        <f ca="1"/>
        <v>25383117</v>
      </c>
      <c r="E133" t="str">
        <f ca="1"/>
        <v>[AldrinAnalyticsBenchmark.xlsm]Markets</v>
      </c>
      <c r="F133">
        <f ca="1"/>
        <v>20</v>
      </c>
      <c r="G133">
        <f ca="1"/>
        <v>1</v>
      </c>
      <c r="H133" s="17">
        <f ca="1"/>
        <v>44057.665350960648</v>
      </c>
    </row>
    <row r="134" spans="2:8" x14ac:dyDescent="0.35">
      <c r="B134" t="str">
        <f ca="1"/>
        <v>OBJ_591454259</v>
      </c>
      <c r="C134" t="str">
        <f ca="1"/>
        <v>AldrinAnalytics.Instruments.AssetLegStd</v>
      </c>
      <c r="D134">
        <f ca="1"/>
        <v>-1010247761</v>
      </c>
      <c r="E134" t="str">
        <f ca="1"/>
        <v>[AldrinAnalyticsBenchmark.xlsm]Book</v>
      </c>
      <c r="F134">
        <f ca="1"/>
        <v>10</v>
      </c>
      <c r="G134">
        <f ca="1"/>
        <v>25</v>
      </c>
      <c r="H134" s="17">
        <f ca="1"/>
        <v>44057.665350694442</v>
      </c>
    </row>
    <row r="135" spans="2:8" x14ac:dyDescent="0.35">
      <c r="B135" t="str">
        <f ca="1"/>
        <v>OBJ_1375974579</v>
      </c>
      <c r="C135" t="str">
        <f ca="1"/>
        <v>AldrinAnalytics.Instruments.OisReference</v>
      </c>
      <c r="D135">
        <f ca="1"/>
        <v>1375974579</v>
      </c>
      <c r="E135" t="str">
        <f ca="1"/>
        <v>[AldrinAnalyticsBenchmark.xlsm]Book</v>
      </c>
      <c r="F135">
        <f ca="1"/>
        <v>8</v>
      </c>
      <c r="G135">
        <f ca="1"/>
        <v>22</v>
      </c>
      <c r="H135" s="17">
        <f ca="1"/>
        <v>44057.665350740739</v>
      </c>
    </row>
    <row r="136" spans="2:8" x14ac:dyDescent="0.35">
      <c r="B136" t="str">
        <f ca="1"/>
        <v>OBJ_8134772</v>
      </c>
      <c r="C136" t="str">
        <f ca="1"/>
        <v>System.String[]</v>
      </c>
      <c r="D136">
        <f ca="1"/>
        <v>8134772</v>
      </c>
      <c r="E136" t="str">
        <f ca="1"/>
        <v>[AldrinAnalyticsBenchmark.xlsm]Pricing</v>
      </c>
      <c r="F136">
        <f ca="1"/>
        <v>9</v>
      </c>
      <c r="G136">
        <f ca="1"/>
        <v>0</v>
      </c>
      <c r="H136" s="17">
        <f ca="1"/>
        <v>44057.665354293982</v>
      </c>
    </row>
    <row r="137" spans="2:8" x14ac:dyDescent="0.35">
      <c r="B137" t="str">
        <f ca="1"/>
        <v>OBJ_35340701</v>
      </c>
      <c r="C137" t="str">
        <f ca="1"/>
        <v>AldrinAnalytics.Calibration.SingleNameDataSheet</v>
      </c>
      <c r="D137">
        <f ca="1"/>
        <v>35340701</v>
      </c>
      <c r="E137" t="str">
        <f ca="1"/>
        <v>[AldrinAnalyticsBenchmark.xlsm]Single Names</v>
      </c>
      <c r="F137">
        <f ca="1"/>
        <v>33</v>
      </c>
      <c r="G137">
        <f ca="1"/>
        <v>10</v>
      </c>
      <c r="H137" s="17">
        <f ca="1"/>
        <v>44057.665348888891</v>
      </c>
    </row>
    <row r="138" spans="2:8" x14ac:dyDescent="0.35">
      <c r="B138" t="str">
        <f ca="1"/>
        <v>OBJ_43839368</v>
      </c>
      <c r="C138" t="str">
        <f ca="1"/>
        <v>AldrinAnalytics.Calibration.SingleNameSecurity</v>
      </c>
      <c r="D138">
        <f ca="1"/>
        <v>43839368</v>
      </c>
      <c r="E138" t="str">
        <f ca="1"/>
        <v>[AldrinAnalyticsBenchmark.xlsm]Single Names</v>
      </c>
      <c r="F138">
        <f ca="1"/>
        <v>34</v>
      </c>
      <c r="G138">
        <f ca="1"/>
        <v>9</v>
      </c>
      <c r="H138" s="17">
        <f ca="1"/>
        <v>44057.665348854163</v>
      </c>
    </row>
    <row r="139" spans="2:8" x14ac:dyDescent="0.35">
      <c r="B139" t="str">
        <f ca="1"/>
        <v>OBJ_59009999</v>
      </c>
      <c r="C139" t="str">
        <f ca="1"/>
        <v>AldrinAnalytics.Calibration.SingleNameSecurity</v>
      </c>
      <c r="D139">
        <f ca="1"/>
        <v>59009999</v>
      </c>
      <c r="E139" t="str">
        <f ca="1"/>
        <v>[AldrinAnalyticsBenchmark.xlsm]Single Names</v>
      </c>
      <c r="F139">
        <f ca="1"/>
        <v>35</v>
      </c>
      <c r="G139">
        <f ca="1"/>
        <v>9</v>
      </c>
      <c r="H139" s="17">
        <f ca="1"/>
        <v>44057.665348854163</v>
      </c>
    </row>
    <row r="140" spans="2:8" x14ac:dyDescent="0.35">
      <c r="B140" t="str">
        <f ca="1"/>
        <v>OBJ_-1047497929</v>
      </c>
      <c r="C140" t="str">
        <f ca="1"/>
        <v>AldrinAnalytics.Instruments.SingleNameTicker</v>
      </c>
      <c r="D140">
        <f ca="1"/>
        <v>-1047497929</v>
      </c>
      <c r="E140" t="str">
        <f ca="1"/>
        <v>[AldrinAnalyticsBenchmark.xlsm]Single Names</v>
      </c>
      <c r="F140">
        <f ca="1"/>
        <v>26</v>
      </c>
      <c r="G140">
        <f ca="1"/>
        <v>8</v>
      </c>
      <c r="H140" s="17">
        <f ca="1"/>
        <v>44057.665348831018</v>
      </c>
    </row>
    <row r="141" spans="2:8" x14ac:dyDescent="0.35">
      <c r="B141" t="str">
        <f ca="1"/>
        <v>OBJ_52126542</v>
      </c>
      <c r="C141" t="str">
        <f ca="1"/>
        <v>AldrinAnalytics.Calibration.SingleNameSecurity</v>
      </c>
      <c r="D141">
        <f ca="1"/>
        <v>52126542</v>
      </c>
      <c r="E141" t="str">
        <f ca="1"/>
        <v>[AldrinAnalyticsBenchmark.xlsm]Single Names</v>
      </c>
      <c r="F141">
        <f ca="1"/>
        <v>12</v>
      </c>
      <c r="G141">
        <f ca="1"/>
        <v>9</v>
      </c>
      <c r="H141" s="17">
        <f ca="1"/>
        <v>44057.665348807874</v>
      </c>
    </row>
    <row r="142" spans="2:8" x14ac:dyDescent="0.35">
      <c r="B142" t="str">
        <f ca="1"/>
        <v>OBJ_8562452</v>
      </c>
      <c r="C142" t="str">
        <f ca="1"/>
        <v>AldrinAnalytics.Excel.PricingSettingSet</v>
      </c>
      <c r="D142">
        <f ca="1"/>
        <v>8562452</v>
      </c>
      <c r="E142" t="str">
        <f ca="1"/>
        <v>[AldrinAnalyticsBenchmark.xlsm]Pricing</v>
      </c>
      <c r="F142">
        <f ca="1"/>
        <v>8</v>
      </c>
      <c r="G142">
        <f ca="1"/>
        <v>5</v>
      </c>
      <c r="H142" s="17">
        <f ca="1"/>
        <v>44057.66535427083</v>
      </c>
    </row>
    <row r="143" spans="2:8" x14ac:dyDescent="0.35">
      <c r="B143" t="str">
        <f ca="1"/>
        <v>OBJ_35340701</v>
      </c>
      <c r="C143" t="str">
        <f ca="1"/>
        <v>AldrinAnalytics.Calibration.SingleNameDataSheet</v>
      </c>
      <c r="D143">
        <f ca="1"/>
        <v>35340701</v>
      </c>
      <c r="E143" t="str">
        <f ca="1"/>
        <v>[AldrinAnalyticsBenchmark.xlsm]Single Names</v>
      </c>
      <c r="F143">
        <f ca="1"/>
        <v>10</v>
      </c>
      <c r="G143">
        <f ca="1"/>
        <v>10</v>
      </c>
      <c r="H143" s="17">
        <f ca="1"/>
        <v>44057.665348888891</v>
      </c>
    </row>
    <row r="144" spans="2:8" x14ac:dyDescent="0.35">
      <c r="B144" t="str">
        <f ca="1"/>
        <v>OBJ_66485695</v>
      </c>
      <c r="C144" t="str">
        <f ca="1"/>
        <v>AldrinAnalytics.Calibration.SingleNameSecurity</v>
      </c>
      <c r="D144">
        <f ca="1"/>
        <v>66485695</v>
      </c>
      <c r="E144" t="str">
        <f ca="1"/>
        <v>[AldrinAnalyticsBenchmark.xlsm]Single Names</v>
      </c>
      <c r="F144">
        <f ca="1"/>
        <v>13</v>
      </c>
      <c r="G144">
        <f ca="1"/>
        <v>9</v>
      </c>
      <c r="H144" s="17">
        <f ca="1"/>
        <v>44057.665348807874</v>
      </c>
    </row>
    <row r="145" spans="2:8" x14ac:dyDescent="0.35">
      <c r="B145" t="str">
        <f ca="1"/>
        <v>OBJ_47393112</v>
      </c>
      <c r="C145" t="str">
        <f ca="1"/>
        <v>AldrinAnalytics.Calibration.SingleNameSecurity</v>
      </c>
      <c r="D145">
        <f ca="1"/>
        <v>47393112</v>
      </c>
      <c r="E145" t="str">
        <f ca="1"/>
        <v>[AldrinAnalyticsBenchmark.xlsm]Single Names</v>
      </c>
      <c r="F145">
        <f ca="1"/>
        <v>50</v>
      </c>
      <c r="G145">
        <f ca="1"/>
        <v>9</v>
      </c>
      <c r="H145" s="17">
        <f ca="1"/>
        <v>44057.665348888891</v>
      </c>
    </row>
    <row r="146" spans="2:8" x14ac:dyDescent="0.35">
      <c r="B146" t="str">
        <f ca="1"/>
        <v>OBJ_29625932</v>
      </c>
      <c r="C146" t="str">
        <f ca="1"/>
        <v>AldrinAnalytics.Calibration.SingleNameSecurity</v>
      </c>
      <c r="D146">
        <f ca="1"/>
        <v>29625932</v>
      </c>
      <c r="E146" t="str">
        <f ca="1"/>
        <v>[AldrinAnalyticsBenchmark.xlsm]Single Names</v>
      </c>
      <c r="F146">
        <f ca="1"/>
        <v>42</v>
      </c>
      <c r="G146">
        <f ca="1"/>
        <v>9</v>
      </c>
      <c r="H146" s="17">
        <f ca="1"/>
        <v>44057.665348865739</v>
      </c>
    </row>
    <row r="147" spans="2:8" x14ac:dyDescent="0.35">
      <c r="B147" t="str">
        <f ca="1"/>
        <v>OBJ_974338721</v>
      </c>
      <c r="C147" t="str">
        <f ca="1"/>
        <v>Zeliade.Finance.Mrc.ParametricBusinessSchedule</v>
      </c>
      <c r="D147">
        <f ca="1"/>
        <v>974338721</v>
      </c>
      <c r="E147" t="str">
        <f ca="1"/>
        <v>[AldrinAnalyticsBenchmark.xlsm]Book</v>
      </c>
      <c r="F147">
        <f ca="1"/>
        <v>7</v>
      </c>
      <c r="G147">
        <f ca="1"/>
        <v>23</v>
      </c>
      <c r="H147" s="17">
        <f ca="1"/>
        <v>44057.665350648145</v>
      </c>
    </row>
    <row r="148" spans="2:8" x14ac:dyDescent="0.35">
      <c r="B148" t="str">
        <f ca="1"/>
        <v>OBJ_15472155</v>
      </c>
      <c r="C148" t="str">
        <f ca="1"/>
        <v>AldrinAnalytics.Calibration.SingleNameSecurity</v>
      </c>
      <c r="D148">
        <f ca="1"/>
        <v>15472155</v>
      </c>
      <c r="E148" t="str">
        <f ca="1"/>
        <v>[AldrinAnalyticsBenchmark.xlsm]Single Names</v>
      </c>
      <c r="F148">
        <f ca="1"/>
        <v>16</v>
      </c>
      <c r="G148">
        <f ca="1"/>
        <v>9</v>
      </c>
      <c r="H148" s="17">
        <f ca="1"/>
        <v>44057.665348819442</v>
      </c>
    </row>
    <row r="149" spans="2:8" x14ac:dyDescent="0.35">
      <c r="B149" t="str">
        <f ca="1"/>
        <v>OBJ_38344177</v>
      </c>
      <c r="C149" t="str">
        <f ca="1"/>
        <v>AldrinAnalytics.Pricers.RepoMarket</v>
      </c>
      <c r="D149">
        <f ca="1"/>
        <v>38344177</v>
      </c>
      <c r="E149" t="str">
        <f ca="1"/>
        <v>[AldrinAnalyticsBenchmark.xlsm]Markets</v>
      </c>
      <c r="F149">
        <f ca="1"/>
        <v>18</v>
      </c>
      <c r="G149">
        <f ca="1"/>
        <v>1</v>
      </c>
      <c r="H149" s="17">
        <f ca="1"/>
        <v>44057.665351307871</v>
      </c>
    </row>
    <row r="150" spans="2:8" x14ac:dyDescent="0.35">
      <c r="B150" t="str">
        <f ca="1"/>
        <v>OBJ_35502400</v>
      </c>
      <c r="C150" t="str">
        <f ca="1"/>
        <v>AldrinAnalytics.Instruments.Book</v>
      </c>
      <c r="D150">
        <f ca="1"/>
        <v>35502400</v>
      </c>
      <c r="E150" t="str">
        <f ca="1"/>
        <v>[AldrinAnalyticsBenchmark.xlsm]Book</v>
      </c>
      <c r="F150">
        <f ca="1"/>
        <v>10</v>
      </c>
      <c r="G150">
        <f ca="1"/>
        <v>28</v>
      </c>
      <c r="H150" s="17">
        <f ca="1"/>
        <v>44057.665350752315</v>
      </c>
    </row>
    <row r="151" spans="2:8" x14ac:dyDescent="0.35">
      <c r="B151" t="str">
        <f ca="1"/>
        <v>OBJ_35340701</v>
      </c>
      <c r="C151" t="str">
        <f ca="1"/>
        <v>AldrinAnalytics.Calibration.SingleNameDataSheet</v>
      </c>
      <c r="D151">
        <f ca="1"/>
        <v>35340701</v>
      </c>
      <c r="E151" t="str">
        <f ca="1"/>
        <v>[AldrinAnalyticsBenchmark.xlsm]Single Names</v>
      </c>
      <c r="F151">
        <f ca="1"/>
        <v>50</v>
      </c>
      <c r="G151">
        <f ca="1"/>
        <v>10</v>
      </c>
      <c r="H151" s="17">
        <f ca="1"/>
        <v>44057.665348888891</v>
      </c>
    </row>
    <row r="152" spans="2:8" x14ac:dyDescent="0.35">
      <c r="B152" t="str">
        <f ca="1"/>
        <v>OBJ_52548073</v>
      </c>
      <c r="C152" t="str">
        <f ca="1"/>
        <v>AldrinAnalytics.Pricers.DataSheetContainer</v>
      </c>
      <c r="D152">
        <f ca="1"/>
        <v>52548073</v>
      </c>
      <c r="E152" t="str">
        <f ca="1"/>
        <v>[AldrinAnalyticsBenchmark.xlsm]Repos</v>
      </c>
      <c r="F152">
        <f ca="1"/>
        <v>2</v>
      </c>
      <c r="G152">
        <f ca="1"/>
        <v>0</v>
      </c>
      <c r="H152" s="17">
        <f ca="1"/>
        <v>44057.665349699077</v>
      </c>
    </row>
    <row r="153" spans="2:8" x14ac:dyDescent="0.35">
      <c r="B153" t="str">
        <f ca="1"/>
        <v>OBJ_47538127</v>
      </c>
      <c r="C153" t="str">
        <f ca="1"/>
        <v>AldrinAnalytics.Excel.PricingContextSet</v>
      </c>
      <c r="D153">
        <f ca="1"/>
        <v>47538127</v>
      </c>
      <c r="E153" t="str">
        <f ca="1"/>
        <v>[AldrinAnalyticsBenchmark.xlsm]Markets</v>
      </c>
      <c r="F153">
        <f ca="1"/>
        <v>26</v>
      </c>
      <c r="G153">
        <f ca="1"/>
        <v>0</v>
      </c>
      <c r="H153" s="17">
        <f ca="1"/>
        <v>44057.665353182871</v>
      </c>
    </row>
    <row r="154" spans="2:8" x14ac:dyDescent="0.35">
      <c r="B154" t="str">
        <f ca="1"/>
        <v>OBJ_102654899</v>
      </c>
      <c r="C154" t="str">
        <f ca="1"/>
        <v>AldrinAnalytics.Instruments.AssetLegFloatRate</v>
      </c>
      <c r="D154">
        <f ca="1"/>
        <v>-997525259</v>
      </c>
      <c r="E154" t="str">
        <f ca="1"/>
        <v>[AldrinAnalyticsBenchmark.xlsm]Book</v>
      </c>
      <c r="F154">
        <f ca="1"/>
        <v>14</v>
      </c>
      <c r="G154">
        <f ca="1"/>
        <v>26</v>
      </c>
      <c r="H154" s="17">
        <f ca="1"/>
        <v>44057.665350752315</v>
      </c>
    </row>
    <row r="155" spans="2:8" x14ac:dyDescent="0.35">
      <c r="B155" t="str">
        <f ca="1"/>
        <v>OBJ_35340701</v>
      </c>
      <c r="C155" t="str">
        <f ca="1"/>
        <v>AldrinAnalytics.Calibration.SingleNameDataSheet</v>
      </c>
      <c r="D155">
        <f ca="1"/>
        <v>35340701</v>
      </c>
      <c r="E155" t="str">
        <f ca="1"/>
        <v>[AldrinAnalyticsBenchmark.xlsm]Single Names</v>
      </c>
      <c r="F155">
        <f ca="1"/>
        <v>16</v>
      </c>
      <c r="G155">
        <f ca="1"/>
        <v>10</v>
      </c>
      <c r="H155" s="17">
        <f ca="1"/>
        <v>44057.665348888891</v>
      </c>
    </row>
    <row r="156" spans="2:8" x14ac:dyDescent="0.35">
      <c r="B156" t="str">
        <f ca="1"/>
        <v>OBJ_-247285741</v>
      </c>
      <c r="C156" t="str">
        <f ca="1"/>
        <v>AldrinAnalytics.Instruments.SingleNameTicker</v>
      </c>
      <c r="D156">
        <f ca="1"/>
        <v>-247285741</v>
      </c>
      <c r="E156" t="str">
        <f ca="1"/>
        <v>[AldrinAnalyticsBenchmark.xlsm]Single Names</v>
      </c>
      <c r="F156">
        <f ca="1"/>
        <v>10</v>
      </c>
      <c r="G156">
        <f ca="1"/>
        <v>8</v>
      </c>
      <c r="H156" s="17">
        <f ca="1"/>
        <v>44057.665348807874</v>
      </c>
    </row>
    <row r="157" spans="2:8" x14ac:dyDescent="0.35">
      <c r="B157" t="str">
        <f ca="1"/>
        <v>OBJ_-2118614128</v>
      </c>
      <c r="C157" t="str">
        <f ca="1"/>
        <v>AldrinAnalytics.Instruments.AssetLegStd</v>
      </c>
      <c r="D157">
        <f ca="1"/>
        <v>-1678679126</v>
      </c>
      <c r="E157" t="str">
        <f ca="1"/>
        <v>[AldrinAnalyticsBenchmark.xlsm]Book</v>
      </c>
      <c r="F157">
        <f ca="1"/>
        <v>8</v>
      </c>
      <c r="G157">
        <f ca="1"/>
        <v>25</v>
      </c>
      <c r="H157" s="17">
        <f ca="1"/>
        <v>44057.665350671297</v>
      </c>
    </row>
    <row r="158" spans="2:8" x14ac:dyDescent="0.35">
      <c r="B158" t="str">
        <f ca="1"/>
        <v>OBJ_1669799810</v>
      </c>
      <c r="C158" t="str">
        <f ca="1"/>
        <v>Zeliade.Finance.Mrc.ParametricBusinessSchedule</v>
      </c>
      <c r="D158">
        <f ca="1"/>
        <v>1669799810</v>
      </c>
      <c r="E158" t="str">
        <f ca="1"/>
        <v>[AldrinAnalyticsBenchmark.xlsm]Book</v>
      </c>
      <c r="F158">
        <f ca="1"/>
        <v>4</v>
      </c>
      <c r="G158">
        <f ca="1"/>
        <v>23</v>
      </c>
      <c r="H158" s="17">
        <f ca="1"/>
        <v>44057.665350740739</v>
      </c>
    </row>
    <row r="159" spans="2:8" x14ac:dyDescent="0.35">
      <c r="B159" t="str">
        <f ca="1"/>
        <v>OBJ_4871040</v>
      </c>
      <c r="C159" t="str">
        <f ca="1"/>
        <v>AldrinAnalytics.Calibration.SingleNameSecurity</v>
      </c>
      <c r="D159">
        <f ca="1"/>
        <v>4871040</v>
      </c>
      <c r="E159" t="str">
        <f ca="1"/>
        <v>[AldrinAnalyticsBenchmark.xlsm]Single Names</v>
      </c>
      <c r="F159">
        <f ca="1"/>
        <v>33</v>
      </c>
      <c r="G159">
        <f ca="1"/>
        <v>9</v>
      </c>
      <c r="H159" s="17">
        <f ca="1"/>
        <v>44057.665348854163</v>
      </c>
    </row>
    <row r="160" spans="2:8" x14ac:dyDescent="0.35">
      <c r="B160" t="str">
        <f ca="1"/>
        <v>OBJ_1630464442</v>
      </c>
      <c r="C160" t="str">
        <f ca="1"/>
        <v>AldrinAnalytics.Instruments.SingleNameTicker</v>
      </c>
      <c r="D160">
        <f ca="1"/>
        <v>1630464442</v>
      </c>
      <c r="E160" t="str">
        <f ca="1"/>
        <v>[AldrinAnalyticsBenchmark.xlsm]Single Names</v>
      </c>
      <c r="F160">
        <f ca="1"/>
        <v>48</v>
      </c>
      <c r="G160">
        <f ca="1"/>
        <v>8</v>
      </c>
      <c r="H160" s="17">
        <f ca="1"/>
        <v>44057.665348877315</v>
      </c>
    </row>
    <row r="161" spans="2:8" x14ac:dyDescent="0.35">
      <c r="B161" t="str">
        <f ca="1"/>
        <v>OBJ_50890292</v>
      </c>
      <c r="C161" t="str">
        <f ca="1"/>
        <v>AldrinAnalytics.Calibration.SingleNameSecurity</v>
      </c>
      <c r="D161">
        <f ca="1"/>
        <v>50890292</v>
      </c>
      <c r="E161" t="str">
        <f ca="1"/>
        <v>[AldrinAnalyticsBenchmark.xlsm]Single Names</v>
      </c>
      <c r="F161">
        <f ca="1"/>
        <v>44</v>
      </c>
      <c r="G161">
        <f ca="1"/>
        <v>9</v>
      </c>
      <c r="H161" s="17">
        <f ca="1"/>
        <v>44057.665348877315</v>
      </c>
    </row>
    <row r="162" spans="2:8" x14ac:dyDescent="0.35">
      <c r="B162" t="str">
        <f ca="1"/>
        <v>OBJ_35502400</v>
      </c>
      <c r="C162" t="str">
        <f ca="1"/>
        <v>AldrinAnalytics.Instruments.Book</v>
      </c>
      <c r="D162">
        <f ca="1"/>
        <v>35502400</v>
      </c>
      <c r="E162" t="str">
        <f ca="1"/>
        <v>[AldrinAnalyticsBenchmark.xlsm]Book</v>
      </c>
      <c r="F162">
        <f ca="1"/>
        <v>6</v>
      </c>
      <c r="G162">
        <f ca="1"/>
        <v>28</v>
      </c>
      <c r="H162" s="17">
        <f ca="1"/>
        <v>44057.665350752315</v>
      </c>
    </row>
    <row r="163" spans="2:8" x14ac:dyDescent="0.35">
      <c r="B163" t="str">
        <f ca="1"/>
        <v>OBJ_-1643346618</v>
      </c>
      <c r="C163" t="str">
        <f ca="1"/>
        <v>AldrinAnalytics.Instruments.SingleNameTicker</v>
      </c>
      <c r="D163">
        <f ca="1"/>
        <v>-1643346618</v>
      </c>
      <c r="E163" t="str">
        <f ca="1"/>
        <v>[AldrinAnalyticsBenchmark.xlsm]Single Names</v>
      </c>
      <c r="F163">
        <f ca="1"/>
        <v>39</v>
      </c>
      <c r="G163">
        <f ca="1"/>
        <v>8</v>
      </c>
      <c r="H163" s="17">
        <f ca="1"/>
        <v>44057.665348865739</v>
      </c>
    </row>
    <row r="164" spans="2:8" x14ac:dyDescent="0.35">
      <c r="B164" t="str">
        <f ca="1"/>
        <v>OBJ_49630856</v>
      </c>
      <c r="C164" t="str">
        <f ca="1"/>
        <v>AldrinAnalytics.Calibration.SingleNameSecurity</v>
      </c>
      <c r="D164">
        <f ca="1"/>
        <v>49630856</v>
      </c>
      <c r="E164" t="str">
        <f ca="1"/>
        <v>[AldrinAnalyticsBenchmark.xlsm]Single Names</v>
      </c>
      <c r="F164">
        <f ca="1"/>
        <v>4</v>
      </c>
      <c r="G164">
        <f ca="1"/>
        <v>9</v>
      </c>
      <c r="H164" s="17">
        <f ca="1"/>
        <v>44057.665348750001</v>
      </c>
    </row>
    <row r="165" spans="2:8" x14ac:dyDescent="0.35">
      <c r="B165" t="str">
        <f ca="1"/>
        <v>OBJ_35340701</v>
      </c>
      <c r="C165" t="str">
        <f ca="1"/>
        <v>AldrinAnalytics.Calibration.SingleNameDataSheet</v>
      </c>
      <c r="D165">
        <f ca="1"/>
        <v>35340701</v>
      </c>
      <c r="E165" t="str">
        <f ca="1"/>
        <v>[AldrinAnalyticsBenchmark.xlsm]Single Names</v>
      </c>
      <c r="F165">
        <f ca="1"/>
        <v>44</v>
      </c>
      <c r="G165">
        <f ca="1"/>
        <v>10</v>
      </c>
      <c r="H165" s="17">
        <f ca="1"/>
        <v>44057.665348888891</v>
      </c>
    </row>
    <row r="166" spans="2:8" x14ac:dyDescent="0.35">
      <c r="B166" t="str">
        <f ca="1"/>
        <v>OBJ_-1953545592</v>
      </c>
      <c r="C166" t="str">
        <f ca="1"/>
        <v>Zeliade.Finance.Mrc.ParametricBusinessSchedule</v>
      </c>
      <c r="D166">
        <f ca="1"/>
        <v>-1953545592</v>
      </c>
      <c r="E166" t="str">
        <f ca="1"/>
        <v>[AldrinAnalyticsBenchmark.xlsm]Book</v>
      </c>
      <c r="F166">
        <f ca="1"/>
        <v>9</v>
      </c>
      <c r="G166">
        <f ca="1"/>
        <v>23</v>
      </c>
      <c r="H166" s="17">
        <f ca="1"/>
        <v>44057.665350682873</v>
      </c>
    </row>
    <row r="167" spans="2:8" x14ac:dyDescent="0.35">
      <c r="B167" t="str">
        <f ca="1"/>
        <v>OBJ_-692053468</v>
      </c>
      <c r="C167" t="str">
        <f ca="1"/>
        <v>AldrinAnalytics.Instruments.SingleNameTicker</v>
      </c>
      <c r="D167">
        <f ca="1"/>
        <v>-692053468</v>
      </c>
      <c r="E167" t="str">
        <f ca="1"/>
        <v>[AldrinAnalyticsBenchmark.xlsm]Single Names</v>
      </c>
      <c r="F167">
        <f ca="1"/>
        <v>51</v>
      </c>
      <c r="G167">
        <f ca="1"/>
        <v>8</v>
      </c>
      <c r="H167" s="17">
        <f ca="1"/>
        <v>44057.665348888891</v>
      </c>
    </row>
    <row r="168" spans="2:8" x14ac:dyDescent="0.35">
      <c r="B168" t="str">
        <f ca="1"/>
        <v>OBJ_1308115917</v>
      </c>
      <c r="C168" t="str">
        <f ca="1"/>
        <v>AldrinAnalytics.Instruments.SingleNameTicker</v>
      </c>
      <c r="D168">
        <f ca="1"/>
        <v>1308115917</v>
      </c>
      <c r="E168" t="str">
        <f ca="1"/>
        <v>[AldrinAnalyticsBenchmark.xlsm]Single Names</v>
      </c>
      <c r="F168">
        <f ca="1"/>
        <v>40</v>
      </c>
      <c r="G168">
        <f ca="1"/>
        <v>8</v>
      </c>
      <c r="H168" s="17">
        <f ca="1"/>
        <v>44057.665348865739</v>
      </c>
    </row>
    <row r="169" spans="2:8" x14ac:dyDescent="0.35">
      <c r="B169" t="str">
        <f ca="1"/>
        <v>OBJ_35340701</v>
      </c>
      <c r="C169" t="str">
        <f ca="1"/>
        <v>AldrinAnalytics.Calibration.SingleNameDataSheet</v>
      </c>
      <c r="D169">
        <f ca="1"/>
        <v>35340701</v>
      </c>
      <c r="E169" t="str">
        <f ca="1"/>
        <v>[AldrinAnalyticsBenchmark.xlsm]Single Names</v>
      </c>
      <c r="F169">
        <f ca="1"/>
        <v>24</v>
      </c>
      <c r="G169">
        <f ca="1"/>
        <v>10</v>
      </c>
      <c r="H169" s="17">
        <f ca="1"/>
        <v>44057.665348888891</v>
      </c>
    </row>
    <row r="170" spans="2:8" x14ac:dyDescent="0.35">
      <c r="B170" t="str">
        <f ca="1"/>
        <v>OBJ_42100785</v>
      </c>
      <c r="C170" t="str">
        <f ca="1"/>
        <v>AldrinAnalytics.Pricers.SingleNameMarket</v>
      </c>
      <c r="D170">
        <f ca="1"/>
        <v>42100785</v>
      </c>
      <c r="E170" t="str">
        <f ca="1"/>
        <v>[AldrinAnalyticsBenchmark.xlsm]Markets</v>
      </c>
      <c r="F170">
        <f ca="1"/>
        <v>15</v>
      </c>
      <c r="G170">
        <f ca="1"/>
        <v>1</v>
      </c>
      <c r="H170" s="17">
        <f ca="1"/>
        <v>44057.665352858799</v>
      </c>
    </row>
    <row r="171" spans="2:8" x14ac:dyDescent="0.35">
      <c r="B171" t="str">
        <f ca="1"/>
        <v>OBJ_1375974579</v>
      </c>
      <c r="C171" t="str">
        <f ca="1"/>
        <v>AldrinAnalytics.Instruments.OisReference</v>
      </c>
      <c r="D171">
        <f ca="1"/>
        <v>1375974579</v>
      </c>
      <c r="E171" t="str">
        <f ca="1"/>
        <v>[AldrinAnalyticsBenchmark.xlsm]Book</v>
      </c>
      <c r="F171">
        <f ca="1"/>
        <v>10</v>
      </c>
      <c r="G171">
        <f ca="1"/>
        <v>22</v>
      </c>
      <c r="H171" s="17">
        <f ca="1"/>
        <v>44057.665350740739</v>
      </c>
    </row>
    <row r="172" spans="2:8" x14ac:dyDescent="0.35">
      <c r="B172" t="str">
        <f ca="1"/>
        <v>OBJ_35340701</v>
      </c>
      <c r="C172" t="str">
        <f ca="1"/>
        <v>AldrinAnalytics.Calibration.SingleNameDataSheet</v>
      </c>
      <c r="D172">
        <f ca="1"/>
        <v>35340701</v>
      </c>
      <c r="E172" t="str">
        <f ca="1"/>
        <v>[AldrinAnalyticsBenchmark.xlsm]Single Names</v>
      </c>
      <c r="F172">
        <f ca="1"/>
        <v>29</v>
      </c>
      <c r="G172">
        <f ca="1"/>
        <v>10</v>
      </c>
      <c r="H172" s="17">
        <f ca="1"/>
        <v>44057.665348888891</v>
      </c>
    </row>
    <row r="173" spans="2:8" x14ac:dyDescent="0.35">
      <c r="B173" t="str">
        <f ca="1"/>
        <v>OBJ_35837800</v>
      </c>
      <c r="C173" t="str">
        <f ca="1"/>
        <v>System.String[]</v>
      </c>
      <c r="D173">
        <f ca="1"/>
        <v>35837800</v>
      </c>
      <c r="E173" t="str">
        <f ca="1"/>
        <v>[AldrinAnalyticsBenchmark.xlsm]Codings</v>
      </c>
      <c r="F173">
        <f ca="1"/>
        <v>1</v>
      </c>
      <c r="G173">
        <f ca="1"/>
        <v>7</v>
      </c>
      <c r="H173" s="17">
        <f ca="1"/>
        <v>44057.665356759258</v>
      </c>
    </row>
    <row r="174" spans="2:8" x14ac:dyDescent="0.35">
      <c r="B174" t="str">
        <f ca="1"/>
        <v>OBJ_1637411927</v>
      </c>
      <c r="C174" t="str">
        <f ca="1"/>
        <v>AldrinAnalytics.Instruments.SingleNameTicker</v>
      </c>
      <c r="D174">
        <f ca="1"/>
        <v>1637411927</v>
      </c>
      <c r="E174" t="str">
        <f ca="1"/>
        <v>[AldrinAnalyticsBenchmark.xlsm]Single Names</v>
      </c>
      <c r="F174">
        <f ca="1"/>
        <v>47</v>
      </c>
      <c r="G174">
        <f ca="1"/>
        <v>8</v>
      </c>
      <c r="H174" s="17">
        <f ca="1"/>
        <v>44057.665348877315</v>
      </c>
    </row>
    <row r="175" spans="2:8" x14ac:dyDescent="0.35">
      <c r="B175" t="str">
        <f ca="1"/>
        <v>OBJ_-1434941268</v>
      </c>
      <c r="C175" t="str">
        <f ca="1"/>
        <v>AldrinAnalytics.Instruments.SingleNameTicker</v>
      </c>
      <c r="D175">
        <f ca="1"/>
        <v>-1434941268</v>
      </c>
      <c r="E175" t="str">
        <f ca="1"/>
        <v>[AldrinAnalyticsBenchmark.xlsm]Single Names</v>
      </c>
      <c r="F175">
        <f ca="1"/>
        <v>21</v>
      </c>
      <c r="G175">
        <f ca="1"/>
        <v>8</v>
      </c>
      <c r="H175" s="17">
        <f ca="1"/>
        <v>44057.665348831018</v>
      </c>
    </row>
    <row r="176" spans="2:8" x14ac:dyDescent="0.35">
      <c r="B176" t="str">
        <f ca="1"/>
        <v>OBJ_3077358</v>
      </c>
      <c r="C176" t="str">
        <f ca="1"/>
        <v>AldrinAnalytics.Calibration.ForwardCurveBootstrapperCashFutSwap</v>
      </c>
      <c r="D176">
        <f ca="1"/>
        <v>3077358</v>
      </c>
      <c r="E176" t="str">
        <f ca="1"/>
        <v>[AldrinAnalyticsBenchmark.xlsm]Markets</v>
      </c>
      <c r="F176">
        <f ca="1"/>
        <v>9</v>
      </c>
      <c r="G176">
        <f ca="1"/>
        <v>1</v>
      </c>
      <c r="H176" s="17">
        <f ca="1"/>
        <v>44057.665351898147</v>
      </c>
    </row>
    <row r="177" spans="2:8" x14ac:dyDescent="0.35">
      <c r="B177" t="str">
        <f ca="1"/>
        <v>OBJ_1375974579</v>
      </c>
      <c r="C177" t="str">
        <f ca="1"/>
        <v>AldrinAnalytics.Instruments.OisReference</v>
      </c>
      <c r="D177">
        <f ca="1"/>
        <v>1375974579</v>
      </c>
      <c r="E177" t="str">
        <f ca="1"/>
        <v>[AldrinAnalyticsBenchmark.xlsm]Book</v>
      </c>
      <c r="F177">
        <f ca="1"/>
        <v>6</v>
      </c>
      <c r="G177">
        <f ca="1"/>
        <v>22</v>
      </c>
      <c r="H177" s="17">
        <f ca="1"/>
        <v>44057.665350740739</v>
      </c>
    </row>
    <row r="178" spans="2:8" x14ac:dyDescent="0.35">
      <c r="B178" t="str">
        <f ca="1"/>
        <v>OBJ_54104749</v>
      </c>
      <c r="C178" t="str">
        <f ca="1"/>
        <v>System.String[]</v>
      </c>
      <c r="D178">
        <f ca="1"/>
        <v>54104749</v>
      </c>
      <c r="E178" t="str">
        <f ca="1"/>
        <v>[AldrinAnalyticsBenchmark.xlsm]Codings</v>
      </c>
      <c r="F178">
        <f ca="1"/>
        <v>1</v>
      </c>
      <c r="G178">
        <f ca="1"/>
        <v>8</v>
      </c>
      <c r="H178" s="17">
        <f ca="1"/>
        <v>44057.665356770834</v>
      </c>
    </row>
    <row r="179" spans="2:8" x14ac:dyDescent="0.35">
      <c r="B179" t="str">
        <f ca="1"/>
        <v>OBJ_54930419</v>
      </c>
      <c r="C179" t="str">
        <f ca="1"/>
        <v>AldrinAnalytics.Calibration.SingleNameSecurity</v>
      </c>
      <c r="D179">
        <f ca="1"/>
        <v>54930419</v>
      </c>
      <c r="E179" t="str">
        <f ca="1"/>
        <v>[AldrinAnalyticsBenchmark.xlsm]Single Names</v>
      </c>
      <c r="F179">
        <f ca="1"/>
        <v>47</v>
      </c>
      <c r="G179">
        <f ca="1"/>
        <v>9</v>
      </c>
      <c r="H179" s="17">
        <f ca="1"/>
        <v>44057.665348877315</v>
      </c>
    </row>
    <row r="180" spans="2:8" x14ac:dyDescent="0.35">
      <c r="B180" t="str">
        <f ca="1"/>
        <v>OBJ_-665118634</v>
      </c>
      <c r="C180" t="str">
        <f ca="1"/>
        <v>AldrinAnalytics.Instruments.SingleNameTicker</v>
      </c>
      <c r="D180">
        <f ca="1"/>
        <v>-665118634</v>
      </c>
      <c r="E180" t="str">
        <f ca="1"/>
        <v>[AldrinAnalyticsBenchmark.xlsm]Single Names</v>
      </c>
      <c r="F180">
        <f ca="1"/>
        <v>37</v>
      </c>
      <c r="G180">
        <f ca="1"/>
        <v>8</v>
      </c>
      <c r="H180" s="17">
        <f ca="1"/>
        <v>44057.665348854163</v>
      </c>
    </row>
    <row r="181" spans="2:8" x14ac:dyDescent="0.35">
      <c r="B181" t="str">
        <f ca="1"/>
        <v>OBJ_37078712</v>
      </c>
      <c r="C181" t="str">
        <f ca="1"/>
        <v>AldrinAnalytics.Pricers.DataSheetContainer</v>
      </c>
      <c r="D181">
        <f ca="1"/>
        <v>37078712</v>
      </c>
      <c r="E181" t="str">
        <f ca="1"/>
        <v>[AldrinAnalyticsBenchmark.xlsm]Forward Rates</v>
      </c>
      <c r="F181">
        <f ca="1"/>
        <v>2</v>
      </c>
      <c r="G181">
        <f ca="1"/>
        <v>7</v>
      </c>
      <c r="H181" s="17">
        <f ca="1"/>
        <v>44057.665348541668</v>
      </c>
    </row>
    <row r="182" spans="2:8" x14ac:dyDescent="0.35">
      <c r="B182" t="str">
        <f ca="1"/>
        <v>OBJ_1436197633</v>
      </c>
      <c r="C182" t="str">
        <f ca="1"/>
        <v>AldrinAnalytics.Instruments.SingleNameTicker</v>
      </c>
      <c r="D182">
        <f ca="1"/>
        <v>1436197633</v>
      </c>
      <c r="E182" t="str">
        <f ca="1"/>
        <v>[AldrinAnalyticsBenchmark.xlsm]Single Names</v>
      </c>
      <c r="F182">
        <f ca="1"/>
        <v>11</v>
      </c>
      <c r="G182">
        <f ca="1"/>
        <v>8</v>
      </c>
      <c r="H182" s="17">
        <f ca="1"/>
        <v>44057.665348807874</v>
      </c>
    </row>
    <row r="183" spans="2:8" x14ac:dyDescent="0.35">
      <c r="B183" t="str">
        <f ca="1"/>
        <v>OBJ_44212955</v>
      </c>
      <c r="C183" t="str">
        <f ca="1"/>
        <v>AldrinAnalytics.Calibration.SingleNameSecurity</v>
      </c>
      <c r="D183">
        <f ca="1"/>
        <v>44212955</v>
      </c>
      <c r="E183" t="str">
        <f ca="1"/>
        <v>[AldrinAnalyticsBenchmark.xlsm]Single Names</v>
      </c>
      <c r="F183">
        <f ca="1"/>
        <v>20</v>
      </c>
      <c r="G183">
        <f ca="1"/>
        <v>9</v>
      </c>
      <c r="H183" s="17">
        <f ca="1"/>
        <v>44057.665348831018</v>
      </c>
    </row>
    <row r="184" spans="2:8" x14ac:dyDescent="0.35">
      <c r="B184" t="str">
        <f ca="1"/>
        <v>OBJ_270564716</v>
      </c>
      <c r="C184" t="str">
        <f ca="1"/>
        <v>AldrinAnalytics.Instruments.AssetLegStd</v>
      </c>
      <c r="D184">
        <f ca="1"/>
        <v>-787680983</v>
      </c>
      <c r="E184" t="str">
        <f ca="1"/>
        <v>[AldrinAnalyticsBenchmark.xlsm]Book</v>
      </c>
      <c r="F184">
        <f ca="1"/>
        <v>12</v>
      </c>
      <c r="G184">
        <f ca="1"/>
        <v>25</v>
      </c>
      <c r="H184" s="17">
        <f ca="1"/>
        <v>44057.665350729163</v>
      </c>
    </row>
    <row r="185" spans="2:8" x14ac:dyDescent="0.35">
      <c r="B185" t="str">
        <f ca="1"/>
        <v>OBJ_17180694</v>
      </c>
      <c r="C185" t="str">
        <f ca="1"/>
        <v>System.String[]</v>
      </c>
      <c r="D185">
        <f ca="1"/>
        <v>17180694</v>
      </c>
      <c r="E185" t="str">
        <f ca="1"/>
        <v>[AldrinAnalyticsBenchmark.xlsm]Codings</v>
      </c>
      <c r="F185">
        <f ca="1"/>
        <v>1</v>
      </c>
      <c r="G185">
        <f ca="1"/>
        <v>9</v>
      </c>
      <c r="H185" s="17">
        <f ca="1"/>
        <v>44057.665356770834</v>
      </c>
    </row>
    <row r="186" spans="2:8" x14ac:dyDescent="0.35">
      <c r="B186" t="str">
        <f ca="1"/>
        <v>OBJ_-223378860</v>
      </c>
      <c r="C186" t="str">
        <f ca="1"/>
        <v>AldrinAnalytics.Instruments.AssetLegFloatRate</v>
      </c>
      <c r="D186">
        <f ca="1"/>
        <v>459302867</v>
      </c>
      <c r="E186" t="str">
        <f ca="1"/>
        <v>[AldrinAnalyticsBenchmark.xlsm]Book</v>
      </c>
      <c r="F186">
        <f ca="1"/>
        <v>7</v>
      </c>
      <c r="G186">
        <f ca="1"/>
        <v>26</v>
      </c>
      <c r="H186" s="17">
        <f ca="1"/>
        <v>44057.665350659721</v>
      </c>
    </row>
    <row r="187" spans="2:8" x14ac:dyDescent="0.35">
      <c r="B187" t="str">
        <f ca="1"/>
        <v>OBJ_15080647</v>
      </c>
      <c r="C187" t="str">
        <f ca="1"/>
        <v>AldrinAnalytics.Calibration.SingleNameSecurity</v>
      </c>
      <c r="D187">
        <f ca="1"/>
        <v>15080647</v>
      </c>
      <c r="E187" t="str">
        <f ca="1"/>
        <v>[AldrinAnalyticsBenchmark.xlsm]Single Names</v>
      </c>
      <c r="F187">
        <f ca="1"/>
        <v>37</v>
      </c>
      <c r="G187">
        <f ca="1"/>
        <v>9</v>
      </c>
      <c r="H187" s="17">
        <f ca="1"/>
        <v>44057.665348865739</v>
      </c>
    </row>
    <row r="188" spans="2:8" x14ac:dyDescent="0.35">
      <c r="B188" t="str">
        <f ca="1"/>
        <v>OBJ_50448563</v>
      </c>
      <c r="C188" t="str">
        <f ca="1"/>
        <v>System.String[]</v>
      </c>
      <c r="D188">
        <f ca="1"/>
        <v>50448563</v>
      </c>
      <c r="E188" t="str">
        <f ca="1"/>
        <v>[AldrinAnalyticsBenchmark.xlsm]Codings</v>
      </c>
      <c r="F188">
        <f ca="1"/>
        <v>1</v>
      </c>
      <c r="G188">
        <f ca="1"/>
        <v>0</v>
      </c>
      <c r="H188" s="17">
        <f ca="1"/>
        <v>44057.665356724538</v>
      </c>
    </row>
    <row r="189" spans="2:8" x14ac:dyDescent="0.35">
      <c r="B189" t="str">
        <f ca="1"/>
        <v>OBJ_12108503</v>
      </c>
      <c r="C189" t="str">
        <f ca="1"/>
        <v>System.String[]</v>
      </c>
      <c r="D189">
        <f ca="1"/>
        <v>12108503</v>
      </c>
      <c r="E189" t="str">
        <f ca="1"/>
        <v>[AldrinAnalyticsBenchmark.xlsm]Codings</v>
      </c>
      <c r="F189">
        <f ca="1"/>
        <v>1</v>
      </c>
      <c r="G189">
        <f ca="1"/>
        <v>4</v>
      </c>
      <c r="H189" s="17">
        <f ca="1"/>
        <v>44057.665356736114</v>
      </c>
    </row>
    <row r="190" spans="2:8" x14ac:dyDescent="0.35">
      <c r="B190" t="str">
        <f ca="1"/>
        <v>OBJ_64729059</v>
      </c>
      <c r="C190" t="str">
        <f ca="1"/>
        <v>AldrinAnalytics.Models.BlackScholesBasket</v>
      </c>
      <c r="D190">
        <f ca="1"/>
        <v>64729059</v>
      </c>
      <c r="E190" t="str">
        <f ca="1"/>
        <v>[AldrinAnalyticsBenchmark.xlsm]Models</v>
      </c>
      <c r="F190">
        <f ca="1"/>
        <v>6</v>
      </c>
      <c r="G190">
        <f ca="1"/>
        <v>1</v>
      </c>
      <c r="H190" s="17">
        <f ca="1"/>
        <v>44057.665353576391</v>
      </c>
    </row>
    <row r="191" spans="2:8" x14ac:dyDescent="0.35">
      <c r="B191" t="str">
        <f ca="1"/>
        <v>OBJ_1375974579</v>
      </c>
      <c r="C191" t="str">
        <f ca="1"/>
        <v>AldrinAnalytics.Instruments.OisReference</v>
      </c>
      <c r="D191">
        <f ca="1"/>
        <v>1375974579</v>
      </c>
      <c r="E191" t="str">
        <f ca="1"/>
        <v>[AldrinAnalyticsBenchmark.xlsm]Book</v>
      </c>
      <c r="F191">
        <f ca="1"/>
        <v>7</v>
      </c>
      <c r="G191">
        <f ca="1"/>
        <v>22</v>
      </c>
      <c r="H191" s="17">
        <f ca="1"/>
        <v>44057.665350740739</v>
      </c>
    </row>
    <row r="192" spans="2:8" x14ac:dyDescent="0.35">
      <c r="B192" t="str">
        <f ca="1"/>
        <v>OBJ_6078946</v>
      </c>
      <c r="C192" t="str">
        <f ca="1"/>
        <v>AldrinAnalytics.Instruments.TotalReturnSwap</v>
      </c>
      <c r="D192">
        <f ca="1"/>
        <v>6078946</v>
      </c>
      <c r="E192" t="str">
        <f ca="1"/>
        <v>[AldrinAnalyticsBenchmark.xlsm]Book</v>
      </c>
      <c r="F192">
        <f ca="1"/>
        <v>12</v>
      </c>
      <c r="G192">
        <f ca="1"/>
        <v>27</v>
      </c>
      <c r="H192" s="17">
        <f ca="1"/>
        <v>44057.665350729163</v>
      </c>
    </row>
    <row r="193" spans="2:8" x14ac:dyDescent="0.35">
      <c r="B193" t="str">
        <f ca="1"/>
        <v>OBJ_1422590288</v>
      </c>
      <c r="C193" t="str">
        <f ca="1"/>
        <v>AldrinAnalytics.Instruments.AssetLegFloatRate</v>
      </c>
      <c r="D193">
        <f ca="1"/>
        <v>1008055596</v>
      </c>
      <c r="E193" t="str">
        <f ca="1"/>
        <v>[AldrinAnalyticsBenchmark.xlsm]Book</v>
      </c>
      <c r="F193">
        <f ca="1"/>
        <v>9</v>
      </c>
      <c r="G193">
        <f ca="1"/>
        <v>26</v>
      </c>
      <c r="H193" s="17">
        <f ca="1"/>
        <v>44057.665350682873</v>
      </c>
    </row>
    <row r="194" spans="2:8" x14ac:dyDescent="0.35">
      <c r="B194" t="str">
        <f ca="1"/>
        <v>OBJ_-843401282</v>
      </c>
      <c r="C194" t="str">
        <f ca="1"/>
        <v>AldrinAnalytics.Instruments.SecurityBasket</v>
      </c>
      <c r="D194">
        <f ca="1"/>
        <v>-843401282</v>
      </c>
      <c r="E194" t="str">
        <f ca="1"/>
        <v>[AldrinAnalyticsBenchmark.xlsm]Repos</v>
      </c>
      <c r="F194">
        <f ca="1"/>
        <v>5</v>
      </c>
      <c r="G194">
        <f ca="1"/>
        <v>1</v>
      </c>
      <c r="H194" s="17">
        <f ca="1"/>
        <v>44057.665353414355</v>
      </c>
    </row>
    <row r="195" spans="2:8" x14ac:dyDescent="0.35">
      <c r="B195" t="str">
        <f ca="1"/>
        <v>OBJ_13604004</v>
      </c>
      <c r="C195" t="str">
        <f ca="1"/>
        <v>AldrinAnalytics.Instruments.CashCollateral</v>
      </c>
      <c r="D195">
        <f ca="1"/>
        <v>13604004</v>
      </c>
      <c r="E195" t="str">
        <f ca="1"/>
        <v>[AldrinAnalyticsBenchmark.xlsm]Book</v>
      </c>
      <c r="F195">
        <f ca="1"/>
        <v>6</v>
      </c>
      <c r="G195">
        <f ca="1"/>
        <v>20</v>
      </c>
      <c r="H195" s="17">
        <f ca="1"/>
        <v>44057.665350648145</v>
      </c>
    </row>
    <row r="196" spans="2:8" x14ac:dyDescent="0.35">
      <c r="B196" t="str">
        <f ca="1"/>
        <v>OBJ_9216716</v>
      </c>
      <c r="C196" t="str">
        <f ca="1"/>
        <v>AldrinAnalytics.Calibration.SingleNameSecurity</v>
      </c>
      <c r="D196">
        <f ca="1"/>
        <v>9216716</v>
      </c>
      <c r="E196" t="str">
        <f ca="1"/>
        <v>[AldrinAnalyticsBenchmark.xlsm]Single Names</v>
      </c>
      <c r="F196">
        <f ca="1"/>
        <v>7</v>
      </c>
      <c r="G196">
        <f ca="1"/>
        <v>9</v>
      </c>
      <c r="H196" s="17">
        <f ca="1"/>
        <v>44057.665348773146</v>
      </c>
    </row>
    <row r="197" spans="2:8" x14ac:dyDescent="0.35">
      <c r="B197" t="str">
        <f ca="1"/>
        <v>OBJ_43001397</v>
      </c>
      <c r="C197" t="str">
        <f ca="1"/>
        <v>Zeliade.Finance.Common.Calibration.DataQuoteSheet</v>
      </c>
      <c r="D197">
        <f ca="1"/>
        <v>43001397</v>
      </c>
      <c r="E197" t="str">
        <f ca="1"/>
        <v>[AldrinAnalyticsBenchmark.xlsm]Ois</v>
      </c>
      <c r="F197">
        <f ca="1"/>
        <v>2</v>
      </c>
      <c r="G197">
        <f ca="1"/>
        <v>5</v>
      </c>
      <c r="H197" s="17">
        <f ca="1"/>
        <v>44057.665348171293</v>
      </c>
    </row>
    <row r="198" spans="2:8" x14ac:dyDescent="0.35">
      <c r="B198" t="str">
        <f ca="1"/>
        <v>OBJ_44024524</v>
      </c>
      <c r="C198" t="str">
        <f ca="1"/>
        <v>AldrinAnalytics.Calibration.SingleNameSecurity</v>
      </c>
      <c r="D198">
        <f ca="1"/>
        <v>44024524</v>
      </c>
      <c r="E198" t="str">
        <f ca="1"/>
        <v>[AldrinAnalyticsBenchmark.xlsm]Single Names</v>
      </c>
      <c r="F198">
        <f ca="1"/>
        <v>5</v>
      </c>
      <c r="G198">
        <f ca="1"/>
        <v>9</v>
      </c>
      <c r="H198" s="17">
        <f ca="1"/>
        <v>44057.665348773146</v>
      </c>
    </row>
    <row r="199" spans="2:8" x14ac:dyDescent="0.35">
      <c r="B199" t="str">
        <f ca="1"/>
        <v>OBJ_20504736</v>
      </c>
      <c r="C199" t="str">
        <f ca="1"/>
        <v>AldrinAnalytics.Instruments.CashCollateral</v>
      </c>
      <c r="D199">
        <f ca="1"/>
        <v>20504736</v>
      </c>
      <c r="E199" t="str">
        <f ca="1"/>
        <v>[AldrinAnalyticsBenchmark.xlsm]Book</v>
      </c>
      <c r="F199">
        <f ca="1"/>
        <v>9</v>
      </c>
      <c r="G199">
        <f ca="1"/>
        <v>20</v>
      </c>
      <c r="H199" s="17">
        <f ca="1"/>
        <v>44057.665350682873</v>
      </c>
    </row>
    <row r="200" spans="2:8" x14ac:dyDescent="0.35">
      <c r="B200" t="str">
        <f ca="1"/>
        <v>OBJ_35340701</v>
      </c>
      <c r="C200" t="str">
        <f ca="1"/>
        <v>AldrinAnalytics.Calibration.SingleNameDataSheet</v>
      </c>
      <c r="D200">
        <f ca="1"/>
        <v>35340701</v>
      </c>
      <c r="E200" t="str">
        <f ca="1"/>
        <v>[AldrinAnalyticsBenchmark.xlsm]Single Names</v>
      </c>
      <c r="F200">
        <f ca="1"/>
        <v>47</v>
      </c>
      <c r="G200">
        <f ca="1"/>
        <v>10</v>
      </c>
      <c r="H200" s="17">
        <f ca="1"/>
        <v>44057.665348888891</v>
      </c>
    </row>
    <row r="201" spans="2:8" x14ac:dyDescent="0.35">
      <c r="B201" t="str">
        <f ca="1"/>
        <v>OBJ_-843401282</v>
      </c>
      <c r="C201" t="str">
        <f ca="1"/>
        <v>AldrinAnalytics.Instruments.SecurityBasket</v>
      </c>
      <c r="D201">
        <f ca="1"/>
        <v>-843401282</v>
      </c>
      <c r="E201" t="str">
        <f ca="1"/>
        <v>[AldrinAnalyticsBenchmark.xlsm]Book</v>
      </c>
      <c r="F201">
        <f ca="1"/>
        <v>11</v>
      </c>
      <c r="G201">
        <f ca="1"/>
        <v>21</v>
      </c>
      <c r="H201" s="17">
        <f ca="1"/>
        <v>44057.665353414355</v>
      </c>
    </row>
    <row r="202" spans="2:8" x14ac:dyDescent="0.35">
      <c r="B202" t="str">
        <f ca="1"/>
        <v>OBJ_51929311</v>
      </c>
      <c r="C202" t="str">
        <f ca="1"/>
        <v>AldrinAnalytics.Instruments.SingleNameTicker</v>
      </c>
      <c r="D202">
        <f ca="1"/>
        <v>51929311</v>
      </c>
      <c r="E202" t="str">
        <f ca="1"/>
        <v>[AldrinAnalyticsBenchmark.xlsm]Single Names</v>
      </c>
      <c r="F202">
        <f ca="1"/>
        <v>49</v>
      </c>
      <c r="G202">
        <f ca="1"/>
        <v>8</v>
      </c>
      <c r="H202" s="17">
        <f ca="1"/>
        <v>44057.665348877315</v>
      </c>
    </row>
    <row r="203" spans="2:8" x14ac:dyDescent="0.35">
      <c r="B203" t="str">
        <f ca="1"/>
        <v>OBJ_61500346</v>
      </c>
      <c r="C203" t="str">
        <f ca="1"/>
        <v>AldrinAnalytics.Calibration.SingleNameSecurity</v>
      </c>
      <c r="D203">
        <f ca="1"/>
        <v>61500346</v>
      </c>
      <c r="E203" t="str">
        <f ca="1"/>
        <v>[AldrinAnalyticsBenchmark.xlsm]Single Names</v>
      </c>
      <c r="F203">
        <f ca="1"/>
        <v>14</v>
      </c>
      <c r="G203">
        <f ca="1"/>
        <v>9</v>
      </c>
      <c r="H203" s="17">
        <f ca="1"/>
        <v>44057.665348819442</v>
      </c>
    </row>
    <row r="204" spans="2:8" x14ac:dyDescent="0.35">
      <c r="B204" t="str">
        <f ca="1"/>
        <v>OBJ_8356549</v>
      </c>
      <c r="C204" t="str">
        <f ca="1"/>
        <v>AldrinAnalytics.Calibration.SingleNameSecurity</v>
      </c>
      <c r="D204">
        <f ca="1"/>
        <v>8356549</v>
      </c>
      <c r="E204" t="str">
        <f ca="1"/>
        <v>[AldrinAnalyticsBenchmark.xlsm]Single Names</v>
      </c>
      <c r="F204">
        <f ca="1"/>
        <v>9</v>
      </c>
      <c r="G204">
        <f ca="1"/>
        <v>9</v>
      </c>
      <c r="H204" s="17">
        <f ca="1"/>
        <v>44057.665348784722</v>
      </c>
    </row>
    <row r="205" spans="2:8" x14ac:dyDescent="0.35">
      <c r="B205" t="str">
        <f ca="1"/>
        <v>OBJ_898653517</v>
      </c>
      <c r="C205" t="str">
        <f ca="1"/>
        <v>AldrinAnalytics.Instruments.SingleNameTicker</v>
      </c>
      <c r="D205">
        <f ca="1"/>
        <v>898653517</v>
      </c>
      <c r="E205" t="str">
        <f ca="1"/>
        <v>[AldrinAnalyticsBenchmark.xlsm]Single Names</v>
      </c>
      <c r="F205">
        <f ca="1"/>
        <v>12</v>
      </c>
      <c r="G205">
        <f ca="1"/>
        <v>8</v>
      </c>
      <c r="H205" s="17">
        <f ca="1"/>
        <v>44057.665348807874</v>
      </c>
    </row>
    <row r="206" spans="2:8" x14ac:dyDescent="0.35">
      <c r="B206" t="str">
        <f ca="1"/>
        <v>OBJ_2076262679</v>
      </c>
      <c r="C206" t="str">
        <f ca="1"/>
        <v>AldrinAnalytics.Instruments.SingleNameTicker</v>
      </c>
      <c r="D206">
        <f ca="1"/>
        <v>2076262679</v>
      </c>
      <c r="E206" t="str">
        <f ca="1"/>
        <v>[AldrinAnalyticsBenchmark.xlsm]Single Names</v>
      </c>
      <c r="F206">
        <f ca="1"/>
        <v>30</v>
      </c>
      <c r="G206">
        <f ca="1"/>
        <v>8</v>
      </c>
      <c r="H206" s="17">
        <f ca="1"/>
        <v>44057.665348842595</v>
      </c>
    </row>
    <row r="207" spans="2:8" x14ac:dyDescent="0.35">
      <c r="B207" t="str">
        <f ca="1"/>
        <v>OBJ_9953212</v>
      </c>
      <c r="C207" t="str">
        <f ca="1"/>
        <v>AldrinAnalytics.Pricers.MonteCarloPricingSetting</v>
      </c>
      <c r="D207">
        <f ca="1"/>
        <v>9953212</v>
      </c>
      <c r="E207" t="str">
        <f ca="1"/>
        <v>[AldrinAnalyticsBenchmark.xlsm]Pricing</v>
      </c>
      <c r="F207">
        <f ca="1"/>
        <v>1</v>
      </c>
      <c r="G207">
        <f ca="1"/>
        <v>5</v>
      </c>
      <c r="H207" s="17">
        <f ca="1"/>
        <v>44057.665354259261</v>
      </c>
    </row>
    <row r="208" spans="2:8" x14ac:dyDescent="0.35">
      <c r="B208" t="str">
        <f ca="1"/>
        <v>OBJ_35340701</v>
      </c>
      <c r="C208" t="str">
        <f ca="1"/>
        <v>AldrinAnalytics.Calibration.SingleNameDataSheet</v>
      </c>
      <c r="D208">
        <f ca="1"/>
        <v>35340701</v>
      </c>
      <c r="E208" t="str">
        <f ca="1"/>
        <v>[AldrinAnalyticsBenchmark.xlsm]Single Names</v>
      </c>
      <c r="F208">
        <f ca="1"/>
        <v>28</v>
      </c>
      <c r="G208">
        <f ca="1"/>
        <v>10</v>
      </c>
      <c r="H208" s="17">
        <f ca="1"/>
        <v>44057.665348888891</v>
      </c>
    </row>
    <row r="209" spans="2:8" x14ac:dyDescent="0.35">
      <c r="B209" t="str">
        <f ca="1"/>
        <v>OBJ_35502400</v>
      </c>
      <c r="C209" t="str">
        <f ca="1"/>
        <v>AldrinAnalytics.Instruments.Book</v>
      </c>
      <c r="D209">
        <f ca="1"/>
        <v>35502400</v>
      </c>
      <c r="E209" t="str">
        <f ca="1"/>
        <v>[AldrinAnalyticsBenchmark.xlsm]Book</v>
      </c>
      <c r="F209">
        <f ca="1"/>
        <v>4</v>
      </c>
      <c r="G209">
        <f ca="1"/>
        <v>28</v>
      </c>
      <c r="H209" s="17">
        <f ca="1"/>
        <v>44057.665350752315</v>
      </c>
    </row>
    <row r="210" spans="2:8" x14ac:dyDescent="0.35">
      <c r="B210" t="str">
        <f ca="1"/>
        <v>OBJ_24611730</v>
      </c>
      <c r="C210" t="str">
        <f ca="1"/>
        <v>AldrinAnalytics.Calibration.SingleNameSecurity</v>
      </c>
      <c r="D210">
        <f ca="1"/>
        <v>24611730</v>
      </c>
      <c r="E210" t="str">
        <f ca="1"/>
        <v>[AldrinAnalyticsBenchmark.xlsm]Single Names</v>
      </c>
      <c r="F210">
        <f ca="1"/>
        <v>48</v>
      </c>
      <c r="G210">
        <f ca="1"/>
        <v>9</v>
      </c>
      <c r="H210" s="17">
        <f ca="1"/>
        <v>44057.665348877315</v>
      </c>
    </row>
    <row r="211" spans="2:8" x14ac:dyDescent="0.35">
      <c r="B211" t="str">
        <f ca="1"/>
        <v>OBJ_35340701</v>
      </c>
      <c r="C211" t="str">
        <f ca="1"/>
        <v>AldrinAnalytics.Calibration.SingleNameDataSheet</v>
      </c>
      <c r="D211">
        <f ca="1"/>
        <v>35340701</v>
      </c>
      <c r="E211" t="str">
        <f ca="1"/>
        <v>[AldrinAnalyticsBenchmark.xlsm]Single Names</v>
      </c>
      <c r="F211">
        <f ca="1"/>
        <v>46</v>
      </c>
      <c r="G211">
        <f ca="1"/>
        <v>10</v>
      </c>
      <c r="H211" s="17">
        <f ca="1"/>
        <v>44057.665348888891</v>
      </c>
    </row>
    <row r="212" spans="2:8" x14ac:dyDescent="0.35">
      <c r="B212" t="str">
        <f ca="1"/>
        <v>OBJ_45285081</v>
      </c>
      <c r="C212" t="str">
        <f ca="1"/>
        <v>AldrinAnalytics.Calibration.SingleNameSecurity</v>
      </c>
      <c r="D212">
        <f ca="1"/>
        <v>45285081</v>
      </c>
      <c r="E212" t="str">
        <f ca="1"/>
        <v>[AldrinAnalyticsBenchmark.xlsm]Single Names</v>
      </c>
      <c r="F212">
        <f ca="1"/>
        <v>18</v>
      </c>
      <c r="G212">
        <f ca="1"/>
        <v>9</v>
      </c>
      <c r="H212" s="17">
        <f ca="1"/>
        <v>44057.665348819442</v>
      </c>
    </row>
    <row r="213" spans="2:8" x14ac:dyDescent="0.35">
      <c r="B213" t="str">
        <f ca="1"/>
        <v>OBJ_35340701</v>
      </c>
      <c r="C213" t="str">
        <f ca="1"/>
        <v>AldrinAnalytics.Calibration.SingleNameDataSheet</v>
      </c>
      <c r="D213">
        <f ca="1"/>
        <v>35340701</v>
      </c>
      <c r="E213" t="str">
        <f ca="1"/>
        <v>[AldrinAnalyticsBenchmark.xlsm]Single Names</v>
      </c>
      <c r="F213">
        <f ca="1"/>
        <v>52</v>
      </c>
      <c r="G213">
        <f ca="1"/>
        <v>10</v>
      </c>
      <c r="H213" s="17">
        <f ca="1"/>
        <v>44057.665348888891</v>
      </c>
    </row>
    <row r="214" spans="2:8" x14ac:dyDescent="0.35">
      <c r="B214" t="str">
        <f ca="1"/>
        <v>OBJ_35340701</v>
      </c>
      <c r="C214" t="str">
        <f ca="1"/>
        <v>AldrinAnalytics.Calibration.SingleNameDataSheet</v>
      </c>
      <c r="D214">
        <f ca="1"/>
        <v>35340701</v>
      </c>
      <c r="E214" t="str">
        <f ca="1"/>
        <v>[AldrinAnalyticsBenchmark.xlsm]Single Names</v>
      </c>
      <c r="F214">
        <f ca="1"/>
        <v>48</v>
      </c>
      <c r="G214">
        <f ca="1"/>
        <v>10</v>
      </c>
      <c r="H214" s="17">
        <f ca="1"/>
        <v>44057.665348888891</v>
      </c>
    </row>
    <row r="215" spans="2:8" x14ac:dyDescent="0.35">
      <c r="B215" t="str">
        <f ca="1"/>
        <v>OBJ_2106296878</v>
      </c>
      <c r="C215" t="str">
        <f ca="1"/>
        <v>AldrinAnalytics.Instruments.SingleNameTicker</v>
      </c>
      <c r="D215">
        <f ca="1"/>
        <v>2106296878</v>
      </c>
      <c r="E215" t="str">
        <f ca="1"/>
        <v>[AldrinAnalyticsBenchmark.xlsm]Single Names</v>
      </c>
      <c r="F215">
        <f ca="1"/>
        <v>22</v>
      </c>
      <c r="G215">
        <f ca="1"/>
        <v>8</v>
      </c>
      <c r="H215" s="17">
        <f ca="1"/>
        <v>44057.665348831018</v>
      </c>
    </row>
    <row r="216" spans="2:8" x14ac:dyDescent="0.35">
      <c r="B216" t="str">
        <f ca="1"/>
        <v>OBJ_-2049203761</v>
      </c>
      <c r="C216" t="str">
        <f ca="1"/>
        <v>AldrinAnalytics.Instruments.AssetLegStd</v>
      </c>
      <c r="D216">
        <f ca="1"/>
        <v>1173420716</v>
      </c>
      <c r="E216" t="str">
        <f ca="1"/>
        <v>[AldrinAnalyticsBenchmark.xlsm]Book</v>
      </c>
      <c r="F216">
        <f ca="1"/>
        <v>5</v>
      </c>
      <c r="G216">
        <f ca="1"/>
        <v>25</v>
      </c>
      <c r="H216" s="17">
        <f ca="1"/>
        <v>44057.665350636576</v>
      </c>
    </row>
    <row r="217" spans="2:8" x14ac:dyDescent="0.35">
      <c r="B217" t="str">
        <f ca="1"/>
        <v>OBJ_58066551</v>
      </c>
      <c r="C217" t="str">
        <f ca="1"/>
        <v>AldrinAnalytics.Pricers.FxCurveMarket</v>
      </c>
      <c r="D217">
        <f ca="1"/>
        <v>58066551</v>
      </c>
      <c r="E217" t="str">
        <f ca="1"/>
        <v>[AldrinAnalyticsBenchmark.xlsm]Markets</v>
      </c>
      <c r="F217">
        <f ca="1"/>
        <v>6</v>
      </c>
      <c r="G217">
        <f ca="1"/>
        <v>1</v>
      </c>
      <c r="H217" s="17">
        <f ca="1"/>
        <v>44057.665353171295</v>
      </c>
    </row>
    <row r="218" spans="2:8" x14ac:dyDescent="0.35">
      <c r="B218" t="str">
        <f ca="1"/>
        <v>OBJ_19838352</v>
      </c>
      <c r="C218" t="str">
        <f ca="1"/>
        <v>Zeliade.Finance.Common.Calibration.DataQuoteSheet</v>
      </c>
      <c r="D218">
        <f ca="1"/>
        <v>19838352</v>
      </c>
      <c r="E218" t="str">
        <f ca="1"/>
        <v>[AldrinAnalyticsBenchmark.xlsm]Forward Rates</v>
      </c>
      <c r="F218">
        <f ca="1"/>
        <v>2</v>
      </c>
      <c r="G218">
        <f ca="1"/>
        <v>6</v>
      </c>
      <c r="H218" s="17">
        <f ca="1"/>
        <v>44057.665348530092</v>
      </c>
    </row>
    <row r="219" spans="2:8" x14ac:dyDescent="0.35">
      <c r="B219" t="str">
        <f ca="1"/>
        <v>OBJ_35340701</v>
      </c>
      <c r="C219" t="str">
        <f ca="1"/>
        <v>AldrinAnalytics.Calibration.SingleNameDataSheet</v>
      </c>
      <c r="D219">
        <f ca="1"/>
        <v>35340701</v>
      </c>
      <c r="E219" t="str">
        <f ca="1"/>
        <v>[AldrinAnalyticsBenchmark.xlsm]Single Names</v>
      </c>
      <c r="F219">
        <f ca="1"/>
        <v>41</v>
      </c>
      <c r="G219">
        <f ca="1"/>
        <v>10</v>
      </c>
      <c r="H219" s="17">
        <f ca="1"/>
        <v>44057.665348888891</v>
      </c>
    </row>
    <row r="220" spans="2:8" x14ac:dyDescent="0.35">
      <c r="B220" t="str">
        <f ca="1"/>
        <v>OBJ_5770151</v>
      </c>
      <c r="C220" t="str">
        <f ca="1"/>
        <v>AldrinAnalytics.Excel.ModelSet</v>
      </c>
      <c r="D220">
        <f ca="1"/>
        <v>5770151</v>
      </c>
      <c r="E220" t="str">
        <f ca="1"/>
        <v>[AldrinAnalyticsBenchmark.xlsm]Models</v>
      </c>
      <c r="F220">
        <f ca="1"/>
        <v>7</v>
      </c>
      <c r="G220">
        <f ca="1"/>
        <v>0</v>
      </c>
      <c r="H220" s="17">
        <f ca="1"/>
        <v>44057.665353622688</v>
      </c>
    </row>
    <row r="221" spans="2:8" x14ac:dyDescent="0.35">
      <c r="B221" t="str">
        <f ca="1"/>
        <v>OBJ_35340701</v>
      </c>
      <c r="C221" t="str">
        <f ca="1"/>
        <v>AldrinAnalytics.Calibration.SingleNameDataSheet</v>
      </c>
      <c r="D221">
        <f ca="1"/>
        <v>35340701</v>
      </c>
      <c r="E221" t="str">
        <f ca="1"/>
        <v>[AldrinAnalyticsBenchmark.xlsm]Single Names</v>
      </c>
      <c r="F221">
        <f ca="1"/>
        <v>32</v>
      </c>
      <c r="G221">
        <f ca="1"/>
        <v>10</v>
      </c>
      <c r="H221" s="17">
        <f ca="1"/>
        <v>44057.665348888891</v>
      </c>
    </row>
    <row r="222" spans="2:8" x14ac:dyDescent="0.35">
      <c r="B222" t="str">
        <f ca="1"/>
        <v>OBJ_37078712</v>
      </c>
      <c r="C222" t="str">
        <f ca="1"/>
        <v>AldrinAnalytics.Pricers.DataSheetContainer</v>
      </c>
      <c r="D222">
        <f ca="1"/>
        <v>37078712</v>
      </c>
      <c r="E222" t="str">
        <f ca="1"/>
        <v>[AldrinAnalyticsBenchmark.xlsm]Forward Rates</v>
      </c>
      <c r="F222">
        <f ca="1"/>
        <v>1</v>
      </c>
      <c r="G222">
        <f ca="1"/>
        <v>1</v>
      </c>
      <c r="H222" s="17">
        <f ca="1"/>
        <v>44057.665348541668</v>
      </c>
    </row>
    <row r="223" spans="2:8" x14ac:dyDescent="0.35">
      <c r="B223" t="str">
        <f ca="1"/>
        <v>OBJ_35340701</v>
      </c>
      <c r="C223" t="str">
        <f ca="1"/>
        <v>AldrinAnalytics.Calibration.SingleNameDataSheet</v>
      </c>
      <c r="D223">
        <f ca="1"/>
        <v>35340701</v>
      </c>
      <c r="E223" t="str">
        <f ca="1"/>
        <v>[AldrinAnalyticsBenchmark.xlsm]Single Names</v>
      </c>
      <c r="F223">
        <f ca="1"/>
        <v>51</v>
      </c>
      <c r="G223">
        <f ca="1"/>
        <v>10</v>
      </c>
      <c r="H223" s="17">
        <f ca="1"/>
        <v>44057.665348888891</v>
      </c>
    </row>
    <row r="224" spans="2:8" x14ac:dyDescent="0.35">
      <c r="B224" t="str">
        <f ca="1"/>
        <v>OBJ_35340701</v>
      </c>
      <c r="C224" t="str">
        <f ca="1"/>
        <v>AldrinAnalytics.Calibration.SingleNameDataSheet</v>
      </c>
      <c r="D224">
        <f ca="1"/>
        <v>35340701</v>
      </c>
      <c r="E224" t="str">
        <f ca="1"/>
        <v>[AldrinAnalyticsBenchmark.xlsm]Single Names</v>
      </c>
      <c r="F224">
        <f ca="1"/>
        <v>3</v>
      </c>
      <c r="G224">
        <f ca="1"/>
        <v>10</v>
      </c>
      <c r="H224" s="17">
        <f ca="1"/>
        <v>44057.665348888891</v>
      </c>
    </row>
    <row r="225" spans="2:8" x14ac:dyDescent="0.35">
      <c r="B225" t="str">
        <f ca="1"/>
        <v>OBJ_-296371175</v>
      </c>
      <c r="C225" t="str">
        <f ca="1"/>
        <v>AldrinAnalytics.Instruments.SingleNameTicker</v>
      </c>
      <c r="D225">
        <f ca="1"/>
        <v>-296371175</v>
      </c>
      <c r="E225" t="str">
        <f ca="1"/>
        <v>[AldrinAnalyticsBenchmark.xlsm]Single Names</v>
      </c>
      <c r="F225">
        <f ca="1"/>
        <v>44</v>
      </c>
      <c r="G225">
        <f ca="1"/>
        <v>8</v>
      </c>
      <c r="H225" s="17">
        <f ca="1"/>
        <v>44057.665348877315</v>
      </c>
    </row>
    <row r="226" spans="2:8" x14ac:dyDescent="0.35">
      <c r="B226" t="str">
        <f ca="1"/>
        <v>OBJ_1191839900</v>
      </c>
      <c r="C226" t="str">
        <f ca="1"/>
        <v>AldrinAnalytics.Instruments.AssetLegFloatRate</v>
      </c>
      <c r="D226">
        <f ca="1"/>
        <v>-476757155</v>
      </c>
      <c r="E226" t="str">
        <f ca="1"/>
        <v>[AldrinAnalyticsBenchmark.xlsm]Book</v>
      </c>
      <c r="F226">
        <f ca="1"/>
        <v>12</v>
      </c>
      <c r="G226">
        <f ca="1"/>
        <v>26</v>
      </c>
      <c r="H226" s="17">
        <f ca="1"/>
        <v>44057.665350729163</v>
      </c>
    </row>
    <row r="227" spans="2:8" x14ac:dyDescent="0.35">
      <c r="B227" t="str">
        <f ca="1"/>
        <v>OBJ_35340701</v>
      </c>
      <c r="C227" t="str">
        <f ca="1"/>
        <v>AldrinAnalytics.Calibration.SingleNameDataSheet</v>
      </c>
      <c r="D227">
        <f ca="1"/>
        <v>35340701</v>
      </c>
      <c r="E227" t="str">
        <f ca="1"/>
        <v>[AldrinAnalyticsBenchmark.xlsm]Single Names</v>
      </c>
      <c r="F227">
        <f ca="1"/>
        <v>30</v>
      </c>
      <c r="G227">
        <f ca="1"/>
        <v>10</v>
      </c>
      <c r="H227" s="17">
        <f ca="1"/>
        <v>44057.665348888891</v>
      </c>
    </row>
    <row r="228" spans="2:8" x14ac:dyDescent="0.35">
      <c r="B228" t="str">
        <f ca="1"/>
        <v>OBJ_-843401282</v>
      </c>
      <c r="C228" t="str">
        <f ca="1"/>
        <v>AldrinAnalytics.Instruments.SecurityBasket</v>
      </c>
      <c r="D228">
        <f ca="1"/>
        <v>-843401282</v>
      </c>
      <c r="E228" t="str">
        <f ca="1"/>
        <v>[AldrinAnalyticsBenchmark.xlsm]Book</v>
      </c>
      <c r="F228">
        <f ca="1"/>
        <v>14</v>
      </c>
      <c r="G228">
        <f ca="1"/>
        <v>21</v>
      </c>
      <c r="H228" s="17">
        <f ca="1"/>
        <v>44057.665353414355</v>
      </c>
    </row>
    <row r="229" spans="2:8" x14ac:dyDescent="0.35">
      <c r="B229" t="str">
        <f ca="1"/>
        <v>OBJ_22632578</v>
      </c>
      <c r="C229" t="str">
        <f ca="1"/>
        <v>AldrinAnalytics.Instruments.TotalReturnSwap</v>
      </c>
      <c r="D229">
        <f ca="1"/>
        <v>22632578</v>
      </c>
      <c r="E229" t="str">
        <f ca="1"/>
        <v>[AldrinAnalyticsBenchmark.xlsm]Book</v>
      </c>
      <c r="F229">
        <f ca="1"/>
        <v>13</v>
      </c>
      <c r="G229">
        <f ca="1"/>
        <v>27</v>
      </c>
      <c r="H229" s="17">
        <f ca="1"/>
        <v>44057.665350740739</v>
      </c>
    </row>
    <row r="230" spans="2:8" x14ac:dyDescent="0.35">
      <c r="B230" t="str">
        <f ca="1"/>
        <v>OBJ_162552240</v>
      </c>
      <c r="C230" t="str">
        <f ca="1"/>
        <v>AldrinAnalytics.Instruments.SingleNameTicker</v>
      </c>
      <c r="D230">
        <f ca="1"/>
        <v>162552240</v>
      </c>
      <c r="E230" t="str">
        <f ca="1"/>
        <v>[AldrinAnalyticsBenchmark.xlsm]Single Names</v>
      </c>
      <c r="F230">
        <f ca="1"/>
        <v>17</v>
      </c>
      <c r="G230">
        <f ca="1"/>
        <v>8</v>
      </c>
      <c r="H230" s="17">
        <f ca="1"/>
        <v>44057.665348819442</v>
      </c>
    </row>
    <row r="231" spans="2:8" x14ac:dyDescent="0.35">
      <c r="B231" t="str">
        <f ca="1"/>
        <v>OBJ_52315966</v>
      </c>
      <c r="C231" t="str">
        <f ca="1"/>
        <v>AldrinAnalytics.Instruments.TotalReturnSwap</v>
      </c>
      <c r="D231">
        <f ca="1"/>
        <v>52315966</v>
      </c>
      <c r="E231" t="str">
        <f ca="1"/>
        <v>[AldrinAnalyticsBenchmark.xlsm]Book</v>
      </c>
      <c r="F231">
        <f ca="1"/>
        <v>8</v>
      </c>
      <c r="G231">
        <f ca="1"/>
        <v>27</v>
      </c>
      <c r="H231" s="17">
        <f ca="1"/>
        <v>44057.665350671297</v>
      </c>
    </row>
    <row r="232" spans="2:8" x14ac:dyDescent="0.35">
      <c r="B232" t="str">
        <f ca="1"/>
        <v>OBJ_61163879</v>
      </c>
      <c r="C232" t="str">
        <f ca="1"/>
        <v>AldrinAnalytics.Instruments.TotalReturnSwap</v>
      </c>
      <c r="D232">
        <f ca="1"/>
        <v>61163879</v>
      </c>
      <c r="E232" t="str">
        <f ca="1"/>
        <v>[AldrinAnalyticsBenchmark.xlsm]Book</v>
      </c>
      <c r="F232">
        <f ca="1"/>
        <v>6</v>
      </c>
      <c r="G232">
        <f ca="1"/>
        <v>27</v>
      </c>
      <c r="H232" s="17">
        <f ca="1"/>
        <v>44057.665350648145</v>
      </c>
    </row>
    <row r="233" spans="2:8" x14ac:dyDescent="0.35">
      <c r="B233" t="str">
        <f ca="1"/>
        <v>OBJ_1624108065</v>
      </c>
      <c r="C233" t="str">
        <f ca="1"/>
        <v>AldrinAnalytics.Instruments.SingleNameTicker</v>
      </c>
      <c r="D233">
        <f ca="1"/>
        <v>1624108065</v>
      </c>
      <c r="E233" t="str">
        <f ca="1"/>
        <v>[AldrinAnalyticsBenchmark.xlsm]Single Names</v>
      </c>
      <c r="F233">
        <f ca="1"/>
        <v>29</v>
      </c>
      <c r="G233">
        <f ca="1"/>
        <v>8</v>
      </c>
      <c r="H233" s="17">
        <f ca="1"/>
        <v>44057.665348842595</v>
      </c>
    </row>
    <row r="234" spans="2:8" x14ac:dyDescent="0.35">
      <c r="B234" t="str">
        <f ca="1"/>
        <v>OBJ_8562452</v>
      </c>
      <c r="C234" t="str">
        <f ca="1"/>
        <v>AldrinAnalytics.Excel.PricingSettingSet</v>
      </c>
      <c r="D234">
        <f ca="1"/>
        <v>8562452</v>
      </c>
      <c r="E234" t="str">
        <f ca="1"/>
        <v>[AldrinAnalyticsBenchmark.xlsm]Pricing</v>
      </c>
      <c r="F234">
        <f ca="1"/>
        <v>8</v>
      </c>
      <c r="G234">
        <f ca="1"/>
        <v>6</v>
      </c>
      <c r="H234" s="17">
        <f ca="1"/>
        <v>44057.66535427083</v>
      </c>
    </row>
    <row r="235" spans="2:8" x14ac:dyDescent="0.35">
      <c r="B235" t="str">
        <f ca="1"/>
        <v>OBJ_-843401282</v>
      </c>
      <c r="C235" t="str">
        <f ca="1"/>
        <v>AldrinAnalytics.Instruments.SecurityBasket</v>
      </c>
      <c r="D235">
        <f ca="1"/>
        <v>-843401282</v>
      </c>
      <c r="E235" t="str">
        <f ca="1"/>
        <v>[AldrinAnalyticsBenchmark.xlsm]Book</v>
      </c>
      <c r="F235">
        <f ca="1"/>
        <v>5</v>
      </c>
      <c r="G235">
        <f ca="1"/>
        <v>21</v>
      </c>
      <c r="H235" s="17">
        <f ca="1"/>
        <v>44057.665353414355</v>
      </c>
    </row>
    <row r="236" spans="2:8" x14ac:dyDescent="0.35">
      <c r="B236" t="str">
        <f ca="1"/>
        <v>OBJ_35340701</v>
      </c>
      <c r="C236" t="str">
        <f ca="1"/>
        <v>AldrinAnalytics.Calibration.SingleNameDataSheet</v>
      </c>
      <c r="D236">
        <f ca="1"/>
        <v>35340701</v>
      </c>
      <c r="E236" t="str">
        <f ca="1"/>
        <v>[AldrinAnalyticsBenchmark.xlsm]Single Names</v>
      </c>
      <c r="F236">
        <f ca="1"/>
        <v>6</v>
      </c>
      <c r="G236">
        <f ca="1"/>
        <v>10</v>
      </c>
      <c r="H236" s="17">
        <f ca="1"/>
        <v>44057.665348888891</v>
      </c>
    </row>
    <row r="237" spans="2:8" x14ac:dyDescent="0.35">
      <c r="B237" t="str">
        <f ca="1"/>
        <v>OBJ_35340701</v>
      </c>
      <c r="C237" t="str">
        <f ca="1"/>
        <v>AldrinAnalytics.Calibration.SingleNameDataSheet</v>
      </c>
      <c r="D237">
        <f ca="1"/>
        <v>35340701</v>
      </c>
      <c r="E237" t="str">
        <f ca="1"/>
        <v>[AldrinAnalyticsBenchmark.xlsm]Single Names</v>
      </c>
      <c r="F237">
        <f ca="1"/>
        <v>21</v>
      </c>
      <c r="G237">
        <f ca="1"/>
        <v>10</v>
      </c>
      <c r="H237" s="17">
        <f ca="1"/>
        <v>44057.665348888891</v>
      </c>
    </row>
    <row r="238" spans="2:8" x14ac:dyDescent="0.35">
      <c r="B238" t="str">
        <f ca="1"/>
        <v>OBJ_-843401282</v>
      </c>
      <c r="C238" t="str">
        <f ca="1"/>
        <v>AldrinAnalytics.Instruments.SecurityBasket</v>
      </c>
      <c r="D238">
        <f ca="1"/>
        <v>-843401282</v>
      </c>
      <c r="E238" t="str">
        <f ca="1"/>
        <v>[AldrinAnalyticsBenchmark.xlsm]Models</v>
      </c>
      <c r="F238">
        <f ca="1"/>
        <v>3</v>
      </c>
      <c r="G238">
        <f ca="1"/>
        <v>2</v>
      </c>
      <c r="H238" s="17">
        <f ca="1"/>
        <v>44057.665353414355</v>
      </c>
    </row>
    <row r="239" spans="2:8" x14ac:dyDescent="0.35">
      <c r="B239" t="str">
        <f ca="1"/>
        <v>OBJ_5031675</v>
      </c>
      <c r="C239" t="str">
        <f ca="1"/>
        <v>AldrinAnalytics.Calibration.SingleNameSecurity</v>
      </c>
      <c r="D239">
        <f ca="1"/>
        <v>5031675</v>
      </c>
      <c r="E239" t="str">
        <f ca="1"/>
        <v>[AldrinAnalyticsBenchmark.xlsm]Single Names</v>
      </c>
      <c r="F239">
        <f ca="1"/>
        <v>17</v>
      </c>
      <c r="G239">
        <f ca="1"/>
        <v>9</v>
      </c>
      <c r="H239" s="17">
        <f ca="1"/>
        <v>44057.665348819442</v>
      </c>
    </row>
    <row r="240" spans="2:8" x14ac:dyDescent="0.35">
      <c r="B240" t="str">
        <f ca="1"/>
        <v>OBJ_543424094</v>
      </c>
      <c r="C240" t="str">
        <f ca="1"/>
        <v>AldrinAnalytics.Instruments.SingleNameTicker</v>
      </c>
      <c r="D240">
        <f ca="1"/>
        <v>543424094</v>
      </c>
      <c r="E240" t="str">
        <f ca="1"/>
        <v>[AldrinAnalyticsBenchmark.xlsm]Single Names</v>
      </c>
      <c r="F240">
        <f ca="1"/>
        <v>18</v>
      </c>
      <c r="G240">
        <f ca="1"/>
        <v>8</v>
      </c>
      <c r="H240" s="17">
        <f ca="1"/>
        <v>44057.665348819442</v>
      </c>
    </row>
    <row r="241" spans="2:8" x14ac:dyDescent="0.35">
      <c r="B241" t="str">
        <f ca="1"/>
        <v>OBJ_20478258</v>
      </c>
      <c r="C241" t="str">
        <f ca="1"/>
        <v>AldrinAnalytics.Pricers.ForwardRateCurveMarket</v>
      </c>
      <c r="D241">
        <f ca="1"/>
        <v>20478258</v>
      </c>
      <c r="E241" t="str">
        <f ca="1"/>
        <v>[AldrinAnalyticsBenchmark.xlsm]Markets</v>
      </c>
      <c r="F241">
        <f ca="1"/>
        <v>10</v>
      </c>
      <c r="G241">
        <f ca="1"/>
        <v>1</v>
      </c>
      <c r="H241" s="17">
        <f ca="1"/>
        <v>44057.665352534721</v>
      </c>
    </row>
    <row r="242" spans="2:8" x14ac:dyDescent="0.35">
      <c r="B242" t="str">
        <f ca="1"/>
        <v>OBJ_60676403</v>
      </c>
      <c r="C242" t="str">
        <f ca="1"/>
        <v>AldrinAnalytics.Calibration.SingleNameSecurity</v>
      </c>
      <c r="D242">
        <f ca="1"/>
        <v>60676403</v>
      </c>
      <c r="E242" t="str">
        <f ca="1"/>
        <v>[AldrinAnalyticsBenchmark.xlsm]Single Names</v>
      </c>
      <c r="F242">
        <f ca="1"/>
        <v>6</v>
      </c>
      <c r="G242">
        <f ca="1"/>
        <v>9</v>
      </c>
      <c r="H242" s="17">
        <f ca="1"/>
        <v>44057.665348773146</v>
      </c>
    </row>
    <row r="243" spans="2:8" x14ac:dyDescent="0.35">
      <c r="B243" t="str">
        <f ca="1"/>
        <v>OBJ_56717500</v>
      </c>
      <c r="C243" t="str">
        <f ca="1"/>
        <v>AldrinAnalytics.Calibration.SingleNameSecurity</v>
      </c>
      <c r="D243">
        <f ca="1"/>
        <v>56717500</v>
      </c>
      <c r="E243" t="str">
        <f ca="1"/>
        <v>[AldrinAnalyticsBenchmark.xlsm]Single Names</v>
      </c>
      <c r="F243">
        <f ca="1"/>
        <v>29</v>
      </c>
      <c r="G243">
        <f ca="1"/>
        <v>9</v>
      </c>
      <c r="H243" s="17">
        <f ca="1"/>
        <v>44057.665348842595</v>
      </c>
    </row>
    <row r="244" spans="2:8" x14ac:dyDescent="0.35">
      <c r="B244" t="str">
        <f ca="1"/>
        <v>OBJ_35502400</v>
      </c>
      <c r="C244" t="str">
        <f ca="1"/>
        <v>AldrinAnalytics.Instruments.Book</v>
      </c>
      <c r="D244">
        <f ca="1"/>
        <v>35502400</v>
      </c>
      <c r="E244" t="str">
        <f ca="1"/>
        <v>[AldrinAnalyticsBenchmark.xlsm]Book</v>
      </c>
      <c r="F244">
        <f ca="1"/>
        <v>7</v>
      </c>
      <c r="G244">
        <f ca="1"/>
        <v>28</v>
      </c>
      <c r="H244" s="17">
        <f ca="1"/>
        <v>44057.665350752315</v>
      </c>
    </row>
    <row r="245" spans="2:8" x14ac:dyDescent="0.35">
      <c r="B245" t="str">
        <f ca="1"/>
        <v>OBJ_-1056476316</v>
      </c>
      <c r="C245" t="str">
        <f ca="1"/>
        <v>AldrinAnalytics.Instruments.SingleNameTicker</v>
      </c>
      <c r="D245">
        <f ca="1"/>
        <v>-1056476316</v>
      </c>
      <c r="E245" t="str">
        <f ca="1"/>
        <v>[AldrinAnalyticsBenchmark.xlsm]Single Names</v>
      </c>
      <c r="F245">
        <f ca="1"/>
        <v>19</v>
      </c>
      <c r="G245">
        <f ca="1"/>
        <v>8</v>
      </c>
      <c r="H245" s="17">
        <f ca="1"/>
        <v>44057.665348819442</v>
      </c>
    </row>
    <row r="246" spans="2:8" x14ac:dyDescent="0.35">
      <c r="B246" t="str">
        <f ca="1"/>
        <v>OBJ_284743746</v>
      </c>
      <c r="C246" t="str">
        <f ca="1"/>
        <v>AldrinAnalytics.Instruments.AssetLegStd</v>
      </c>
      <c r="D246">
        <f ca="1"/>
        <v>-1762833480</v>
      </c>
      <c r="E246" t="str">
        <f ca="1"/>
        <v>[AldrinAnalyticsBenchmark.xlsm]Book</v>
      </c>
      <c r="F246">
        <f ca="1"/>
        <v>13</v>
      </c>
      <c r="G246">
        <f ca="1"/>
        <v>25</v>
      </c>
      <c r="H246" s="17">
        <f ca="1"/>
        <v>44057.665350740739</v>
      </c>
    </row>
    <row r="247" spans="2:8" x14ac:dyDescent="0.35">
      <c r="B247" t="str">
        <f ca="1"/>
        <v>OBJ_50086598</v>
      </c>
      <c r="C247" t="str">
        <f ca="1"/>
        <v>AldrinAnalytics.Calibration.LiborCurveAsDiscount</v>
      </c>
      <c r="D247">
        <f ca="1"/>
        <v>50086598</v>
      </c>
      <c r="E247" t="str">
        <f ca="1"/>
        <v>[AldrinAnalyticsBenchmark.xlsm]Markets</v>
      </c>
      <c r="F247">
        <f ca="1"/>
        <v>12</v>
      </c>
      <c r="G247">
        <f ca="1"/>
        <v>1</v>
      </c>
      <c r="H247" s="17">
        <f ca="1"/>
        <v>44057.665352546297</v>
      </c>
    </row>
    <row r="248" spans="2:8" x14ac:dyDescent="0.35">
      <c r="B248" t="str">
        <f ca="1"/>
        <v>OBJ_1375974579</v>
      </c>
      <c r="C248" t="str">
        <f ca="1"/>
        <v>AldrinAnalytics.Instruments.OisReference</v>
      </c>
      <c r="D248">
        <f ca="1"/>
        <v>1375974579</v>
      </c>
      <c r="E248" t="str">
        <f ca="1"/>
        <v>[AldrinAnalyticsBenchmark.xlsm]Book</v>
      </c>
      <c r="F248">
        <f ca="1"/>
        <v>11</v>
      </c>
      <c r="G248">
        <f ca="1"/>
        <v>22</v>
      </c>
      <c r="H248" s="17">
        <f ca="1"/>
        <v>44057.665350740739</v>
      </c>
    </row>
    <row r="249" spans="2:8" x14ac:dyDescent="0.35">
      <c r="B249" t="str">
        <f ca="1"/>
        <v>OBJ_1348326274</v>
      </c>
      <c r="C249" t="str">
        <f ca="1"/>
        <v>AldrinAnalytics.Instruments.SingleNameTicker</v>
      </c>
      <c r="D249">
        <f ca="1"/>
        <v>1348326274</v>
      </c>
      <c r="E249" t="str">
        <f ca="1"/>
        <v>[AldrinAnalyticsBenchmark.xlsm]Single Names</v>
      </c>
      <c r="F249">
        <f ca="1"/>
        <v>53</v>
      </c>
      <c r="G249">
        <f ca="1"/>
        <v>8</v>
      </c>
      <c r="H249" s="17">
        <f ca="1"/>
        <v>44057.665348888891</v>
      </c>
    </row>
    <row r="250" spans="2:8" x14ac:dyDescent="0.35">
      <c r="B250" t="str">
        <f ca="1"/>
        <v>OBJ_45690626</v>
      </c>
      <c r="C250" t="str">
        <f ca="1"/>
        <v>AldrinAnalytics.Models.BlackScholesBasket</v>
      </c>
      <c r="D250">
        <f ca="1"/>
        <v>45690626</v>
      </c>
      <c r="E250" t="str">
        <f ca="1"/>
        <v>[AldrinAnalyticsBenchmark.xlsm]Models</v>
      </c>
      <c r="F250">
        <f ca="1"/>
        <v>6</v>
      </c>
      <c r="G250">
        <f ca="1"/>
        <v>2</v>
      </c>
      <c r="H250" s="17">
        <f ca="1"/>
        <v>44057.665353611112</v>
      </c>
    </row>
    <row r="251" spans="2:8" x14ac:dyDescent="0.35">
      <c r="B251" t="str">
        <f ca="1"/>
        <v>OBJ_894328701</v>
      </c>
      <c r="C251" t="str">
        <f ca="1"/>
        <v>AldrinAnalytics.Instruments.SingleNameTicker</v>
      </c>
      <c r="D251">
        <f ca="1"/>
        <v>894328701</v>
      </c>
      <c r="E251" t="str">
        <f ca="1"/>
        <v>[AldrinAnalyticsBenchmark.xlsm]Single Names</v>
      </c>
      <c r="F251">
        <f ca="1"/>
        <v>45</v>
      </c>
      <c r="G251">
        <f ca="1"/>
        <v>8</v>
      </c>
      <c r="H251" s="17">
        <f ca="1"/>
        <v>44057.665348877315</v>
      </c>
    </row>
    <row r="252" spans="2:8" x14ac:dyDescent="0.35">
      <c r="B252" t="str">
        <f ca="1"/>
        <v>OBJ_1669799810</v>
      </c>
      <c r="C252" t="str">
        <f ca="1"/>
        <v>Zeliade.Finance.Mrc.ParametricBusinessSchedule</v>
      </c>
      <c r="D252">
        <f ca="1"/>
        <v>1669799810</v>
      </c>
      <c r="E252" t="str">
        <f ca="1"/>
        <v>[AldrinAnalyticsBenchmark.xlsm]Book</v>
      </c>
      <c r="F252">
        <f ca="1"/>
        <v>14</v>
      </c>
      <c r="G252">
        <f ca="1"/>
        <v>23</v>
      </c>
      <c r="H252" s="17">
        <f ca="1"/>
        <v>44057.665350740739</v>
      </c>
    </row>
    <row r="253" spans="2:8" x14ac:dyDescent="0.35">
      <c r="B253" t="str">
        <f ca="1"/>
        <v>OBJ_52548073</v>
      </c>
      <c r="C253" t="str">
        <f ca="1"/>
        <v>AldrinAnalytics.Pricers.DataSheetContainer</v>
      </c>
      <c r="D253">
        <f ca="1"/>
        <v>52548073</v>
      </c>
      <c r="E253" t="str">
        <f ca="1"/>
        <v>[AldrinAnalyticsBenchmark.xlsm]Repos</v>
      </c>
      <c r="F253">
        <f ca="1"/>
        <v>2</v>
      </c>
      <c r="G253">
        <f ca="1"/>
        <v>1</v>
      </c>
      <c r="H253" s="17">
        <f ca="1"/>
        <v>44057.665349699077</v>
      </c>
    </row>
    <row r="254" spans="2:8" x14ac:dyDescent="0.35">
      <c r="B254" t="str">
        <f ca="1"/>
        <v>OBJ_-452565952</v>
      </c>
      <c r="C254" t="str">
        <f ca="1"/>
        <v>Zeliade.Finance.Mrc.ParametricBusinessSchedule</v>
      </c>
      <c r="D254">
        <f ca="1"/>
        <v>-452565952</v>
      </c>
      <c r="E254" t="str">
        <f ca="1"/>
        <v>[AldrinAnalyticsBenchmark.xlsm]Book</v>
      </c>
      <c r="F254">
        <f ca="1"/>
        <v>10</v>
      </c>
      <c r="G254">
        <f ca="1"/>
        <v>23</v>
      </c>
      <c r="H254" s="17">
        <f ca="1"/>
        <v>44057.665350694442</v>
      </c>
    </row>
    <row r="255" spans="2:8" x14ac:dyDescent="0.35">
      <c r="B255" t="str">
        <f ca="1"/>
        <v>OBJ_874863982</v>
      </c>
      <c r="C255" t="str">
        <f ca="1"/>
        <v>AldrinAnalytics.Instruments.SingleNameTicker</v>
      </c>
      <c r="D255">
        <f ca="1"/>
        <v>874863982</v>
      </c>
      <c r="E255" t="str">
        <f ca="1"/>
        <v>[AldrinAnalyticsBenchmark.xlsm]Single Names</v>
      </c>
      <c r="F255">
        <f ca="1"/>
        <v>20</v>
      </c>
      <c r="G255">
        <f ca="1"/>
        <v>8</v>
      </c>
      <c r="H255" s="17">
        <f ca="1"/>
        <v>44057.665348831018</v>
      </c>
    </row>
    <row r="256" spans="2:8" x14ac:dyDescent="0.35">
      <c r="B256" t="str">
        <f ca="1"/>
        <v>OBJ_1375974579</v>
      </c>
      <c r="C256" t="str">
        <f ca="1"/>
        <v>AldrinAnalytics.Instruments.OisReference</v>
      </c>
      <c r="D256">
        <f ca="1"/>
        <v>1375974579</v>
      </c>
      <c r="E256" t="str">
        <f ca="1"/>
        <v>[AldrinAnalyticsBenchmark.xlsm]Book</v>
      </c>
      <c r="F256">
        <f ca="1"/>
        <v>12</v>
      </c>
      <c r="G256">
        <f ca="1"/>
        <v>22</v>
      </c>
      <c r="H256" s="17">
        <f ca="1"/>
        <v>44057.665350740739</v>
      </c>
    </row>
    <row r="257" spans="2:8" x14ac:dyDescent="0.35">
      <c r="B257" t="str">
        <f ca="1"/>
        <v>OBJ_1375974579</v>
      </c>
      <c r="C257" t="str">
        <f ca="1"/>
        <v>AldrinAnalytics.Instruments.OisReference</v>
      </c>
      <c r="D257">
        <f ca="1"/>
        <v>1375974579</v>
      </c>
      <c r="E257" t="str">
        <f ca="1"/>
        <v>[AldrinAnalyticsBenchmark.xlsm]Book</v>
      </c>
      <c r="F257">
        <f ca="1"/>
        <v>9</v>
      </c>
      <c r="G257">
        <f ca="1"/>
        <v>22</v>
      </c>
      <c r="H257" s="17">
        <f ca="1"/>
        <v>44057.665350740739</v>
      </c>
    </row>
    <row r="258" spans="2:8" x14ac:dyDescent="0.35">
      <c r="B258" t="str">
        <f ca="1"/>
        <v>OBJ_-1721067287</v>
      </c>
      <c r="C258" t="str">
        <f ca="1"/>
        <v>Zeliade.Finance.Mrc.ParametricBusinessSchedule</v>
      </c>
      <c r="D258">
        <f ca="1"/>
        <v>-1721067287</v>
      </c>
      <c r="E258" t="str">
        <f ca="1"/>
        <v>[AldrinAnalyticsBenchmark.xlsm]Book</v>
      </c>
      <c r="F258">
        <f ca="1"/>
        <v>6</v>
      </c>
      <c r="G258">
        <f ca="1"/>
        <v>23</v>
      </c>
      <c r="H258" s="17">
        <f ca="1"/>
        <v>44057.665350636576</v>
      </c>
    </row>
    <row r="259" spans="2:8" x14ac:dyDescent="0.35">
      <c r="B259" t="str">
        <f ca="1"/>
        <v>OBJ_2140302322</v>
      </c>
      <c r="C259" t="str">
        <f ca="1"/>
        <v>AldrinAnalytics.Instruments.SingleNameTicker</v>
      </c>
      <c r="D259">
        <f ca="1"/>
        <v>2140302322</v>
      </c>
      <c r="E259" t="str">
        <f ca="1"/>
        <v>[AldrinAnalyticsBenchmark.xlsm]Single Names</v>
      </c>
      <c r="F259">
        <f ca="1"/>
        <v>36</v>
      </c>
      <c r="G259">
        <f ca="1"/>
        <v>8</v>
      </c>
      <c r="H259" s="17">
        <f ca="1"/>
        <v>44057.665348854163</v>
      </c>
    </row>
    <row r="260" spans="2:8" x14ac:dyDescent="0.35">
      <c r="B260" t="str">
        <f ca="1"/>
        <v>OBJ_35340701</v>
      </c>
      <c r="C260" t="str">
        <f ca="1"/>
        <v>AldrinAnalytics.Calibration.SingleNameDataSheet</v>
      </c>
      <c r="D260">
        <f ca="1"/>
        <v>35340701</v>
      </c>
      <c r="E260" t="str">
        <f ca="1"/>
        <v>[AldrinAnalyticsBenchmark.xlsm]Single Names</v>
      </c>
      <c r="F260">
        <f ca="1"/>
        <v>43</v>
      </c>
      <c r="G260">
        <f ca="1"/>
        <v>10</v>
      </c>
      <c r="H260" s="17">
        <f ca="1"/>
        <v>44057.665348888891</v>
      </c>
    </row>
    <row r="261" spans="2:8" x14ac:dyDescent="0.35">
      <c r="B261" t="str">
        <f ca="1"/>
        <v>OBJ_864050867</v>
      </c>
      <c r="C261" t="str">
        <f ca="1"/>
        <v>AldrinAnalytics.Instruments.SingleNameTicker</v>
      </c>
      <c r="D261">
        <f ca="1"/>
        <v>864050867</v>
      </c>
      <c r="E261" t="str">
        <f ca="1"/>
        <v>[AldrinAnalyticsBenchmark.xlsm]Single Names</v>
      </c>
      <c r="F261">
        <f ca="1"/>
        <v>34</v>
      </c>
      <c r="G261">
        <f ca="1"/>
        <v>8</v>
      </c>
      <c r="H261" s="17">
        <f ca="1"/>
        <v>44057.665348854163</v>
      </c>
    </row>
    <row r="262" spans="2:8" x14ac:dyDescent="0.35">
      <c r="B262" t="str">
        <f ca="1"/>
        <v>OBJ_39639927</v>
      </c>
      <c r="C262" t="str">
        <f ca="1"/>
        <v>AldrinAnalytics.Calibration.SingleNameSecurity</v>
      </c>
      <c r="D262">
        <f ca="1"/>
        <v>39639927</v>
      </c>
      <c r="E262" t="str">
        <f ca="1"/>
        <v>[AldrinAnalyticsBenchmark.xlsm]Single Names</v>
      </c>
      <c r="F262">
        <f ca="1"/>
        <v>27</v>
      </c>
      <c r="G262">
        <f ca="1"/>
        <v>9</v>
      </c>
      <c r="H262" s="17">
        <f ca="1"/>
        <v>44057.665348842595</v>
      </c>
    </row>
    <row r="263" spans="2:8" x14ac:dyDescent="0.35">
      <c r="B263" t="str">
        <f ca="1"/>
        <v>OBJ_30841752</v>
      </c>
      <c r="C263" t="str">
        <f ca="1"/>
        <v>AldrinAnalytics.Excel.BasketSet</v>
      </c>
      <c r="D263">
        <f ca="1"/>
        <v>30841752</v>
      </c>
      <c r="E263" t="str">
        <f ca="1"/>
        <v>[AldrinAnalyticsBenchmark.xlsm]Baskets</v>
      </c>
      <c r="F263">
        <f ca="1"/>
        <v>1</v>
      </c>
      <c r="G263">
        <f ca="1"/>
        <v>0</v>
      </c>
      <c r="H263" s="17">
        <f ca="1"/>
        <v>44057.665349027775</v>
      </c>
    </row>
    <row r="264" spans="2:8" x14ac:dyDescent="0.35">
      <c r="B264" t="str">
        <f ca="1"/>
        <v>OBJ_47538127</v>
      </c>
      <c r="C264" t="str">
        <f ca="1"/>
        <v>AldrinAnalytics.Excel.PricingContextSet</v>
      </c>
      <c r="D264">
        <f ca="1"/>
        <v>47538127</v>
      </c>
      <c r="E264" t="str">
        <f ca="1"/>
        <v>[AldrinAnalyticsBenchmark.xlsm]Markets</v>
      </c>
      <c r="F264">
        <f ca="1"/>
        <v>26</v>
      </c>
      <c r="G264">
        <f ca="1"/>
        <v>1</v>
      </c>
      <c r="H264" s="17">
        <f ca="1"/>
        <v>44057.665353182871</v>
      </c>
    </row>
    <row r="265" spans="2:8" x14ac:dyDescent="0.35">
      <c r="B265" t="str">
        <f ca="1"/>
        <v>OBJ_35502400</v>
      </c>
      <c r="C265" t="str">
        <f ca="1"/>
        <v>AldrinAnalytics.Instruments.Book</v>
      </c>
      <c r="D265">
        <f ca="1"/>
        <v>35502400</v>
      </c>
      <c r="E265" t="str">
        <f ca="1"/>
        <v>[AldrinAnalyticsBenchmark.xlsm]Book</v>
      </c>
      <c r="F265">
        <f ca="1"/>
        <v>5</v>
      </c>
      <c r="G265">
        <f ca="1"/>
        <v>28</v>
      </c>
      <c r="H265" s="17">
        <f ca="1"/>
        <v>44057.665350752315</v>
      </c>
    </row>
    <row r="266" spans="2:8" x14ac:dyDescent="0.35">
      <c r="B266" t="str">
        <f ca="1"/>
        <v>OBJ_35502400</v>
      </c>
      <c r="C266" t="str">
        <f ca="1"/>
        <v>AldrinAnalytics.Instruments.Book</v>
      </c>
      <c r="D266">
        <f ca="1"/>
        <v>35502400</v>
      </c>
      <c r="E266" t="str">
        <f ca="1"/>
        <v>[AldrinAnalyticsBenchmark.xlsm]Book</v>
      </c>
      <c r="F266">
        <f ca="1"/>
        <v>9</v>
      </c>
      <c r="G266">
        <f ca="1"/>
        <v>28</v>
      </c>
      <c r="H266" s="17">
        <f ca="1"/>
        <v>44057.665350752315</v>
      </c>
    </row>
    <row r="267" spans="2:8" x14ac:dyDescent="0.35">
      <c r="B267" t="str">
        <f ca="1"/>
        <v>OBJ_21215025</v>
      </c>
      <c r="C267" t="str">
        <f ca="1"/>
        <v>AldrinAnalytics.Calibration.SingleNameSecurity</v>
      </c>
      <c r="D267">
        <f ca="1"/>
        <v>21215025</v>
      </c>
      <c r="E267" t="str">
        <f ca="1"/>
        <v>[AldrinAnalyticsBenchmark.xlsm]Single Names</v>
      </c>
      <c r="F267">
        <f ca="1"/>
        <v>28</v>
      </c>
      <c r="G267">
        <f ca="1"/>
        <v>9</v>
      </c>
      <c r="H267" s="17">
        <f ca="1"/>
        <v>44057.665348842595</v>
      </c>
    </row>
    <row r="268" spans="2:8" x14ac:dyDescent="0.35">
      <c r="B268" t="str">
        <f ca="1"/>
        <v>OBJ_51101433</v>
      </c>
      <c r="C268" t="str">
        <f ca="1"/>
        <v>AldrinAnalytics.Pricers.DataSheetContainer</v>
      </c>
      <c r="D268">
        <f ca="1"/>
        <v>51101433</v>
      </c>
      <c r="E268" t="str">
        <f ca="1"/>
        <v>[AldrinAnalyticsBenchmark.xlsm]Ois</v>
      </c>
      <c r="F268">
        <f ca="1"/>
        <v>2</v>
      </c>
      <c r="G268">
        <f ca="1"/>
        <v>6</v>
      </c>
      <c r="H268" s="17">
        <f ca="1"/>
        <v>44057.66534821759</v>
      </c>
    </row>
    <row r="269" spans="2:8" x14ac:dyDescent="0.35">
      <c r="B269" t="str">
        <f ca="1"/>
        <v>OBJ_51101433</v>
      </c>
      <c r="C269" t="str">
        <f ca="1"/>
        <v>AldrinAnalytics.Pricers.DataSheetContainer</v>
      </c>
      <c r="D269">
        <f ca="1"/>
        <v>51101433</v>
      </c>
      <c r="E269" t="str">
        <f ca="1"/>
        <v>[AldrinAnalyticsBenchmark.xlsm]Ois</v>
      </c>
      <c r="F269">
        <f ca="1"/>
        <v>2</v>
      </c>
      <c r="G269">
        <f ca="1"/>
        <v>2</v>
      </c>
      <c r="H269" s="17">
        <f ca="1"/>
        <v>44057.66534821759</v>
      </c>
    </row>
    <row r="270" spans="2:8" x14ac:dyDescent="0.35">
      <c r="B270" t="str">
        <f ca="1"/>
        <v>OBJ_-284426112</v>
      </c>
      <c r="C270" t="str">
        <f ca="1"/>
        <v>AldrinAnalytics.Instruments.AssetLegFloatRate</v>
      </c>
      <c r="D270">
        <f ca="1"/>
        <v>-1784353062</v>
      </c>
      <c r="E270" t="str">
        <f ca="1"/>
        <v>[AldrinAnalyticsBenchmark.xlsm]Book</v>
      </c>
      <c r="F270">
        <f ca="1"/>
        <v>10</v>
      </c>
      <c r="G270">
        <f ca="1"/>
        <v>26</v>
      </c>
      <c r="H270" s="17">
        <f ca="1"/>
        <v>44057.665350706018</v>
      </c>
    </row>
    <row r="271" spans="2:8" x14ac:dyDescent="0.35">
      <c r="B271" t="str">
        <f ca="1"/>
        <v>OBJ_1898086797</v>
      </c>
      <c r="C271" t="str">
        <f ca="1"/>
        <v>AldrinAnalytics.Instruments.SingleNameTicker</v>
      </c>
      <c r="D271">
        <f ca="1"/>
        <v>1898086797</v>
      </c>
      <c r="E271" t="str">
        <f ca="1"/>
        <v>[AldrinAnalyticsBenchmark.xlsm]Single Names</v>
      </c>
      <c r="F271">
        <f ca="1"/>
        <v>15</v>
      </c>
      <c r="G271">
        <f ca="1"/>
        <v>8</v>
      </c>
      <c r="H271" s="17">
        <f ca="1"/>
        <v>44057.665348819442</v>
      </c>
    </row>
    <row r="272" spans="2:8" x14ac:dyDescent="0.35">
      <c r="B272" t="str">
        <f ca="1"/>
        <v>OBJ_905141482</v>
      </c>
      <c r="C272" t="str">
        <f ca="1"/>
        <v>AldrinAnalytics.Instruments.SingleNameTicker</v>
      </c>
      <c r="D272">
        <f ca="1"/>
        <v>905141482</v>
      </c>
      <c r="E272" t="str">
        <f ca="1"/>
        <v>[AldrinAnalyticsBenchmark.xlsm]Single Names</v>
      </c>
      <c r="F272">
        <f ca="1"/>
        <v>50</v>
      </c>
      <c r="G272">
        <f ca="1"/>
        <v>8</v>
      </c>
      <c r="H272" s="17">
        <f ca="1"/>
        <v>44057.665348888891</v>
      </c>
    </row>
    <row r="273" spans="2:8" x14ac:dyDescent="0.35">
      <c r="B273" t="str">
        <f ca="1"/>
        <v>OBJ_900816337</v>
      </c>
      <c r="C273" t="str">
        <f ca="1"/>
        <v>AldrinAnalytics.Instruments.SingleNameTicker</v>
      </c>
      <c r="D273">
        <f ca="1"/>
        <v>900816337</v>
      </c>
      <c r="E273" t="str">
        <f ca="1"/>
        <v>[AldrinAnalyticsBenchmark.xlsm]Single Names</v>
      </c>
      <c r="F273">
        <f ca="1"/>
        <v>38</v>
      </c>
      <c r="G273">
        <f ca="1"/>
        <v>8</v>
      </c>
      <c r="H273" s="17">
        <f ca="1"/>
        <v>44057.665348865739</v>
      </c>
    </row>
    <row r="274" spans="2:8" x14ac:dyDescent="0.35">
      <c r="B274" t="str">
        <f ca="1"/>
        <v>OBJ_5770151</v>
      </c>
      <c r="C274" t="str">
        <f ca="1"/>
        <v>AldrinAnalytics.Excel.ModelSet</v>
      </c>
      <c r="D274">
        <f ca="1"/>
        <v>5770151</v>
      </c>
      <c r="E274" t="str">
        <f ca="1"/>
        <v>[AldrinAnalyticsBenchmark.xlsm]Models</v>
      </c>
      <c r="F274">
        <f ca="1"/>
        <v>7</v>
      </c>
      <c r="G274">
        <f ca="1"/>
        <v>1</v>
      </c>
      <c r="H274" s="17">
        <f ca="1"/>
        <v>44057.665353622688</v>
      </c>
    </row>
    <row r="275" spans="2:8" x14ac:dyDescent="0.35">
      <c r="B275" t="str">
        <f ca="1"/>
        <v>OBJ_-843401282</v>
      </c>
      <c r="C275" t="str">
        <f ca="1"/>
        <v>AldrinAnalytics.Instruments.SecurityBasket</v>
      </c>
      <c r="D275">
        <f ca="1"/>
        <v>-843401282</v>
      </c>
      <c r="E275" t="str">
        <f ca="1"/>
        <v>[AldrinAnalyticsBenchmark.xlsm]Book</v>
      </c>
      <c r="F275">
        <f ca="1"/>
        <v>6</v>
      </c>
      <c r="G275">
        <f ca="1"/>
        <v>21</v>
      </c>
      <c r="H275" s="17">
        <f ca="1"/>
        <v>44057.665353414355</v>
      </c>
    </row>
    <row r="276" spans="2:8" x14ac:dyDescent="0.35">
      <c r="B276" t="str">
        <f ca="1"/>
        <v>OBJ_51101433</v>
      </c>
      <c r="C276" t="str">
        <f ca="1"/>
        <v>AldrinAnalytics.Pricers.DataSheetContainer</v>
      </c>
      <c r="D276">
        <f ca="1"/>
        <v>51101433</v>
      </c>
      <c r="E276" t="str">
        <f ca="1"/>
        <v>[AldrinAnalyticsBenchmark.xlsm]Ois</v>
      </c>
      <c r="F276">
        <f ca="1"/>
        <v>1</v>
      </c>
      <c r="G276">
        <f ca="1"/>
        <v>1</v>
      </c>
      <c r="H276" s="17">
        <f ca="1"/>
        <v>44057.66534821759</v>
      </c>
    </row>
    <row r="277" spans="2:8" x14ac:dyDescent="0.35">
      <c r="B277" t="str">
        <f ca="1"/>
        <v>OBJ_16632209</v>
      </c>
      <c r="C277" t="str">
        <f ca="1"/>
        <v>AldrinAnalytics.Calibration.SingleNameSecurity</v>
      </c>
      <c r="D277">
        <f ca="1"/>
        <v>16632209</v>
      </c>
      <c r="E277" t="str">
        <f ca="1"/>
        <v>[AldrinAnalyticsBenchmark.xlsm]Single Names</v>
      </c>
      <c r="F277">
        <f ca="1"/>
        <v>15</v>
      </c>
      <c r="G277">
        <f ca="1"/>
        <v>9</v>
      </c>
      <c r="H277" s="17">
        <f ca="1"/>
        <v>44057.665348819442</v>
      </c>
    </row>
    <row r="278" spans="2:8" x14ac:dyDescent="0.35">
      <c r="B278" t="str">
        <f ca="1"/>
        <v>OBJ_33132024</v>
      </c>
      <c r="C278" t="str">
        <f ca="1"/>
        <v>AldrinAnalytics.Instruments.CashCollateral</v>
      </c>
      <c r="D278">
        <f ca="1"/>
        <v>33132024</v>
      </c>
      <c r="E278" t="str">
        <f ca="1"/>
        <v>[AldrinAnalyticsBenchmark.xlsm]Book</v>
      </c>
      <c r="F278">
        <f ca="1"/>
        <v>4</v>
      </c>
      <c r="G278">
        <f ca="1"/>
        <v>20</v>
      </c>
      <c r="H278" s="17">
        <f ca="1"/>
        <v>44057.665350625</v>
      </c>
    </row>
    <row r="279" spans="2:8" x14ac:dyDescent="0.35">
      <c r="B279" t="str">
        <f ca="1"/>
        <v>OBJ_-500959558</v>
      </c>
      <c r="C279" t="str">
        <f ca="1"/>
        <v>AldrinAnalytics.Instruments.AssetLegFloatRate</v>
      </c>
      <c r="D279">
        <f ca="1"/>
        <v>-1446942707</v>
      </c>
      <c r="E279" t="str">
        <f ca="1"/>
        <v>[AldrinAnalyticsBenchmark.xlsm]Book</v>
      </c>
      <c r="F279">
        <f ca="1"/>
        <v>6</v>
      </c>
      <c r="G279">
        <f ca="1"/>
        <v>26</v>
      </c>
      <c r="H279" s="17">
        <f ca="1"/>
        <v>44057.665350648145</v>
      </c>
    </row>
    <row r="280" spans="2:8" x14ac:dyDescent="0.35">
      <c r="B280" t="str">
        <f ca="1"/>
        <v>OBJ_56891828</v>
      </c>
      <c r="C280" t="str">
        <f ca="1"/>
        <v>Zeliade.Finance.Common.Calibration.DataQuoteSheet</v>
      </c>
      <c r="D280">
        <f ca="1"/>
        <v>56891828</v>
      </c>
      <c r="E280" t="str">
        <f ca="1"/>
        <v>[AldrinAnalyticsBenchmark.xlsm]Div Sheets</v>
      </c>
      <c r="F280">
        <f ca="1"/>
        <v>0</v>
      </c>
      <c r="G280">
        <f ca="1"/>
        <v>1</v>
      </c>
      <c r="H280" s="17">
        <f ca="1"/>
        <v>44057.665349502313</v>
      </c>
    </row>
    <row r="281" spans="2:8" x14ac:dyDescent="0.35">
      <c r="B281" t="str">
        <f ca="1"/>
        <v>OBJ_15841586</v>
      </c>
      <c r="C281" t="str">
        <f ca="1"/>
        <v>AldrinAnalytics.Calibration.SingleNameSecurity</v>
      </c>
      <c r="D281">
        <f ca="1"/>
        <v>15841586</v>
      </c>
      <c r="E281" t="str">
        <f ca="1"/>
        <v>[AldrinAnalyticsBenchmark.xlsm]Single Names</v>
      </c>
      <c r="F281">
        <f ca="1"/>
        <v>8</v>
      </c>
      <c r="G281">
        <f ca="1"/>
        <v>9</v>
      </c>
      <c r="H281" s="17">
        <f ca="1"/>
        <v>44057.665348784722</v>
      </c>
    </row>
    <row r="282" spans="2:8" x14ac:dyDescent="0.35">
      <c r="B282" t="str">
        <f ca="1"/>
        <v>OBJ_57477797</v>
      </c>
      <c r="C282" t="str">
        <f ca="1"/>
        <v>AldrinAnalytics.Instruments.CashCollateral</v>
      </c>
      <c r="D282">
        <f ca="1"/>
        <v>57477797</v>
      </c>
      <c r="E282" t="str">
        <f ca="1"/>
        <v>[AldrinAnalyticsBenchmark.xlsm]Book</v>
      </c>
      <c r="F282">
        <f ca="1"/>
        <v>14</v>
      </c>
      <c r="G282">
        <f ca="1"/>
        <v>20</v>
      </c>
      <c r="H282" s="17">
        <f ca="1"/>
        <v>44057.665350752315</v>
      </c>
    </row>
    <row r="283" spans="2:8" x14ac:dyDescent="0.35">
      <c r="B283" t="str">
        <f ca="1"/>
        <v>OBJ_125807024</v>
      </c>
      <c r="C283" t="str">
        <f ca="1"/>
        <v>AldrinAnalytics.Instruments.AssetLegFloatRate</v>
      </c>
      <c r="D283">
        <f ca="1"/>
        <v>-770495108</v>
      </c>
      <c r="E283" t="str">
        <f ca="1"/>
        <v>[AldrinAnalyticsBenchmark.xlsm]Book</v>
      </c>
      <c r="F283">
        <f ca="1"/>
        <v>11</v>
      </c>
      <c r="G283">
        <f ca="1"/>
        <v>26</v>
      </c>
      <c r="H283" s="17">
        <f ca="1"/>
        <v>44057.665350717594</v>
      </c>
    </row>
    <row r="284" spans="2:8" x14ac:dyDescent="0.35">
      <c r="B284" t="str">
        <f ca="1"/>
        <v>OBJ_35340701</v>
      </c>
      <c r="C284" t="str">
        <f ca="1"/>
        <v>AldrinAnalytics.Calibration.SingleNameDataSheet</v>
      </c>
      <c r="D284">
        <f ca="1"/>
        <v>35340701</v>
      </c>
      <c r="E284" t="str">
        <f ca="1"/>
        <v>[AldrinAnalyticsBenchmark.xlsm]Single Names</v>
      </c>
      <c r="F284">
        <f ca="1"/>
        <v>8</v>
      </c>
      <c r="G284">
        <f ca="1"/>
        <v>10</v>
      </c>
      <c r="H284" s="17">
        <f ca="1"/>
        <v>44057.665348888891</v>
      </c>
    </row>
    <row r="285" spans="2:8" x14ac:dyDescent="0.35">
      <c r="B285" t="str">
        <f ca="1"/>
        <v>OBJ_-843401282</v>
      </c>
      <c r="C285" t="str">
        <f ca="1"/>
        <v>AldrinAnalytics.Instruments.SecurityBasket</v>
      </c>
      <c r="D285">
        <f ca="1"/>
        <v>-843401282</v>
      </c>
      <c r="E285" t="str">
        <f ca="1"/>
        <v>[AldrinAnalyticsBenchmark.xlsm]Book</v>
      </c>
      <c r="F285">
        <f ca="1"/>
        <v>4</v>
      </c>
      <c r="G285">
        <f ca="1"/>
        <v>21</v>
      </c>
      <c r="H285" s="17">
        <f ca="1"/>
        <v>44057.665353414355</v>
      </c>
    </row>
    <row r="286" spans="2:8" x14ac:dyDescent="0.35">
      <c r="B286" t="str">
        <f ca="1"/>
        <v>OBJ_13295215</v>
      </c>
      <c r="C286" t="str">
        <f ca="1"/>
        <v>Zeliade.Finance.Common.Calibration.DataQuoteSheet</v>
      </c>
      <c r="D286">
        <f ca="1"/>
        <v>13295215</v>
      </c>
      <c r="E286" t="str">
        <f ca="1"/>
        <v>[AldrinAnalyticsBenchmark.xlsm]Div Sheets</v>
      </c>
      <c r="F286">
        <f ca="1"/>
        <v>0</v>
      </c>
      <c r="G286">
        <f ca="1"/>
        <v>12</v>
      </c>
      <c r="H286" s="17">
        <f ca="1"/>
        <v>44057.665349571762</v>
      </c>
    </row>
    <row r="287" spans="2:8" x14ac:dyDescent="0.35">
      <c r="B287" t="str">
        <f ca="1"/>
        <v>OBJ_5605395</v>
      </c>
      <c r="C287" t="str">
        <f ca="1"/>
        <v>AldrinAnalytics.Excel.BookPricingOutput</v>
      </c>
      <c r="D287">
        <f ca="1"/>
        <v>5605395</v>
      </c>
      <c r="E287" t="str">
        <f ca="1"/>
        <v>[AldrinAnalyticsBenchmark.xlsm]Pricing</v>
      </c>
      <c r="F287">
        <f ca="1"/>
        <v>5</v>
      </c>
      <c r="G287">
        <f ca="1"/>
        <v>1</v>
      </c>
      <c r="H287" s="17">
        <f ca="1"/>
        <v>44057.665356423611</v>
      </c>
    </row>
    <row r="288" spans="2:8" x14ac:dyDescent="0.35">
      <c r="B288" t="str">
        <f ca="1"/>
        <v>OBJ_1081649</v>
      </c>
      <c r="C288" t="str">
        <f ca="1"/>
        <v>AldrinAnalytics.Instruments.CashCollateral</v>
      </c>
      <c r="D288">
        <f ca="1"/>
        <v>1081649</v>
      </c>
      <c r="E288" t="str">
        <f ca="1"/>
        <v>[AldrinAnalyticsBenchmark.xlsm]Book</v>
      </c>
      <c r="F288">
        <f ca="1"/>
        <v>8</v>
      </c>
      <c r="G288">
        <f ca="1"/>
        <v>20</v>
      </c>
      <c r="H288" s="17">
        <f ca="1"/>
        <v>44057.665350671297</v>
      </c>
    </row>
    <row r="289" spans="2:8" x14ac:dyDescent="0.35">
      <c r="B289" t="str">
        <f ca="1"/>
        <v>OBJ_35340701</v>
      </c>
      <c r="C289" t="str">
        <f ca="1"/>
        <v>AldrinAnalytics.Calibration.SingleNameDataSheet</v>
      </c>
      <c r="D289">
        <f ca="1"/>
        <v>35340701</v>
      </c>
      <c r="E289" t="str">
        <f ca="1"/>
        <v>[AldrinAnalyticsBenchmark.xlsm]Single Names</v>
      </c>
      <c r="F289">
        <f ca="1"/>
        <v>53</v>
      </c>
      <c r="G289">
        <f ca="1"/>
        <v>10</v>
      </c>
      <c r="H289" s="17">
        <f ca="1"/>
        <v>44057.665348888891</v>
      </c>
    </row>
    <row r="290" spans="2:8" x14ac:dyDescent="0.35">
      <c r="B290" t="str">
        <f ca="1"/>
        <v>OBJ_35340701</v>
      </c>
      <c r="C290" t="str">
        <f ca="1"/>
        <v>AldrinAnalytics.Calibration.SingleNameDataSheet</v>
      </c>
      <c r="D290">
        <f ca="1"/>
        <v>35340701</v>
      </c>
      <c r="E290" t="str">
        <f ca="1"/>
        <v>[AldrinAnalyticsBenchmark.xlsm]Single Names</v>
      </c>
      <c r="F290">
        <f ca="1"/>
        <v>34</v>
      </c>
      <c r="G290">
        <f ca="1"/>
        <v>10</v>
      </c>
      <c r="H290" s="17">
        <f ca="1"/>
        <v>44057.665348888891</v>
      </c>
    </row>
    <row r="291" spans="2:8" x14ac:dyDescent="0.35">
      <c r="B291" t="str">
        <f ca="1"/>
        <v>OBJ_-266576131</v>
      </c>
      <c r="C291" t="str">
        <f ca="1"/>
        <v>AldrinAnalytics.Instruments.AssetLegFloatRate</v>
      </c>
      <c r="D291">
        <f ca="1"/>
        <v>-118761293</v>
      </c>
      <c r="E291" t="str">
        <f ca="1"/>
        <v>[AldrinAnalyticsBenchmark.xlsm]Book</v>
      </c>
      <c r="F291">
        <f ca="1"/>
        <v>4</v>
      </c>
      <c r="G291">
        <f ca="1"/>
        <v>26</v>
      </c>
      <c r="H291" s="17">
        <f ca="1"/>
        <v>44057.665350613424</v>
      </c>
    </row>
    <row r="292" spans="2:8" x14ac:dyDescent="0.35">
      <c r="B292" t="str">
        <f ca="1"/>
        <v>OBJ_35340701</v>
      </c>
      <c r="C292" t="str">
        <f ca="1"/>
        <v>AldrinAnalytics.Calibration.SingleNameDataSheet</v>
      </c>
      <c r="D292">
        <f ca="1"/>
        <v>35340701</v>
      </c>
      <c r="E292" t="str">
        <f ca="1"/>
        <v>[AldrinAnalyticsBenchmark.xlsm]Single Names</v>
      </c>
      <c r="F292">
        <f ca="1"/>
        <v>19</v>
      </c>
      <c r="G292">
        <f ca="1"/>
        <v>10</v>
      </c>
      <c r="H292" s="17">
        <f ca="1"/>
        <v>44057.665348888891</v>
      </c>
    </row>
    <row r="293" spans="2:8" x14ac:dyDescent="0.35">
      <c r="B293" t="str">
        <f ca="1"/>
        <v>OBJ_855399852</v>
      </c>
      <c r="C293" t="str">
        <f ca="1"/>
        <v>AldrinAnalytics.Instruments.SingleNameTicker</v>
      </c>
      <c r="D293">
        <f ca="1"/>
        <v>855399852</v>
      </c>
      <c r="E293" t="str">
        <f ca="1"/>
        <v>[AldrinAnalyticsBenchmark.xlsm]Single Names</v>
      </c>
      <c r="F293">
        <f ca="1"/>
        <v>46</v>
      </c>
      <c r="G293">
        <f ca="1"/>
        <v>8</v>
      </c>
      <c r="H293" s="17">
        <f ca="1"/>
        <v>44057.665348877315</v>
      </c>
    </row>
    <row r="294" spans="2:8" x14ac:dyDescent="0.35">
      <c r="B294" t="str">
        <f ca="1"/>
        <v>OBJ_35340701</v>
      </c>
      <c r="C294" t="str">
        <f ca="1"/>
        <v>AldrinAnalytics.Calibration.SingleNameDataSheet</v>
      </c>
      <c r="D294">
        <f ca="1"/>
        <v>35340701</v>
      </c>
      <c r="E294" t="str">
        <f ca="1"/>
        <v>[AldrinAnalyticsBenchmark.xlsm]Single Names</v>
      </c>
      <c r="F294">
        <f ca="1"/>
        <v>23</v>
      </c>
      <c r="G294">
        <f ca="1"/>
        <v>10</v>
      </c>
      <c r="H294" s="17">
        <f ca="1"/>
        <v>44057.665348888891</v>
      </c>
    </row>
    <row r="295" spans="2:8" x14ac:dyDescent="0.35">
      <c r="B295" t="str">
        <f ca="1"/>
        <v>OBJ_35340701</v>
      </c>
      <c r="C295" t="str">
        <f ca="1"/>
        <v>AldrinAnalytics.Calibration.SingleNameDataSheet</v>
      </c>
      <c r="D295">
        <f ca="1"/>
        <v>35340701</v>
      </c>
      <c r="E295" t="str">
        <f ca="1"/>
        <v>[AldrinAnalyticsBenchmark.xlsm]Single Names</v>
      </c>
      <c r="F295">
        <f ca="1"/>
        <v>20</v>
      </c>
      <c r="G295">
        <f ca="1"/>
        <v>10</v>
      </c>
      <c r="H295" s="17">
        <f ca="1"/>
        <v>44057.665348888891</v>
      </c>
    </row>
    <row r="296" spans="2:8" x14ac:dyDescent="0.35">
      <c r="B296" t="str">
        <f ca="1"/>
        <v>OBJ_35340701</v>
      </c>
      <c r="C296" t="str">
        <f ca="1"/>
        <v>AldrinAnalytics.Calibration.SingleNameDataSheet</v>
      </c>
      <c r="D296">
        <f ca="1"/>
        <v>35340701</v>
      </c>
      <c r="E296" t="str">
        <f ca="1"/>
        <v>[AldrinAnalyticsBenchmark.xlsm]Single Names</v>
      </c>
      <c r="F296">
        <f ca="1"/>
        <v>45</v>
      </c>
      <c r="G296">
        <f ca="1"/>
        <v>10</v>
      </c>
      <c r="H296" s="17">
        <f ca="1"/>
        <v>44057.665348888891</v>
      </c>
    </row>
    <row r="297" spans="2:8" x14ac:dyDescent="0.35">
      <c r="B297" t="str">
        <f ca="1"/>
        <v>OBJ_41543166</v>
      </c>
      <c r="C297" t="str">
        <f ca="1"/>
        <v>AldrinAnalytics.Calibration.RepoCurveBootstrapper</v>
      </c>
      <c r="D297">
        <f ca="1"/>
        <v>41543166</v>
      </c>
      <c r="E297" t="str">
        <f ca="1"/>
        <v>[AldrinAnalyticsBenchmark.xlsm]Markets</v>
      </c>
      <c r="F297">
        <f ca="1"/>
        <v>17</v>
      </c>
      <c r="G297">
        <f ca="1"/>
        <v>1</v>
      </c>
      <c r="H297" s="17">
        <f ca="1"/>
        <v>44057.665351203701</v>
      </c>
    </row>
    <row r="298" spans="2:8" x14ac:dyDescent="0.35">
      <c r="B298" t="str">
        <f ca="1"/>
        <v>OBJ_35502400</v>
      </c>
      <c r="C298" t="str">
        <f ca="1"/>
        <v>AldrinAnalytics.Instruments.Book</v>
      </c>
      <c r="D298">
        <f ca="1"/>
        <v>35502400</v>
      </c>
      <c r="E298" t="str">
        <f ca="1"/>
        <v>[AldrinAnalyticsBenchmark.xlsm]Book</v>
      </c>
      <c r="F298">
        <f ca="1"/>
        <v>13</v>
      </c>
      <c r="G298">
        <f ca="1"/>
        <v>28</v>
      </c>
      <c r="H298" s="17">
        <f ca="1"/>
        <v>44057.665350752315</v>
      </c>
    </row>
    <row r="299" spans="2:8" x14ac:dyDescent="0.35">
      <c r="B299" t="str">
        <f ca="1"/>
        <v>OBJ_22470050</v>
      </c>
      <c r="C299" t="str">
        <f ca="1"/>
        <v>AldrinAnalytics.Pricers.MonteCarloPricingSetting</v>
      </c>
      <c r="D299">
        <f ca="1"/>
        <v>22470050</v>
      </c>
      <c r="E299" t="str">
        <f ca="1"/>
        <v>[AldrinAnalyticsBenchmark.xlsm]Pricing</v>
      </c>
      <c r="F299">
        <f ca="1"/>
        <v>1</v>
      </c>
      <c r="G299">
        <f ca="1"/>
        <v>6</v>
      </c>
      <c r="H299" s="17">
        <f ca="1"/>
        <v>44057.66535427083</v>
      </c>
    </row>
    <row r="300" spans="2:8" x14ac:dyDescent="0.35">
      <c r="B300" t="str">
        <f ca="1"/>
        <v>OBJ_-647490064</v>
      </c>
      <c r="C300" t="str">
        <f ca="1"/>
        <v>AldrinAnalytics.Instruments.SingleNameTicker</v>
      </c>
      <c r="D300">
        <f ca="1"/>
        <v>-647490064</v>
      </c>
      <c r="E300" t="str">
        <f ca="1"/>
        <v>[AldrinAnalyticsBenchmark.xlsm]Single Names</v>
      </c>
      <c r="F300">
        <f ca="1"/>
        <v>9</v>
      </c>
      <c r="G300">
        <f ca="1"/>
        <v>8</v>
      </c>
      <c r="H300" s="17">
        <f ca="1"/>
        <v>44057.665348784722</v>
      </c>
    </row>
    <row r="301" spans="2:8" x14ac:dyDescent="0.35">
      <c r="B301" t="str">
        <f ca="1"/>
        <v>OBJ_35340701</v>
      </c>
      <c r="C301" t="str">
        <f ca="1"/>
        <v>AldrinAnalytics.Calibration.SingleNameDataSheet</v>
      </c>
      <c r="D301">
        <f ca="1"/>
        <v>35340701</v>
      </c>
      <c r="E301" t="str">
        <f ca="1"/>
        <v>[AldrinAnalyticsBenchmark.xlsm]Single Names</v>
      </c>
      <c r="F301">
        <f ca="1"/>
        <v>5</v>
      </c>
      <c r="G301">
        <f ca="1"/>
        <v>10</v>
      </c>
      <c r="H301" s="17">
        <f ca="1"/>
        <v>44057.665348888891</v>
      </c>
    </row>
    <row r="302" spans="2:8" x14ac:dyDescent="0.35">
      <c r="B302" t="str">
        <f ca="1"/>
        <v>OBJ_28473001</v>
      </c>
      <c r="C302" t="str">
        <f ca="1"/>
        <v>AldrinAnalytics.Calibration.SingleNameSecurity</v>
      </c>
      <c r="D302">
        <f ca="1"/>
        <v>28473001</v>
      </c>
      <c r="E302" t="str">
        <f ca="1"/>
        <v>[AldrinAnalyticsBenchmark.xlsm]Single Names</v>
      </c>
      <c r="F302">
        <f ca="1"/>
        <v>46</v>
      </c>
      <c r="G302">
        <f ca="1"/>
        <v>9</v>
      </c>
      <c r="H302" s="17">
        <f ca="1"/>
        <v>44057.665348877315</v>
      </c>
    </row>
    <row r="303" spans="2:8" x14ac:dyDescent="0.35">
      <c r="B303" t="str">
        <f ca="1"/>
        <v>OBJ_22711550</v>
      </c>
      <c r="C303" t="str">
        <f ca="1"/>
        <v>AldrinAnalytics.Calibration.FwdCurveBootstrapperOis</v>
      </c>
      <c r="D303">
        <f ca="1"/>
        <v>22711550</v>
      </c>
      <c r="E303" t="str">
        <f ca="1"/>
        <v>[AldrinAnalyticsBenchmark.xlsm]Markets</v>
      </c>
      <c r="F303">
        <f ca="1"/>
        <v>8</v>
      </c>
      <c r="G303">
        <f ca="1"/>
        <v>1</v>
      </c>
      <c r="H303" s="17">
        <f ca="1"/>
        <v>44057.665351898147</v>
      </c>
    </row>
    <row r="304" spans="2:8" x14ac:dyDescent="0.35">
      <c r="B304" t="str">
        <f ca="1"/>
        <v>OBJ_1790723235</v>
      </c>
      <c r="C304" t="str">
        <f ca="1"/>
        <v>AldrinAnalytics.Instruments.AssetLegFloatRate</v>
      </c>
      <c r="D304">
        <f ca="1"/>
        <v>-376392442</v>
      </c>
      <c r="E304" t="str">
        <f ca="1"/>
        <v>[AldrinAnalyticsBenchmark.xlsm]Book</v>
      </c>
      <c r="F304">
        <f ca="1"/>
        <v>5</v>
      </c>
      <c r="G304">
        <f ca="1"/>
        <v>26</v>
      </c>
      <c r="H304" s="17">
        <f ca="1"/>
        <v>44057.665350636576</v>
      </c>
    </row>
    <row r="305" spans="2:8" x14ac:dyDescent="0.35">
      <c r="B305" t="str">
        <f ca="1"/>
        <v>OBJ_49785318</v>
      </c>
      <c r="C305" t="str">
        <f ca="1"/>
        <v>AldrinAnalytics.Instruments.TotalReturnSwap</v>
      </c>
      <c r="D305">
        <f ca="1"/>
        <v>49785318</v>
      </c>
      <c r="E305" t="str">
        <f ca="1"/>
        <v>[AldrinAnalyticsBenchmark.xlsm]Book</v>
      </c>
      <c r="F305">
        <f ca="1"/>
        <v>11</v>
      </c>
      <c r="G305">
        <f ca="1"/>
        <v>27</v>
      </c>
      <c r="H305" s="17">
        <f ca="1"/>
        <v>44057.665350717594</v>
      </c>
    </row>
    <row r="306" spans="2:8" x14ac:dyDescent="0.35">
      <c r="B306" t="str">
        <f ca="1"/>
        <v>OBJ_13636834</v>
      </c>
      <c r="C306" t="str">
        <f ca="1"/>
        <v>AldrinAnalytics.Calibration.SingleNameSecurity</v>
      </c>
      <c r="D306">
        <f ca="1"/>
        <v>13636834</v>
      </c>
      <c r="E306" t="str">
        <f ca="1"/>
        <v>[AldrinAnalyticsBenchmark.xlsm]Single Names</v>
      </c>
      <c r="F306">
        <f ca="1"/>
        <v>52</v>
      </c>
      <c r="G306">
        <f ca="1"/>
        <v>9</v>
      </c>
      <c r="H306" s="17">
        <f ca="1"/>
        <v>44057.665348888891</v>
      </c>
    </row>
    <row r="307" spans="2:8" x14ac:dyDescent="0.35">
      <c r="B307" t="str">
        <f ca="1"/>
        <v>OBJ_-2028865743</v>
      </c>
      <c r="C307" t="str">
        <f ca="1"/>
        <v>Zeliade.Finance.Mrc.ParametricBusinessSchedule</v>
      </c>
      <c r="D307">
        <f ca="1"/>
        <v>-2028865743</v>
      </c>
      <c r="E307" t="str">
        <f ca="1"/>
        <v>[AldrinAnalyticsBenchmark.xlsm]Book</v>
      </c>
      <c r="F307">
        <f ca="1"/>
        <v>5</v>
      </c>
      <c r="G307">
        <f ca="1"/>
        <v>23</v>
      </c>
      <c r="H307" s="17">
        <f ca="1"/>
        <v>44057.665350636576</v>
      </c>
    </row>
    <row r="308" spans="2:8" x14ac:dyDescent="0.35">
      <c r="B308" t="str">
        <f ca="1"/>
        <v>OBJ_35340701</v>
      </c>
      <c r="C308" t="str">
        <f ca="1"/>
        <v>AldrinAnalytics.Calibration.SingleNameDataSheet</v>
      </c>
      <c r="D308">
        <f ca="1"/>
        <v>35340701</v>
      </c>
      <c r="E308" t="str">
        <f ca="1"/>
        <v>[AldrinAnalyticsBenchmark.xlsm]Single Names</v>
      </c>
      <c r="F308">
        <f ca="1"/>
        <v>17</v>
      </c>
      <c r="G308">
        <f ca="1"/>
        <v>10</v>
      </c>
      <c r="H308" s="17">
        <f ca="1"/>
        <v>44057.665348888891</v>
      </c>
    </row>
    <row r="309" spans="2:8" x14ac:dyDescent="0.35">
      <c r="B309" t="str">
        <f ca="1"/>
        <v>OBJ_-843401282</v>
      </c>
      <c r="C309" t="str">
        <f ca="1"/>
        <v>AldrinAnalytics.Instruments.SecurityBasket</v>
      </c>
      <c r="D309">
        <f ca="1"/>
        <v>-843401282</v>
      </c>
      <c r="E309" t="str">
        <f ca="1"/>
        <v>[AldrinAnalyticsBenchmark.xlsm]Book</v>
      </c>
      <c r="F309">
        <f ca="1"/>
        <v>9</v>
      </c>
      <c r="G309">
        <f ca="1"/>
        <v>21</v>
      </c>
      <c r="H309" s="17">
        <f ca="1"/>
        <v>44057.665353414355</v>
      </c>
    </row>
    <row r="310" spans="2:8" x14ac:dyDescent="0.35">
      <c r="B310" t="str">
        <f ca="1"/>
        <v/>
      </c>
      <c r="C310" t="str">
        <f ca="1"/>
        <v/>
      </c>
      <c r="D310" t="str">
        <f ca="1"/>
        <v/>
      </c>
      <c r="E310" t="str">
        <f ca="1"/>
        <v/>
      </c>
      <c r="F310" t="str">
        <f ca="1"/>
        <v/>
      </c>
      <c r="G310" t="str">
        <f ca="1"/>
        <v/>
      </c>
      <c r="H310" s="17" t="str">
        <f ca="1"/>
        <v/>
      </c>
    </row>
    <row r="311" spans="2:8" x14ac:dyDescent="0.35">
      <c r="B311" t="str">
        <f ca="1"/>
        <v/>
      </c>
      <c r="C311" t="str">
        <f ca="1"/>
        <v/>
      </c>
      <c r="D311" t="str">
        <f ca="1"/>
        <v/>
      </c>
      <c r="E311" t="str">
        <f ca="1"/>
        <v/>
      </c>
      <c r="F311" t="str">
        <f ca="1"/>
        <v/>
      </c>
      <c r="G311" t="str">
        <f ca="1"/>
        <v/>
      </c>
      <c r="H311" s="17" t="str">
        <f ca="1"/>
        <v/>
      </c>
    </row>
    <row r="312" spans="2:8" x14ac:dyDescent="0.35">
      <c r="B312" t="str">
        <f ca="1"/>
        <v/>
      </c>
      <c r="C312" t="str">
        <f ca="1"/>
        <v/>
      </c>
      <c r="D312" t="str">
        <f ca="1"/>
        <v/>
      </c>
      <c r="E312" t="str">
        <f ca="1"/>
        <v/>
      </c>
      <c r="F312" t="str">
        <f ca="1"/>
        <v/>
      </c>
      <c r="G312" t="str">
        <f ca="1"/>
        <v/>
      </c>
      <c r="H312" s="17" t="str">
        <f ca="1"/>
        <v/>
      </c>
    </row>
    <row r="313" spans="2:8" x14ac:dyDescent="0.35">
      <c r="B313" t="str">
        <f ca="1"/>
        <v/>
      </c>
      <c r="C313" t="str">
        <f ca="1"/>
        <v/>
      </c>
      <c r="D313" t="str">
        <f ca="1"/>
        <v/>
      </c>
      <c r="E313" t="str">
        <f ca="1"/>
        <v/>
      </c>
      <c r="F313" t="str">
        <f ca="1"/>
        <v/>
      </c>
      <c r="G313" t="str">
        <f ca="1"/>
        <v/>
      </c>
      <c r="H313" s="17" t="str">
        <f ca="1"/>
        <v/>
      </c>
    </row>
    <row r="314" spans="2:8" x14ac:dyDescent="0.35">
      <c r="B314" t="str">
        <f ca="1"/>
        <v/>
      </c>
      <c r="C314" t="str">
        <f ca="1"/>
        <v/>
      </c>
      <c r="D314" t="str">
        <f ca="1"/>
        <v/>
      </c>
      <c r="E314" t="str">
        <f ca="1"/>
        <v/>
      </c>
      <c r="F314" t="str">
        <f ca="1"/>
        <v/>
      </c>
      <c r="G314" t="str">
        <f ca="1"/>
        <v/>
      </c>
      <c r="H314" s="17" t="str">
        <f ca="1"/>
        <v/>
      </c>
    </row>
    <row r="315" spans="2:8" x14ac:dyDescent="0.35">
      <c r="B315" t="str">
        <f ca="1"/>
        <v/>
      </c>
      <c r="C315" t="str">
        <f ca="1"/>
        <v/>
      </c>
      <c r="D315" t="str">
        <f ca="1"/>
        <v/>
      </c>
      <c r="E315" t="str">
        <f ca="1"/>
        <v/>
      </c>
      <c r="F315" t="str">
        <f ca="1"/>
        <v/>
      </c>
      <c r="G315" t="str">
        <f ca="1"/>
        <v/>
      </c>
      <c r="H315" s="17" t="str">
        <f ca="1"/>
        <v/>
      </c>
    </row>
    <row r="316" spans="2:8" x14ac:dyDescent="0.35">
      <c r="B316" t="str">
        <f ca="1"/>
        <v/>
      </c>
      <c r="C316" t="str">
        <f ca="1"/>
        <v/>
      </c>
      <c r="D316" t="str">
        <f ca="1"/>
        <v/>
      </c>
      <c r="E316" t="str">
        <f ca="1"/>
        <v/>
      </c>
      <c r="F316" t="str">
        <f ca="1"/>
        <v/>
      </c>
      <c r="G316" t="str">
        <f ca="1"/>
        <v/>
      </c>
      <c r="H316" s="17" t="str">
        <f ca="1"/>
        <v/>
      </c>
    </row>
    <row r="317" spans="2:8" x14ac:dyDescent="0.35">
      <c r="B317" t="str">
        <f ca="1"/>
        <v/>
      </c>
      <c r="C317" t="str">
        <f ca="1"/>
        <v/>
      </c>
      <c r="D317" t="str">
        <f ca="1"/>
        <v/>
      </c>
      <c r="E317" t="str">
        <f ca="1"/>
        <v/>
      </c>
      <c r="F317" t="str">
        <f ca="1"/>
        <v/>
      </c>
      <c r="G317" t="str">
        <f ca="1"/>
        <v/>
      </c>
      <c r="H317" s="17" t="str">
        <f ca="1"/>
        <v/>
      </c>
    </row>
    <row r="318" spans="2:8" x14ac:dyDescent="0.35">
      <c r="B318" t="str">
        <f ca="1"/>
        <v/>
      </c>
      <c r="C318" t="str">
        <f ca="1"/>
        <v/>
      </c>
      <c r="D318" t="str">
        <f ca="1"/>
        <v/>
      </c>
      <c r="E318" t="str">
        <f ca="1"/>
        <v/>
      </c>
      <c r="F318" t="str">
        <f ca="1"/>
        <v/>
      </c>
      <c r="G318" t="str">
        <f ca="1"/>
        <v/>
      </c>
      <c r="H318" s="17" t="str">
        <f ca="1"/>
        <v/>
      </c>
    </row>
    <row r="319" spans="2:8" x14ac:dyDescent="0.35">
      <c r="B319" t="str">
        <f ca="1"/>
        <v/>
      </c>
      <c r="C319" t="str">
        <f ca="1"/>
        <v/>
      </c>
      <c r="D319" t="str">
        <f ca="1"/>
        <v/>
      </c>
      <c r="E319" t="str">
        <f ca="1"/>
        <v/>
      </c>
      <c r="F319" t="str">
        <f ca="1"/>
        <v/>
      </c>
      <c r="G319" t="str">
        <f ca="1"/>
        <v/>
      </c>
      <c r="H319" s="17" t="str">
        <f ca="1"/>
        <v/>
      </c>
    </row>
    <row r="320" spans="2:8" x14ac:dyDescent="0.35">
      <c r="B320" t="str">
        <f ca="1"/>
        <v/>
      </c>
      <c r="C320" t="str">
        <f ca="1"/>
        <v/>
      </c>
      <c r="D320" t="str">
        <f ca="1"/>
        <v/>
      </c>
      <c r="E320" t="str">
        <f ca="1"/>
        <v/>
      </c>
      <c r="F320" t="str">
        <f ca="1"/>
        <v/>
      </c>
      <c r="G320" t="str">
        <f ca="1"/>
        <v/>
      </c>
      <c r="H320" s="17" t="str">
        <f ca="1"/>
        <v/>
      </c>
    </row>
    <row r="321" spans="2:8" x14ac:dyDescent="0.35">
      <c r="B321" t="str">
        <f ca="1"/>
        <v/>
      </c>
      <c r="C321" t="str">
        <f ca="1"/>
        <v/>
      </c>
      <c r="D321" t="str">
        <f ca="1"/>
        <v/>
      </c>
      <c r="E321" t="str">
        <f ca="1"/>
        <v/>
      </c>
      <c r="F321" t="str">
        <f ca="1"/>
        <v/>
      </c>
      <c r="G321" t="str">
        <f ca="1"/>
        <v/>
      </c>
      <c r="H321" s="17" t="str">
        <f ca="1"/>
        <v/>
      </c>
    </row>
    <row r="322" spans="2:8" x14ac:dyDescent="0.35">
      <c r="B322" t="str">
        <f ca="1"/>
        <v/>
      </c>
      <c r="C322" t="str">
        <f ca="1"/>
        <v/>
      </c>
      <c r="D322" t="str">
        <f ca="1"/>
        <v/>
      </c>
      <c r="E322" t="str">
        <f ca="1"/>
        <v/>
      </c>
      <c r="F322" t="str">
        <f ca="1"/>
        <v/>
      </c>
      <c r="G322" t="str">
        <f ca="1"/>
        <v/>
      </c>
      <c r="H322" s="17" t="str">
        <f ca="1"/>
        <v/>
      </c>
    </row>
    <row r="323" spans="2:8" x14ac:dyDescent="0.35">
      <c r="B323" t="str">
        <f ca="1"/>
        <v/>
      </c>
      <c r="C323" t="str">
        <f ca="1"/>
        <v/>
      </c>
      <c r="D323" t="str">
        <f ca="1"/>
        <v/>
      </c>
      <c r="E323" t="str">
        <f ca="1"/>
        <v/>
      </c>
      <c r="F323" t="str">
        <f ca="1"/>
        <v/>
      </c>
      <c r="G323" t="str">
        <f ca="1"/>
        <v/>
      </c>
      <c r="H323" s="17" t="str">
        <f ca="1"/>
        <v/>
      </c>
    </row>
    <row r="324" spans="2:8" x14ac:dyDescent="0.35">
      <c r="B324" t="str">
        <f ca="1"/>
        <v/>
      </c>
      <c r="C324" t="str">
        <f ca="1"/>
        <v/>
      </c>
      <c r="D324" t="str">
        <f ca="1"/>
        <v/>
      </c>
      <c r="E324" t="str">
        <f ca="1"/>
        <v/>
      </c>
      <c r="F324" t="str">
        <f ca="1"/>
        <v/>
      </c>
      <c r="G324" t="str">
        <f ca="1"/>
        <v/>
      </c>
      <c r="H324" s="17" t="str">
        <f ca="1"/>
        <v/>
      </c>
    </row>
    <row r="325" spans="2:8" x14ac:dyDescent="0.35">
      <c r="B325" t="str">
        <f ca="1"/>
        <v/>
      </c>
      <c r="C325" t="str">
        <f ca="1"/>
        <v/>
      </c>
      <c r="D325" t="str">
        <f ca="1"/>
        <v/>
      </c>
      <c r="E325" t="str">
        <f ca="1"/>
        <v/>
      </c>
      <c r="F325" t="str">
        <f ca="1"/>
        <v/>
      </c>
      <c r="G325" t="str">
        <f ca="1"/>
        <v/>
      </c>
      <c r="H325" s="17" t="str">
        <f ca="1"/>
        <v/>
      </c>
    </row>
    <row r="326" spans="2:8" x14ac:dyDescent="0.35">
      <c r="B326" t="str">
        <f ca="1"/>
        <v/>
      </c>
      <c r="C326" t="str">
        <f ca="1"/>
        <v/>
      </c>
      <c r="D326" t="str">
        <f ca="1"/>
        <v/>
      </c>
      <c r="E326" t="str">
        <f ca="1"/>
        <v/>
      </c>
      <c r="F326" t="str">
        <f ca="1"/>
        <v/>
      </c>
      <c r="G326" t="str">
        <f ca="1"/>
        <v/>
      </c>
      <c r="H326" s="17" t="str">
        <f ca="1"/>
        <v/>
      </c>
    </row>
    <row r="327" spans="2:8" x14ac:dyDescent="0.35">
      <c r="B327" t="str">
        <f ca="1"/>
        <v/>
      </c>
      <c r="C327" t="str">
        <f ca="1"/>
        <v/>
      </c>
      <c r="D327" t="str">
        <f ca="1"/>
        <v/>
      </c>
      <c r="E327" t="str">
        <f ca="1"/>
        <v/>
      </c>
      <c r="F327" t="str">
        <f ca="1"/>
        <v/>
      </c>
      <c r="G327" t="str">
        <f ca="1"/>
        <v/>
      </c>
      <c r="H327" s="17" t="str">
        <f ca="1"/>
        <v/>
      </c>
    </row>
    <row r="328" spans="2:8" x14ac:dyDescent="0.35">
      <c r="B328" t="str">
        <f ca="1"/>
        <v/>
      </c>
      <c r="C328" t="str">
        <f ca="1"/>
        <v/>
      </c>
      <c r="D328" t="str">
        <f ca="1"/>
        <v/>
      </c>
      <c r="E328" t="str">
        <f ca="1"/>
        <v/>
      </c>
      <c r="F328" t="str">
        <f ca="1"/>
        <v/>
      </c>
      <c r="G328" t="str">
        <f ca="1"/>
        <v/>
      </c>
      <c r="H328" s="17" t="str">
        <f ca="1"/>
        <v/>
      </c>
    </row>
    <row r="329" spans="2:8" x14ac:dyDescent="0.35">
      <c r="B329" t="str">
        <f ca="1"/>
        <v/>
      </c>
      <c r="C329" t="str">
        <f ca="1"/>
        <v/>
      </c>
      <c r="D329" t="str">
        <f ca="1"/>
        <v/>
      </c>
      <c r="E329" t="str">
        <f ca="1"/>
        <v/>
      </c>
      <c r="F329" t="str">
        <f ca="1"/>
        <v/>
      </c>
      <c r="G329" t="str">
        <f ca="1"/>
        <v/>
      </c>
      <c r="H329" s="17" t="str">
        <f ca="1"/>
        <v/>
      </c>
    </row>
    <row r="330" spans="2:8" x14ac:dyDescent="0.35">
      <c r="B330" t="str">
        <f ca="1"/>
        <v/>
      </c>
      <c r="C330" t="str">
        <f ca="1"/>
        <v/>
      </c>
      <c r="D330" t="str">
        <f ca="1"/>
        <v/>
      </c>
      <c r="E330" t="str">
        <f ca="1"/>
        <v/>
      </c>
      <c r="F330" t="str">
        <f ca="1"/>
        <v/>
      </c>
      <c r="G330" t="str">
        <f ca="1"/>
        <v/>
      </c>
      <c r="H330" s="17" t="str">
        <f ca="1"/>
        <v/>
      </c>
    </row>
    <row r="331" spans="2:8" x14ac:dyDescent="0.35">
      <c r="B331" t="str">
        <f ca="1"/>
        <v/>
      </c>
      <c r="C331" t="str">
        <f ca="1"/>
        <v/>
      </c>
      <c r="D331" t="str">
        <f ca="1"/>
        <v/>
      </c>
      <c r="E331" t="str">
        <f ca="1"/>
        <v/>
      </c>
      <c r="F331" t="str">
        <f ca="1"/>
        <v/>
      </c>
      <c r="G331" t="str">
        <f ca="1"/>
        <v/>
      </c>
      <c r="H331" s="17" t="str">
        <f ca="1"/>
        <v/>
      </c>
    </row>
    <row r="332" spans="2:8" x14ac:dyDescent="0.35">
      <c r="B332" t="str">
        <f ca="1"/>
        <v/>
      </c>
      <c r="C332" t="str">
        <f ca="1"/>
        <v/>
      </c>
      <c r="D332" t="str">
        <f ca="1"/>
        <v/>
      </c>
      <c r="E332" t="str">
        <f ca="1"/>
        <v/>
      </c>
      <c r="F332" t="str">
        <f ca="1"/>
        <v/>
      </c>
      <c r="G332" t="str">
        <f ca="1"/>
        <v/>
      </c>
      <c r="H332" s="17" t="str">
        <f ca="1"/>
        <v/>
      </c>
    </row>
    <row r="333" spans="2:8" x14ac:dyDescent="0.35">
      <c r="B333" t="str">
        <f ca="1"/>
        <v/>
      </c>
      <c r="C333" t="str">
        <f ca="1"/>
        <v/>
      </c>
      <c r="D333" t="str">
        <f ca="1"/>
        <v/>
      </c>
      <c r="E333" t="str">
        <f ca="1"/>
        <v/>
      </c>
      <c r="F333" t="str">
        <f ca="1"/>
        <v/>
      </c>
      <c r="G333" t="str">
        <f ca="1"/>
        <v/>
      </c>
      <c r="H333" s="17" t="str">
        <f ca="1"/>
        <v/>
      </c>
    </row>
    <row r="334" spans="2:8" x14ac:dyDescent="0.35">
      <c r="B334" t="str">
        <f ca="1"/>
        <v/>
      </c>
      <c r="C334" t="str">
        <f ca="1"/>
        <v/>
      </c>
      <c r="D334" t="str">
        <f ca="1"/>
        <v/>
      </c>
      <c r="E334" t="str">
        <f ca="1"/>
        <v/>
      </c>
      <c r="F334" t="str">
        <f ca="1"/>
        <v/>
      </c>
      <c r="G334" t="str">
        <f ca="1"/>
        <v/>
      </c>
      <c r="H334" s="17" t="str">
        <f ca="1"/>
        <v/>
      </c>
    </row>
    <row r="335" spans="2:8" x14ac:dyDescent="0.35">
      <c r="B335" t="str">
        <f ca="1"/>
        <v/>
      </c>
      <c r="C335" t="str">
        <f ca="1"/>
        <v/>
      </c>
      <c r="D335" t="str">
        <f ca="1"/>
        <v/>
      </c>
      <c r="E335" t="str">
        <f ca="1"/>
        <v/>
      </c>
      <c r="F335" t="str">
        <f ca="1"/>
        <v/>
      </c>
      <c r="G335" t="str">
        <f ca="1"/>
        <v/>
      </c>
      <c r="H335" s="17" t="str">
        <f ca="1"/>
        <v/>
      </c>
    </row>
    <row r="336" spans="2:8" x14ac:dyDescent="0.35">
      <c r="B336" t="str">
        <f ca="1"/>
        <v/>
      </c>
      <c r="C336" t="str">
        <f ca="1"/>
        <v/>
      </c>
      <c r="D336" t="str">
        <f ca="1"/>
        <v/>
      </c>
      <c r="E336" t="str">
        <f ca="1"/>
        <v/>
      </c>
      <c r="F336" t="str">
        <f ca="1"/>
        <v/>
      </c>
      <c r="G336" t="str">
        <f ca="1"/>
        <v/>
      </c>
      <c r="H336" s="17" t="str">
        <f ca="1"/>
        <v/>
      </c>
    </row>
    <row r="337" spans="2:8" x14ac:dyDescent="0.35">
      <c r="B337" t="str">
        <f ca="1"/>
        <v/>
      </c>
      <c r="C337" t="str">
        <f ca="1"/>
        <v/>
      </c>
      <c r="D337" t="str">
        <f ca="1"/>
        <v/>
      </c>
      <c r="E337" t="str">
        <f ca="1"/>
        <v/>
      </c>
      <c r="F337" t="str">
        <f ca="1"/>
        <v/>
      </c>
      <c r="G337" t="str">
        <f ca="1"/>
        <v/>
      </c>
      <c r="H337" s="17" t="str">
        <f ca="1"/>
        <v/>
      </c>
    </row>
    <row r="338" spans="2:8" x14ac:dyDescent="0.35">
      <c r="B338" t="str">
        <f ca="1"/>
        <v/>
      </c>
      <c r="C338" t="str">
        <f ca="1"/>
        <v/>
      </c>
      <c r="D338" t="str">
        <f ca="1"/>
        <v/>
      </c>
      <c r="E338" t="str">
        <f ca="1"/>
        <v/>
      </c>
      <c r="F338" t="str">
        <f ca="1"/>
        <v/>
      </c>
      <c r="G338" t="str">
        <f ca="1"/>
        <v/>
      </c>
      <c r="H338" s="17" t="str">
        <f ca="1"/>
        <v/>
      </c>
    </row>
    <row r="339" spans="2:8" x14ac:dyDescent="0.35">
      <c r="B339" t="str">
        <f ca="1"/>
        <v/>
      </c>
      <c r="C339" t="str">
        <f ca="1"/>
        <v/>
      </c>
      <c r="D339" t="str">
        <f ca="1"/>
        <v/>
      </c>
      <c r="E339" t="str">
        <f ca="1"/>
        <v/>
      </c>
      <c r="F339" t="str">
        <f ca="1"/>
        <v/>
      </c>
      <c r="G339" t="str">
        <f ca="1"/>
        <v/>
      </c>
      <c r="H339" s="17" t="str">
        <f ca="1"/>
        <v/>
      </c>
    </row>
    <row r="340" spans="2:8" x14ac:dyDescent="0.35">
      <c r="B340" t="str">
        <f ca="1"/>
        <v/>
      </c>
      <c r="C340" t="str">
        <f ca="1"/>
        <v/>
      </c>
      <c r="D340" t="str">
        <f ca="1"/>
        <v/>
      </c>
      <c r="E340" t="str">
        <f ca="1"/>
        <v/>
      </c>
      <c r="F340" t="str">
        <f ca="1"/>
        <v/>
      </c>
      <c r="G340" t="str">
        <f ca="1"/>
        <v/>
      </c>
      <c r="H340" s="17" t="str">
        <f ca="1"/>
        <v/>
      </c>
    </row>
    <row r="341" spans="2:8" x14ac:dyDescent="0.35">
      <c r="B341" t="str">
        <f ca="1"/>
        <v/>
      </c>
      <c r="C341" t="str">
        <f ca="1"/>
        <v/>
      </c>
      <c r="D341" t="str">
        <f ca="1"/>
        <v/>
      </c>
      <c r="E341" t="str">
        <f ca="1"/>
        <v/>
      </c>
      <c r="F341" t="str">
        <f ca="1"/>
        <v/>
      </c>
      <c r="G341" t="str">
        <f ca="1"/>
        <v/>
      </c>
      <c r="H341" s="17" t="str">
        <f ca="1"/>
        <v/>
      </c>
    </row>
    <row r="342" spans="2:8" x14ac:dyDescent="0.35">
      <c r="B342" t="str">
        <f ca="1"/>
        <v/>
      </c>
      <c r="C342" t="str">
        <f ca="1"/>
        <v/>
      </c>
      <c r="D342" t="str">
        <f ca="1"/>
        <v/>
      </c>
      <c r="E342" t="str">
        <f ca="1"/>
        <v/>
      </c>
      <c r="F342" t="str">
        <f ca="1"/>
        <v/>
      </c>
      <c r="G342" t="str">
        <f ca="1"/>
        <v/>
      </c>
      <c r="H342" s="17" t="str">
        <f ca="1"/>
        <v/>
      </c>
    </row>
    <row r="343" spans="2:8" x14ac:dyDescent="0.35">
      <c r="B343" t="str">
        <f ca="1"/>
        <v/>
      </c>
      <c r="C343" t="str">
        <f ca="1"/>
        <v/>
      </c>
      <c r="D343" t="str">
        <f ca="1"/>
        <v/>
      </c>
      <c r="E343" t="str">
        <f ca="1"/>
        <v/>
      </c>
      <c r="F343" t="str">
        <f ca="1"/>
        <v/>
      </c>
      <c r="G343" t="str">
        <f ca="1"/>
        <v/>
      </c>
      <c r="H343" s="17" t="str">
        <f ca="1"/>
        <v/>
      </c>
    </row>
    <row r="344" spans="2:8" x14ac:dyDescent="0.35">
      <c r="B344" t="str">
        <f ca="1"/>
        <v/>
      </c>
      <c r="C344" t="str">
        <f ca="1"/>
        <v/>
      </c>
      <c r="D344" t="str">
        <f ca="1"/>
        <v/>
      </c>
      <c r="E344" t="str">
        <f ca="1"/>
        <v/>
      </c>
      <c r="F344" t="str">
        <f ca="1"/>
        <v/>
      </c>
      <c r="G344" t="str">
        <f ca="1"/>
        <v/>
      </c>
      <c r="H344" s="17" t="str">
        <f ca="1"/>
        <v/>
      </c>
    </row>
    <row r="345" spans="2:8" x14ac:dyDescent="0.35">
      <c r="B345" t="str">
        <f ca="1"/>
        <v/>
      </c>
      <c r="C345" t="str">
        <f ca="1"/>
        <v/>
      </c>
      <c r="D345" t="str">
        <f ca="1"/>
        <v/>
      </c>
      <c r="E345" t="str">
        <f ca="1"/>
        <v/>
      </c>
      <c r="F345" t="str">
        <f ca="1"/>
        <v/>
      </c>
      <c r="G345" t="str">
        <f ca="1"/>
        <v/>
      </c>
      <c r="H345" s="17" t="str">
        <f ca="1"/>
        <v/>
      </c>
    </row>
    <row r="346" spans="2:8" x14ac:dyDescent="0.35">
      <c r="B346" t="str">
        <f ca="1"/>
        <v/>
      </c>
      <c r="C346" t="str">
        <f ca="1"/>
        <v/>
      </c>
      <c r="D346" t="str">
        <f ca="1"/>
        <v/>
      </c>
      <c r="E346" t="str">
        <f ca="1"/>
        <v/>
      </c>
      <c r="F346" t="str">
        <f ca="1"/>
        <v/>
      </c>
      <c r="G346" t="str">
        <f ca="1"/>
        <v/>
      </c>
      <c r="H346" s="17" t="str">
        <f ca="1"/>
        <v/>
      </c>
    </row>
    <row r="347" spans="2:8" x14ac:dyDescent="0.35">
      <c r="B347" t="str">
        <f ca="1"/>
        <v/>
      </c>
      <c r="C347" t="str">
        <f ca="1"/>
        <v/>
      </c>
      <c r="D347" t="str">
        <f ca="1"/>
        <v/>
      </c>
      <c r="E347" t="str">
        <f ca="1"/>
        <v/>
      </c>
      <c r="F347" t="str">
        <f ca="1"/>
        <v/>
      </c>
      <c r="G347" t="str">
        <f ca="1"/>
        <v/>
      </c>
      <c r="H347" s="17" t="str">
        <f ca="1"/>
        <v/>
      </c>
    </row>
    <row r="348" spans="2:8" x14ac:dyDescent="0.35">
      <c r="B348" t="str">
        <f ca="1"/>
        <v/>
      </c>
      <c r="C348" t="str">
        <f ca="1"/>
        <v/>
      </c>
      <c r="D348" t="str">
        <f ca="1"/>
        <v/>
      </c>
      <c r="E348" t="str">
        <f ca="1"/>
        <v/>
      </c>
      <c r="F348" t="str">
        <f ca="1"/>
        <v/>
      </c>
      <c r="G348" t="str">
        <f ca="1"/>
        <v/>
      </c>
      <c r="H348" s="17" t="str">
        <f ca="1"/>
        <v/>
      </c>
    </row>
    <row r="349" spans="2:8" x14ac:dyDescent="0.35">
      <c r="B349" t="str">
        <f ca="1"/>
        <v/>
      </c>
      <c r="C349" t="str">
        <f ca="1"/>
        <v/>
      </c>
      <c r="D349" t="str">
        <f ca="1"/>
        <v/>
      </c>
      <c r="E349" t="str">
        <f ca="1"/>
        <v/>
      </c>
      <c r="F349" t="str">
        <f ca="1"/>
        <v/>
      </c>
      <c r="G349" t="str">
        <f ca="1"/>
        <v/>
      </c>
      <c r="H349" s="17" t="str">
        <f ca="1"/>
        <v/>
      </c>
    </row>
    <row r="350" spans="2:8" x14ac:dyDescent="0.35">
      <c r="B350" t="str">
        <f ca="1"/>
        <v/>
      </c>
      <c r="C350" t="str">
        <f ca="1"/>
        <v/>
      </c>
      <c r="D350" t="str">
        <f ca="1"/>
        <v/>
      </c>
      <c r="E350" t="str">
        <f ca="1"/>
        <v/>
      </c>
      <c r="F350" t="str">
        <f ca="1"/>
        <v/>
      </c>
      <c r="G350" t="str">
        <f ca="1"/>
        <v/>
      </c>
      <c r="H350" s="17" t="str">
        <f ca="1"/>
        <v/>
      </c>
    </row>
    <row r="351" spans="2:8" x14ac:dyDescent="0.35">
      <c r="B351" t="str">
        <f ca="1"/>
        <v/>
      </c>
      <c r="C351" t="str">
        <f ca="1"/>
        <v/>
      </c>
      <c r="D351" t="str">
        <f ca="1"/>
        <v/>
      </c>
      <c r="E351" t="str">
        <f ca="1"/>
        <v/>
      </c>
      <c r="F351" t="str">
        <f ca="1"/>
        <v/>
      </c>
      <c r="G351" t="str">
        <f ca="1"/>
        <v/>
      </c>
      <c r="H351" s="17" t="str">
        <f ca="1"/>
        <v/>
      </c>
    </row>
    <row r="352" spans="2:8" x14ac:dyDescent="0.35">
      <c r="B352" t="str">
        <f ca="1"/>
        <v/>
      </c>
      <c r="C352" t="str">
        <f ca="1"/>
        <v/>
      </c>
      <c r="D352" t="str">
        <f ca="1"/>
        <v/>
      </c>
      <c r="E352" t="str">
        <f ca="1"/>
        <v/>
      </c>
      <c r="F352" t="str">
        <f ca="1"/>
        <v/>
      </c>
      <c r="G352" t="str">
        <f ca="1"/>
        <v/>
      </c>
      <c r="H352" s="17" t="str">
        <f ca="1"/>
        <v/>
      </c>
    </row>
    <row r="353" spans="2:8" x14ac:dyDescent="0.35">
      <c r="B353" t="str">
        <f ca="1"/>
        <v/>
      </c>
      <c r="C353" t="str">
        <f ca="1"/>
        <v/>
      </c>
      <c r="D353" t="str">
        <f ca="1"/>
        <v/>
      </c>
      <c r="E353" t="str">
        <f ca="1"/>
        <v/>
      </c>
      <c r="F353" t="str">
        <f ca="1"/>
        <v/>
      </c>
      <c r="G353" t="str">
        <f ca="1"/>
        <v/>
      </c>
      <c r="H353" s="17" t="str">
        <f ca="1"/>
        <v/>
      </c>
    </row>
    <row r="354" spans="2:8" x14ac:dyDescent="0.35">
      <c r="B354" t="str">
        <f ca="1"/>
        <v/>
      </c>
      <c r="C354" t="str">
        <f ca="1"/>
        <v/>
      </c>
      <c r="D354" t="str">
        <f ca="1"/>
        <v/>
      </c>
      <c r="E354" t="str">
        <f ca="1"/>
        <v/>
      </c>
      <c r="F354" t="str">
        <f ca="1"/>
        <v/>
      </c>
      <c r="G354" t="str">
        <f ca="1"/>
        <v/>
      </c>
      <c r="H354" s="17" t="str">
        <f ca="1"/>
        <v/>
      </c>
    </row>
    <row r="355" spans="2:8" x14ac:dyDescent="0.35">
      <c r="B355" t="str">
        <f ca="1"/>
        <v/>
      </c>
      <c r="C355" t="str">
        <f ca="1"/>
        <v/>
      </c>
      <c r="D355" t="str">
        <f ca="1"/>
        <v/>
      </c>
      <c r="E355" t="str">
        <f ca="1"/>
        <v/>
      </c>
      <c r="F355" t="str">
        <f ca="1"/>
        <v/>
      </c>
      <c r="G355" t="str">
        <f ca="1"/>
        <v/>
      </c>
      <c r="H355" s="17" t="str">
        <f ca="1"/>
        <v/>
      </c>
    </row>
    <row r="356" spans="2:8" x14ac:dyDescent="0.35">
      <c r="B356" t="str">
        <f ca="1"/>
        <v/>
      </c>
      <c r="C356" t="str">
        <f ca="1"/>
        <v/>
      </c>
      <c r="D356" t="str">
        <f ca="1"/>
        <v/>
      </c>
      <c r="E356" t="str">
        <f ca="1"/>
        <v/>
      </c>
      <c r="F356" t="str">
        <f ca="1"/>
        <v/>
      </c>
      <c r="G356" t="str">
        <f ca="1"/>
        <v/>
      </c>
      <c r="H356" s="17" t="str">
        <f ca="1"/>
        <v/>
      </c>
    </row>
    <row r="357" spans="2:8" x14ac:dyDescent="0.35">
      <c r="B357" t="str">
        <f ca="1"/>
        <v/>
      </c>
      <c r="C357" t="str">
        <f ca="1"/>
        <v/>
      </c>
      <c r="D357" t="str">
        <f ca="1"/>
        <v/>
      </c>
      <c r="E357" t="str">
        <f ca="1"/>
        <v/>
      </c>
      <c r="F357" t="str">
        <f ca="1"/>
        <v/>
      </c>
      <c r="G357" t="str">
        <f ca="1"/>
        <v/>
      </c>
      <c r="H357" s="17" t="str">
        <f ca="1"/>
        <v/>
      </c>
    </row>
    <row r="358" spans="2:8" x14ac:dyDescent="0.35">
      <c r="B358" t="str">
        <f ca="1"/>
        <v/>
      </c>
      <c r="C358" t="str">
        <f ca="1"/>
        <v/>
      </c>
      <c r="D358" t="str">
        <f ca="1"/>
        <v/>
      </c>
      <c r="E358" t="str">
        <f ca="1"/>
        <v/>
      </c>
      <c r="F358" t="str">
        <f ca="1"/>
        <v/>
      </c>
      <c r="G358" t="str">
        <f ca="1"/>
        <v/>
      </c>
      <c r="H358" s="17" t="str">
        <f ca="1"/>
        <v/>
      </c>
    </row>
    <row r="359" spans="2:8" x14ac:dyDescent="0.35">
      <c r="B359" t="str">
        <f ca="1"/>
        <v/>
      </c>
      <c r="C359" t="str">
        <f ca="1"/>
        <v/>
      </c>
      <c r="D359" t="str">
        <f ca="1"/>
        <v/>
      </c>
      <c r="E359" t="str">
        <f ca="1"/>
        <v/>
      </c>
      <c r="F359" t="str">
        <f ca="1"/>
        <v/>
      </c>
      <c r="G359" t="str">
        <f ca="1"/>
        <v/>
      </c>
      <c r="H359" s="17" t="str">
        <f ca="1"/>
        <v/>
      </c>
    </row>
    <row r="360" spans="2:8" x14ac:dyDescent="0.35">
      <c r="B360" t="str">
        <f ca="1"/>
        <v/>
      </c>
      <c r="C360" t="str">
        <f ca="1"/>
        <v/>
      </c>
      <c r="D360" t="str">
        <f ca="1"/>
        <v/>
      </c>
      <c r="E360" t="str">
        <f ca="1"/>
        <v/>
      </c>
      <c r="F360" t="str">
        <f ca="1"/>
        <v/>
      </c>
      <c r="G360" t="str">
        <f ca="1"/>
        <v/>
      </c>
      <c r="H360" s="17" t="str">
        <f ca="1"/>
        <v/>
      </c>
    </row>
    <row r="361" spans="2:8" x14ac:dyDescent="0.35">
      <c r="B361" t="str">
        <f ca="1"/>
        <v/>
      </c>
      <c r="C361" t="str">
        <f ca="1"/>
        <v/>
      </c>
      <c r="D361" t="str">
        <f ca="1"/>
        <v/>
      </c>
      <c r="E361" t="str">
        <f ca="1"/>
        <v/>
      </c>
      <c r="F361" t="str">
        <f ca="1"/>
        <v/>
      </c>
      <c r="G361" t="str">
        <f ca="1"/>
        <v/>
      </c>
      <c r="H361" s="17" t="str">
        <f ca="1"/>
        <v/>
      </c>
    </row>
    <row r="362" spans="2:8" x14ac:dyDescent="0.35">
      <c r="B362" t="str">
        <f ca="1"/>
        <v/>
      </c>
      <c r="C362" t="str">
        <f ca="1"/>
        <v/>
      </c>
      <c r="D362" t="str">
        <f ca="1"/>
        <v/>
      </c>
      <c r="E362" t="str">
        <f ca="1"/>
        <v/>
      </c>
      <c r="F362" t="str">
        <f ca="1"/>
        <v/>
      </c>
      <c r="G362" t="str">
        <f ca="1"/>
        <v/>
      </c>
      <c r="H362" s="17" t="str">
        <f ca="1"/>
        <v/>
      </c>
    </row>
    <row r="363" spans="2:8" x14ac:dyDescent="0.35">
      <c r="B363" t="str">
        <f ca="1"/>
        <v/>
      </c>
      <c r="C363" t="str">
        <f ca="1"/>
        <v/>
      </c>
      <c r="D363" t="str">
        <f ca="1"/>
        <v/>
      </c>
      <c r="E363" t="str">
        <f ca="1"/>
        <v/>
      </c>
      <c r="F363" t="str">
        <f ca="1"/>
        <v/>
      </c>
      <c r="G363" t="str">
        <f ca="1"/>
        <v/>
      </c>
      <c r="H363" s="17" t="str">
        <f ca="1"/>
        <v/>
      </c>
    </row>
    <row r="364" spans="2:8" x14ac:dyDescent="0.35">
      <c r="B364" t="str">
        <f ca="1"/>
        <v/>
      </c>
      <c r="C364" t="str">
        <f ca="1"/>
        <v/>
      </c>
      <c r="D364" t="str">
        <f ca="1"/>
        <v/>
      </c>
      <c r="E364" t="str">
        <f ca="1"/>
        <v/>
      </c>
      <c r="F364" t="str">
        <f ca="1"/>
        <v/>
      </c>
      <c r="G364" t="str">
        <f ca="1"/>
        <v/>
      </c>
      <c r="H364" s="17" t="str">
        <f ca="1"/>
        <v/>
      </c>
    </row>
    <row r="365" spans="2:8" x14ac:dyDescent="0.35">
      <c r="B365" t="str">
        <f ca="1"/>
        <v/>
      </c>
      <c r="C365" t="str">
        <f ca="1"/>
        <v/>
      </c>
      <c r="D365" t="str">
        <f ca="1"/>
        <v/>
      </c>
      <c r="E365" t="str">
        <f ca="1"/>
        <v/>
      </c>
      <c r="F365" t="str">
        <f ca="1"/>
        <v/>
      </c>
      <c r="G365" t="str">
        <f ca="1"/>
        <v/>
      </c>
      <c r="H365" s="17" t="str">
        <f ca="1"/>
        <v/>
      </c>
    </row>
    <row r="366" spans="2:8" x14ac:dyDescent="0.35">
      <c r="B366" t="str">
        <f ca="1"/>
        <v/>
      </c>
      <c r="C366" t="str">
        <f ca="1"/>
        <v/>
      </c>
      <c r="D366" t="str">
        <f ca="1"/>
        <v/>
      </c>
      <c r="E366" t="str">
        <f ca="1"/>
        <v/>
      </c>
      <c r="F366" t="str">
        <f ca="1"/>
        <v/>
      </c>
      <c r="G366" t="str">
        <f ca="1"/>
        <v/>
      </c>
      <c r="H366" s="17" t="str">
        <f ca="1"/>
        <v/>
      </c>
    </row>
    <row r="367" spans="2:8" x14ac:dyDescent="0.35">
      <c r="B367" t="str">
        <f ca="1"/>
        <v/>
      </c>
      <c r="C367" t="str">
        <f ca="1"/>
        <v/>
      </c>
      <c r="D367" t="str">
        <f ca="1"/>
        <v/>
      </c>
      <c r="E367" t="str">
        <f ca="1"/>
        <v/>
      </c>
      <c r="F367" t="str">
        <f ca="1"/>
        <v/>
      </c>
      <c r="G367" t="str">
        <f ca="1"/>
        <v/>
      </c>
      <c r="H367" s="17" t="str">
        <f ca="1"/>
        <v/>
      </c>
    </row>
    <row r="368" spans="2:8" x14ac:dyDescent="0.35">
      <c r="B368" t="str">
        <f ca="1"/>
        <v/>
      </c>
      <c r="C368" t="str">
        <f ca="1"/>
        <v/>
      </c>
      <c r="D368" t="str">
        <f ca="1"/>
        <v/>
      </c>
      <c r="E368" t="str">
        <f ca="1"/>
        <v/>
      </c>
      <c r="F368" t="str">
        <f ca="1"/>
        <v/>
      </c>
      <c r="G368" t="str">
        <f ca="1"/>
        <v/>
      </c>
      <c r="H368" s="17" t="str">
        <f ca="1"/>
        <v/>
      </c>
    </row>
    <row r="369" spans="2:8" x14ac:dyDescent="0.35">
      <c r="B369" t="str">
        <f ca="1"/>
        <v/>
      </c>
      <c r="C369" t="str">
        <f ca="1"/>
        <v/>
      </c>
      <c r="D369" t="str">
        <f ca="1"/>
        <v/>
      </c>
      <c r="E369" t="str">
        <f ca="1"/>
        <v/>
      </c>
      <c r="F369" t="str">
        <f ca="1"/>
        <v/>
      </c>
      <c r="G369" t="str">
        <f ca="1"/>
        <v/>
      </c>
      <c r="H369" s="17" t="str">
        <f ca="1"/>
        <v/>
      </c>
    </row>
    <row r="370" spans="2:8" x14ac:dyDescent="0.35">
      <c r="B370" t="str">
        <f ca="1"/>
        <v/>
      </c>
      <c r="C370" t="str">
        <f ca="1"/>
        <v/>
      </c>
      <c r="D370" t="str">
        <f ca="1"/>
        <v/>
      </c>
      <c r="E370" t="str">
        <f ca="1"/>
        <v/>
      </c>
      <c r="F370" t="str">
        <f ca="1"/>
        <v/>
      </c>
      <c r="G370" t="str">
        <f ca="1"/>
        <v/>
      </c>
      <c r="H370" s="17" t="str">
        <f ca="1"/>
        <v/>
      </c>
    </row>
    <row r="371" spans="2:8" x14ac:dyDescent="0.35">
      <c r="B371" t="str">
        <f ca="1"/>
        <v/>
      </c>
      <c r="C371" t="str">
        <f ca="1"/>
        <v/>
      </c>
      <c r="D371" t="str">
        <f ca="1"/>
        <v/>
      </c>
      <c r="E371" t="str">
        <f ca="1"/>
        <v/>
      </c>
      <c r="F371" t="str">
        <f ca="1"/>
        <v/>
      </c>
      <c r="G371" t="str">
        <f ca="1"/>
        <v/>
      </c>
      <c r="H371" s="17" t="str">
        <f ca="1"/>
        <v/>
      </c>
    </row>
    <row r="372" spans="2:8" x14ac:dyDescent="0.35">
      <c r="B372" t="str">
        <f ca="1"/>
        <v/>
      </c>
      <c r="C372" t="str">
        <f ca="1"/>
        <v/>
      </c>
      <c r="D372" t="str">
        <f ca="1"/>
        <v/>
      </c>
      <c r="E372" t="str">
        <f ca="1"/>
        <v/>
      </c>
      <c r="F372" t="str">
        <f ca="1"/>
        <v/>
      </c>
      <c r="G372" t="str">
        <f ca="1"/>
        <v/>
      </c>
      <c r="H372" s="17" t="str">
        <f ca="1"/>
        <v/>
      </c>
    </row>
    <row r="373" spans="2:8" x14ac:dyDescent="0.35">
      <c r="B373" t="str">
        <f ca="1"/>
        <v/>
      </c>
      <c r="C373" t="str">
        <f ca="1"/>
        <v/>
      </c>
      <c r="D373" t="str">
        <f ca="1"/>
        <v/>
      </c>
      <c r="E373" t="str">
        <f ca="1"/>
        <v/>
      </c>
      <c r="F373" t="str">
        <f ca="1"/>
        <v/>
      </c>
      <c r="G373" t="str">
        <f ca="1"/>
        <v/>
      </c>
      <c r="H373" s="17" t="str">
        <f ca="1"/>
        <v/>
      </c>
    </row>
    <row r="374" spans="2:8" x14ac:dyDescent="0.35">
      <c r="B374" t="str">
        <f ca="1"/>
        <v/>
      </c>
      <c r="C374" t="str">
        <f ca="1"/>
        <v/>
      </c>
      <c r="D374" t="str">
        <f ca="1"/>
        <v/>
      </c>
      <c r="E374" t="str">
        <f ca="1"/>
        <v/>
      </c>
      <c r="F374" t="str">
        <f ca="1"/>
        <v/>
      </c>
      <c r="G374" t="str">
        <f ca="1"/>
        <v/>
      </c>
      <c r="H374" s="17" t="str">
        <f ca="1"/>
        <v/>
      </c>
    </row>
    <row r="375" spans="2:8" x14ac:dyDescent="0.35">
      <c r="B375" t="str">
        <f ca="1"/>
        <v/>
      </c>
      <c r="C375" t="str">
        <f ca="1"/>
        <v/>
      </c>
      <c r="D375" t="str">
        <f ca="1"/>
        <v/>
      </c>
      <c r="E375" t="str">
        <f ca="1"/>
        <v/>
      </c>
      <c r="F375" t="str">
        <f ca="1"/>
        <v/>
      </c>
      <c r="G375" t="str">
        <f ca="1"/>
        <v/>
      </c>
      <c r="H375" s="17" t="str">
        <f ca="1"/>
        <v/>
      </c>
    </row>
    <row r="376" spans="2:8" x14ac:dyDescent="0.35">
      <c r="B376" t="str">
        <f ca="1"/>
        <v/>
      </c>
      <c r="C376" t="str">
        <f ca="1"/>
        <v/>
      </c>
      <c r="D376" t="str">
        <f ca="1"/>
        <v/>
      </c>
      <c r="E376" t="str">
        <f ca="1"/>
        <v/>
      </c>
      <c r="F376" t="str">
        <f ca="1"/>
        <v/>
      </c>
      <c r="G376" t="str">
        <f ca="1"/>
        <v/>
      </c>
      <c r="H376" s="17" t="str">
        <f ca="1"/>
        <v/>
      </c>
    </row>
    <row r="377" spans="2:8" x14ac:dyDescent="0.35">
      <c r="B377" t="str">
        <f ca="1"/>
        <v/>
      </c>
      <c r="C377" t="str">
        <f ca="1"/>
        <v/>
      </c>
      <c r="D377" t="str">
        <f ca="1"/>
        <v/>
      </c>
      <c r="E377" t="str">
        <f ca="1"/>
        <v/>
      </c>
      <c r="F377" t="str">
        <f ca="1"/>
        <v/>
      </c>
      <c r="G377" t="str">
        <f ca="1"/>
        <v/>
      </c>
      <c r="H377" s="17" t="str">
        <f ca="1"/>
        <v/>
      </c>
    </row>
    <row r="378" spans="2:8" x14ac:dyDescent="0.35">
      <c r="B378" t="str">
        <f ca="1"/>
        <v/>
      </c>
      <c r="C378" t="str">
        <f ca="1"/>
        <v/>
      </c>
      <c r="D378" t="str">
        <f ca="1"/>
        <v/>
      </c>
      <c r="E378" t="str">
        <f ca="1"/>
        <v/>
      </c>
      <c r="F378" t="str">
        <f ca="1"/>
        <v/>
      </c>
      <c r="G378" t="str">
        <f ca="1"/>
        <v/>
      </c>
      <c r="H378" s="17" t="str">
        <f ca="1"/>
        <v/>
      </c>
    </row>
    <row r="379" spans="2:8" x14ac:dyDescent="0.35">
      <c r="B379" t="str">
        <f ca="1"/>
        <v/>
      </c>
      <c r="C379" t="str">
        <f ca="1"/>
        <v/>
      </c>
      <c r="D379" t="str">
        <f ca="1"/>
        <v/>
      </c>
      <c r="E379" t="str">
        <f ca="1"/>
        <v/>
      </c>
      <c r="F379" t="str">
        <f ca="1"/>
        <v/>
      </c>
      <c r="G379" t="str">
        <f ca="1"/>
        <v/>
      </c>
      <c r="H379" s="17" t="str">
        <f ca="1"/>
        <v/>
      </c>
    </row>
    <row r="380" spans="2:8" x14ac:dyDescent="0.35">
      <c r="B380" t="str">
        <f ca="1"/>
        <v/>
      </c>
      <c r="C380" t="str">
        <f ca="1"/>
        <v/>
      </c>
      <c r="D380" t="str">
        <f ca="1"/>
        <v/>
      </c>
      <c r="E380" t="str">
        <f ca="1"/>
        <v/>
      </c>
      <c r="F380" t="str">
        <f ca="1"/>
        <v/>
      </c>
      <c r="G380" t="str">
        <f ca="1"/>
        <v/>
      </c>
      <c r="H380" s="17" t="str">
        <f ca="1"/>
        <v/>
      </c>
    </row>
    <row r="381" spans="2:8" x14ac:dyDescent="0.35">
      <c r="B381" t="str">
        <f ca="1"/>
        <v/>
      </c>
      <c r="C381" t="str">
        <f ca="1"/>
        <v/>
      </c>
      <c r="D381" t="str">
        <f ca="1"/>
        <v/>
      </c>
      <c r="E381" t="str">
        <f ca="1"/>
        <v/>
      </c>
      <c r="F381" t="str">
        <f ca="1"/>
        <v/>
      </c>
      <c r="G381" t="str">
        <f ca="1"/>
        <v/>
      </c>
      <c r="H381" s="17" t="str">
        <f ca="1"/>
        <v/>
      </c>
    </row>
    <row r="382" spans="2:8" x14ac:dyDescent="0.35">
      <c r="B382" t="str">
        <f ca="1"/>
        <v/>
      </c>
      <c r="C382" t="str">
        <f ca="1"/>
        <v/>
      </c>
      <c r="D382" t="str">
        <f ca="1"/>
        <v/>
      </c>
      <c r="E382" t="str">
        <f ca="1"/>
        <v/>
      </c>
      <c r="F382" t="str">
        <f ca="1"/>
        <v/>
      </c>
      <c r="G382" t="str">
        <f ca="1"/>
        <v/>
      </c>
      <c r="H382" s="17" t="str">
        <f ca="1"/>
        <v/>
      </c>
    </row>
    <row r="383" spans="2:8" x14ac:dyDescent="0.35">
      <c r="B383" t="str">
        <f ca="1"/>
        <v/>
      </c>
      <c r="C383" t="str">
        <f ca="1"/>
        <v/>
      </c>
      <c r="D383" t="str">
        <f ca="1"/>
        <v/>
      </c>
      <c r="E383" t="str">
        <f ca="1"/>
        <v/>
      </c>
      <c r="F383" t="str">
        <f ca="1"/>
        <v/>
      </c>
      <c r="G383" t="str">
        <f ca="1"/>
        <v/>
      </c>
      <c r="H383" s="17" t="str">
        <f ca="1"/>
        <v/>
      </c>
    </row>
    <row r="384" spans="2:8" x14ac:dyDescent="0.35">
      <c r="B384" t="str">
        <f ca="1"/>
        <v/>
      </c>
      <c r="C384" t="str">
        <f ca="1"/>
        <v/>
      </c>
      <c r="D384" t="str">
        <f ca="1"/>
        <v/>
      </c>
      <c r="E384" t="str">
        <f ca="1"/>
        <v/>
      </c>
      <c r="F384" t="str">
        <f ca="1"/>
        <v/>
      </c>
      <c r="G384" t="str">
        <f ca="1"/>
        <v/>
      </c>
      <c r="H384" s="17" t="str">
        <f ca="1"/>
        <v/>
      </c>
    </row>
    <row r="385" spans="2:8" x14ac:dyDescent="0.35">
      <c r="B385" t="str">
        <f ca="1"/>
        <v/>
      </c>
      <c r="C385" t="str">
        <f ca="1"/>
        <v/>
      </c>
      <c r="D385" t="str">
        <f ca="1"/>
        <v/>
      </c>
      <c r="E385" t="str">
        <f ca="1"/>
        <v/>
      </c>
      <c r="F385" t="str">
        <f ca="1"/>
        <v/>
      </c>
      <c r="G385" t="str">
        <f ca="1"/>
        <v/>
      </c>
      <c r="H385" s="17" t="str">
        <f ca="1"/>
        <v/>
      </c>
    </row>
    <row r="386" spans="2:8" x14ac:dyDescent="0.35">
      <c r="B386" t="str">
        <f ca="1"/>
        <v/>
      </c>
      <c r="C386" t="str">
        <f ca="1"/>
        <v/>
      </c>
      <c r="D386" t="str">
        <f ca="1"/>
        <v/>
      </c>
      <c r="E386" t="str">
        <f ca="1"/>
        <v/>
      </c>
      <c r="F386" t="str">
        <f ca="1"/>
        <v/>
      </c>
      <c r="G386" t="str">
        <f ca="1"/>
        <v/>
      </c>
      <c r="H386" s="17" t="str">
        <f ca="1"/>
        <v/>
      </c>
    </row>
    <row r="387" spans="2:8" x14ac:dyDescent="0.35">
      <c r="B387" t="str">
        <f ca="1"/>
        <v/>
      </c>
      <c r="C387" t="str">
        <f ca="1"/>
        <v/>
      </c>
      <c r="D387" t="str">
        <f ca="1"/>
        <v/>
      </c>
      <c r="E387" t="str">
        <f ca="1"/>
        <v/>
      </c>
      <c r="F387" t="str">
        <f ca="1"/>
        <v/>
      </c>
      <c r="G387" t="str">
        <f ca="1"/>
        <v/>
      </c>
      <c r="H387" s="17" t="str">
        <f ca="1"/>
        <v/>
      </c>
    </row>
    <row r="388" spans="2:8" x14ac:dyDescent="0.35">
      <c r="B388" t="str">
        <f ca="1"/>
        <v/>
      </c>
      <c r="C388" t="str">
        <f ca="1"/>
        <v/>
      </c>
      <c r="D388" t="str">
        <f ca="1"/>
        <v/>
      </c>
      <c r="E388" t="str">
        <f ca="1"/>
        <v/>
      </c>
      <c r="F388" t="str">
        <f ca="1"/>
        <v/>
      </c>
      <c r="G388" t="str">
        <f ca="1"/>
        <v/>
      </c>
      <c r="H388" s="17" t="str">
        <f ca="1"/>
        <v/>
      </c>
    </row>
    <row r="389" spans="2:8" x14ac:dyDescent="0.35">
      <c r="B389" t="str">
        <f ca="1"/>
        <v/>
      </c>
      <c r="C389" t="str">
        <f ca="1"/>
        <v/>
      </c>
      <c r="D389" t="str">
        <f ca="1"/>
        <v/>
      </c>
      <c r="E389" t="str">
        <f ca="1"/>
        <v/>
      </c>
      <c r="F389" t="str">
        <f ca="1"/>
        <v/>
      </c>
      <c r="G389" t="str">
        <f ca="1"/>
        <v/>
      </c>
      <c r="H389" s="17" t="str">
        <f ca="1"/>
        <v/>
      </c>
    </row>
    <row r="390" spans="2:8" x14ac:dyDescent="0.35">
      <c r="B390" t="str">
        <f ca="1"/>
        <v/>
      </c>
      <c r="C390" t="str">
        <f ca="1"/>
        <v/>
      </c>
      <c r="D390" t="str">
        <f ca="1"/>
        <v/>
      </c>
      <c r="E390" t="str">
        <f ca="1"/>
        <v/>
      </c>
      <c r="F390" t="str">
        <f ca="1"/>
        <v/>
      </c>
      <c r="G390" t="str">
        <f ca="1"/>
        <v/>
      </c>
      <c r="H390" s="17" t="str">
        <f ca="1"/>
        <v/>
      </c>
    </row>
    <row r="391" spans="2:8" x14ac:dyDescent="0.35">
      <c r="B391" t="str">
        <f ca="1"/>
        <v/>
      </c>
      <c r="C391" t="str">
        <f ca="1"/>
        <v/>
      </c>
      <c r="D391" t="str">
        <f ca="1"/>
        <v/>
      </c>
      <c r="E391" t="str">
        <f ca="1"/>
        <v/>
      </c>
      <c r="F391" t="str">
        <f ca="1"/>
        <v/>
      </c>
      <c r="G391" t="str">
        <f ca="1"/>
        <v/>
      </c>
      <c r="H391" s="17" t="str">
        <f ca="1"/>
        <v/>
      </c>
    </row>
    <row r="392" spans="2:8" x14ac:dyDescent="0.35">
      <c r="B392" t="str">
        <f ca="1"/>
        <v/>
      </c>
      <c r="C392" t="str">
        <f ca="1"/>
        <v/>
      </c>
      <c r="D392" t="str">
        <f ca="1"/>
        <v/>
      </c>
      <c r="E392" t="str">
        <f ca="1"/>
        <v/>
      </c>
      <c r="F392" t="str">
        <f ca="1"/>
        <v/>
      </c>
      <c r="G392" t="str">
        <f ca="1"/>
        <v/>
      </c>
      <c r="H392" s="17" t="str">
        <f ca="1"/>
        <v/>
      </c>
    </row>
    <row r="393" spans="2:8" x14ac:dyDescent="0.35">
      <c r="B393" t="str">
        <f ca="1"/>
        <v/>
      </c>
      <c r="C393" t="str">
        <f ca="1"/>
        <v/>
      </c>
      <c r="D393" t="str">
        <f ca="1"/>
        <v/>
      </c>
      <c r="E393" t="str">
        <f ca="1"/>
        <v/>
      </c>
      <c r="F393" t="str">
        <f ca="1"/>
        <v/>
      </c>
      <c r="G393" t="str">
        <f ca="1"/>
        <v/>
      </c>
      <c r="H393" s="17" t="str">
        <f ca="1"/>
        <v/>
      </c>
    </row>
    <row r="394" spans="2:8" x14ac:dyDescent="0.35">
      <c r="B394" t="str">
        <f ca="1"/>
        <v/>
      </c>
      <c r="C394" t="str">
        <f ca="1"/>
        <v/>
      </c>
      <c r="D394" t="str">
        <f ca="1"/>
        <v/>
      </c>
      <c r="E394" t="str">
        <f ca="1"/>
        <v/>
      </c>
      <c r="F394" t="str">
        <f ca="1"/>
        <v/>
      </c>
      <c r="G394" t="str">
        <f ca="1"/>
        <v/>
      </c>
      <c r="H394" s="17" t="str">
        <f ca="1"/>
        <v/>
      </c>
    </row>
    <row r="395" spans="2:8" x14ac:dyDescent="0.35">
      <c r="B395" t="str">
        <f ca="1"/>
        <v/>
      </c>
      <c r="C395" t="str">
        <f ca="1"/>
        <v/>
      </c>
      <c r="D395" t="str">
        <f ca="1"/>
        <v/>
      </c>
      <c r="E395" t="str">
        <f ca="1"/>
        <v/>
      </c>
      <c r="F395" t="str">
        <f ca="1"/>
        <v/>
      </c>
      <c r="G395" t="str">
        <f ca="1"/>
        <v/>
      </c>
      <c r="H395" s="17" t="str">
        <f ca="1"/>
        <v/>
      </c>
    </row>
    <row r="396" spans="2:8" x14ac:dyDescent="0.35">
      <c r="B396" t="str">
        <f ca="1"/>
        <v/>
      </c>
      <c r="C396" t="str">
        <f ca="1"/>
        <v/>
      </c>
      <c r="D396" t="str">
        <f ca="1"/>
        <v/>
      </c>
      <c r="E396" t="str">
        <f ca="1"/>
        <v/>
      </c>
      <c r="F396" t="str">
        <f ca="1"/>
        <v/>
      </c>
      <c r="G396" t="str">
        <f ca="1"/>
        <v/>
      </c>
      <c r="H396" s="17" t="str">
        <f ca="1"/>
        <v/>
      </c>
    </row>
    <row r="397" spans="2:8" x14ac:dyDescent="0.35">
      <c r="B397" t="str">
        <f ca="1"/>
        <v/>
      </c>
      <c r="C397" t="str">
        <f ca="1"/>
        <v/>
      </c>
      <c r="D397" t="str">
        <f ca="1"/>
        <v/>
      </c>
      <c r="E397" t="str">
        <f ca="1"/>
        <v/>
      </c>
      <c r="F397" t="str">
        <f ca="1"/>
        <v/>
      </c>
      <c r="G397" t="str">
        <f ca="1"/>
        <v/>
      </c>
      <c r="H397" s="17" t="str">
        <f ca="1"/>
        <v/>
      </c>
    </row>
    <row r="398" spans="2:8" x14ac:dyDescent="0.35">
      <c r="B398" t="str">
        <f ca="1"/>
        <v/>
      </c>
      <c r="C398" t="str">
        <f ca="1"/>
        <v/>
      </c>
      <c r="D398" t="str">
        <f ca="1"/>
        <v/>
      </c>
      <c r="E398" t="str">
        <f ca="1"/>
        <v/>
      </c>
      <c r="F398" t="str">
        <f ca="1"/>
        <v/>
      </c>
      <c r="G398" t="str">
        <f ca="1"/>
        <v/>
      </c>
      <c r="H398" s="17" t="str">
        <f ca="1"/>
        <v/>
      </c>
    </row>
    <row r="399" spans="2:8" x14ac:dyDescent="0.35">
      <c r="B399" t="str">
        <f ca="1"/>
        <v/>
      </c>
      <c r="C399" t="str">
        <f ca="1"/>
        <v/>
      </c>
      <c r="D399" t="str">
        <f ca="1"/>
        <v/>
      </c>
      <c r="E399" t="str">
        <f ca="1"/>
        <v/>
      </c>
      <c r="F399" t="str">
        <f ca="1"/>
        <v/>
      </c>
      <c r="G399" t="str">
        <f ca="1"/>
        <v/>
      </c>
      <c r="H399" s="17" t="str">
        <f ca="1"/>
        <v/>
      </c>
    </row>
    <row r="400" spans="2:8" x14ac:dyDescent="0.35">
      <c r="B400" t="str">
        <f ca="1"/>
        <v/>
      </c>
      <c r="C400" t="str">
        <f ca="1"/>
        <v/>
      </c>
      <c r="D400" t="str">
        <f ca="1"/>
        <v/>
      </c>
      <c r="E400" t="str">
        <f ca="1"/>
        <v/>
      </c>
      <c r="F400" t="str">
        <f ca="1"/>
        <v/>
      </c>
      <c r="G400" t="str">
        <f ca="1"/>
        <v/>
      </c>
      <c r="H400" s="17" t="str">
        <f ca="1"/>
        <v/>
      </c>
    </row>
    <row r="401" spans="2:8" x14ac:dyDescent="0.35">
      <c r="B401" t="str">
        <f ca="1"/>
        <v/>
      </c>
      <c r="C401" t="str">
        <f ca="1"/>
        <v/>
      </c>
      <c r="D401" t="str">
        <f ca="1"/>
        <v/>
      </c>
      <c r="E401" t="str">
        <f ca="1"/>
        <v/>
      </c>
      <c r="F401" t="str">
        <f ca="1"/>
        <v/>
      </c>
      <c r="G401" t="str">
        <f ca="1"/>
        <v/>
      </c>
      <c r="H401" s="17" t="str">
        <f ca="1"/>
        <v/>
      </c>
    </row>
    <row r="402" spans="2:8" x14ac:dyDescent="0.35">
      <c r="B402" t="str">
        <f ca="1"/>
        <v/>
      </c>
      <c r="C402" t="str">
        <f ca="1"/>
        <v/>
      </c>
      <c r="D402" t="str">
        <f ca="1"/>
        <v/>
      </c>
      <c r="E402" t="str">
        <f ca="1"/>
        <v/>
      </c>
      <c r="F402" t="str">
        <f ca="1"/>
        <v/>
      </c>
      <c r="G402" t="str">
        <f ca="1"/>
        <v/>
      </c>
      <c r="H402" s="17" t="str">
        <f ca="1"/>
        <v/>
      </c>
    </row>
    <row r="403" spans="2:8" x14ac:dyDescent="0.35">
      <c r="B403" t="str">
        <f ca="1"/>
        <v/>
      </c>
      <c r="C403" t="str">
        <f ca="1"/>
        <v/>
      </c>
      <c r="D403" t="str">
        <f ca="1"/>
        <v/>
      </c>
      <c r="E403" t="str">
        <f ca="1"/>
        <v/>
      </c>
      <c r="F403" t="str">
        <f ca="1"/>
        <v/>
      </c>
      <c r="G403" t="str">
        <f ca="1"/>
        <v/>
      </c>
      <c r="H403" s="17" t="str">
        <f ca="1"/>
        <v/>
      </c>
    </row>
    <row r="404" spans="2:8" x14ac:dyDescent="0.35">
      <c r="B404" t="str">
        <f ca="1"/>
        <v/>
      </c>
      <c r="C404" t="str">
        <f ca="1"/>
        <v/>
      </c>
      <c r="D404" t="str">
        <f ca="1"/>
        <v/>
      </c>
      <c r="E404" t="str">
        <f ca="1"/>
        <v/>
      </c>
      <c r="F404" t="str">
        <f ca="1"/>
        <v/>
      </c>
      <c r="G404" t="str">
        <f ca="1"/>
        <v/>
      </c>
      <c r="H404" s="17" t="str">
        <f ca="1"/>
        <v/>
      </c>
    </row>
    <row r="405" spans="2:8" x14ac:dyDescent="0.35">
      <c r="B405" t="str">
        <f ca="1"/>
        <v/>
      </c>
      <c r="C405" t="str">
        <f ca="1"/>
        <v/>
      </c>
      <c r="D405" t="str">
        <f ca="1"/>
        <v/>
      </c>
      <c r="E405" t="str">
        <f ca="1"/>
        <v/>
      </c>
      <c r="F405" t="str">
        <f ca="1"/>
        <v/>
      </c>
      <c r="G405" t="str">
        <f ca="1"/>
        <v/>
      </c>
      <c r="H405" s="17" t="str">
        <f ca="1"/>
        <v/>
      </c>
    </row>
    <row r="406" spans="2:8" x14ac:dyDescent="0.35">
      <c r="B406" t="str">
        <f ca="1"/>
        <v/>
      </c>
      <c r="C406" t="str">
        <f ca="1"/>
        <v/>
      </c>
      <c r="D406" t="str">
        <f ca="1"/>
        <v/>
      </c>
      <c r="E406" t="str">
        <f ca="1"/>
        <v/>
      </c>
      <c r="F406" t="str">
        <f ca="1"/>
        <v/>
      </c>
      <c r="G406" t="str">
        <f ca="1"/>
        <v/>
      </c>
      <c r="H406" s="17" t="str">
        <f ca="1"/>
        <v/>
      </c>
    </row>
    <row r="407" spans="2:8" x14ac:dyDescent="0.35">
      <c r="B407" t="str">
        <f ca="1"/>
        <v/>
      </c>
      <c r="C407" t="str">
        <f ca="1"/>
        <v/>
      </c>
      <c r="D407" t="str">
        <f ca="1"/>
        <v/>
      </c>
      <c r="E407" t="str">
        <f ca="1"/>
        <v/>
      </c>
      <c r="F407" t="str">
        <f ca="1"/>
        <v/>
      </c>
      <c r="G407" t="str">
        <f ca="1"/>
        <v/>
      </c>
      <c r="H407" s="17" t="str">
        <f ca="1"/>
        <v/>
      </c>
    </row>
    <row r="408" spans="2:8" x14ac:dyDescent="0.35">
      <c r="B408" t="str">
        <f ca="1"/>
        <v/>
      </c>
      <c r="C408" t="str">
        <f ca="1"/>
        <v/>
      </c>
      <c r="D408" t="str">
        <f ca="1"/>
        <v/>
      </c>
      <c r="E408" t="str">
        <f ca="1"/>
        <v/>
      </c>
      <c r="F408" t="str">
        <f ca="1"/>
        <v/>
      </c>
      <c r="G408" t="str">
        <f ca="1"/>
        <v/>
      </c>
      <c r="H408" s="17" t="str">
        <f ca="1"/>
        <v/>
      </c>
    </row>
    <row r="409" spans="2:8" x14ac:dyDescent="0.35">
      <c r="B409" t="str">
        <f ca="1"/>
        <v/>
      </c>
      <c r="C409" t="str">
        <f ca="1"/>
        <v/>
      </c>
      <c r="D409" t="str">
        <f ca="1"/>
        <v/>
      </c>
      <c r="E409" t="str">
        <f ca="1"/>
        <v/>
      </c>
      <c r="F409" t="str">
        <f ca="1"/>
        <v/>
      </c>
      <c r="G409" t="str">
        <f ca="1"/>
        <v/>
      </c>
      <c r="H409" s="17" t="str">
        <f ca="1"/>
        <v/>
      </c>
    </row>
    <row r="410" spans="2:8" x14ac:dyDescent="0.35">
      <c r="B410" t="str">
        <f ca="1"/>
        <v/>
      </c>
      <c r="C410" t="str">
        <f ca="1"/>
        <v/>
      </c>
      <c r="D410" t="str">
        <f ca="1"/>
        <v/>
      </c>
      <c r="E410" t="str">
        <f ca="1"/>
        <v/>
      </c>
      <c r="F410" t="str">
        <f ca="1"/>
        <v/>
      </c>
      <c r="G410" t="str">
        <f ca="1"/>
        <v/>
      </c>
      <c r="H410" s="17" t="str">
        <f ca="1"/>
        <v/>
      </c>
    </row>
    <row r="411" spans="2:8" x14ac:dyDescent="0.35">
      <c r="B411" t="str">
        <f ca="1"/>
        <v/>
      </c>
      <c r="C411" t="str">
        <f ca="1"/>
        <v/>
      </c>
      <c r="D411" t="str">
        <f ca="1"/>
        <v/>
      </c>
      <c r="E411" t="str">
        <f ca="1"/>
        <v/>
      </c>
      <c r="F411" t="str">
        <f ca="1"/>
        <v/>
      </c>
      <c r="G411" t="str">
        <f ca="1"/>
        <v/>
      </c>
      <c r="H411" s="17" t="str">
        <f ca="1"/>
        <v/>
      </c>
    </row>
    <row r="412" spans="2:8" x14ac:dyDescent="0.35">
      <c r="B412" t="str">
        <f ca="1"/>
        <v/>
      </c>
      <c r="C412" t="str">
        <f ca="1"/>
        <v/>
      </c>
      <c r="D412" t="str">
        <f ca="1"/>
        <v/>
      </c>
      <c r="E412" t="str">
        <f ca="1"/>
        <v/>
      </c>
      <c r="F412" t="str">
        <f ca="1"/>
        <v/>
      </c>
      <c r="G412" t="str">
        <f ca="1"/>
        <v/>
      </c>
      <c r="H412" s="17" t="str">
        <f ca="1"/>
        <v/>
      </c>
    </row>
    <row r="413" spans="2:8" x14ac:dyDescent="0.35">
      <c r="B413" t="str">
        <f ca="1"/>
        <v/>
      </c>
      <c r="C413" t="str">
        <f ca="1"/>
        <v/>
      </c>
      <c r="D413" t="str">
        <f ca="1"/>
        <v/>
      </c>
      <c r="E413" t="str">
        <f ca="1"/>
        <v/>
      </c>
      <c r="F413" t="str">
        <f ca="1"/>
        <v/>
      </c>
      <c r="G413" t="str">
        <f ca="1"/>
        <v/>
      </c>
      <c r="H413" s="17" t="str">
        <f ca="1"/>
        <v/>
      </c>
    </row>
    <row r="414" spans="2:8" x14ac:dyDescent="0.35">
      <c r="B414" t="str">
        <f ca="1"/>
        <v/>
      </c>
      <c r="C414" t="str">
        <f ca="1"/>
        <v/>
      </c>
      <c r="D414" t="str">
        <f ca="1"/>
        <v/>
      </c>
      <c r="E414" t="str">
        <f ca="1"/>
        <v/>
      </c>
      <c r="F414" t="str">
        <f ca="1"/>
        <v/>
      </c>
      <c r="G414" t="str">
        <f ca="1"/>
        <v/>
      </c>
      <c r="H414" s="17" t="str">
        <f ca="1"/>
        <v/>
      </c>
    </row>
    <row r="415" spans="2:8" x14ac:dyDescent="0.35">
      <c r="B415" t="str">
        <f ca="1"/>
        <v/>
      </c>
      <c r="C415" t="str">
        <f ca="1"/>
        <v/>
      </c>
      <c r="D415" t="str">
        <f ca="1"/>
        <v/>
      </c>
      <c r="E415" t="str">
        <f ca="1"/>
        <v/>
      </c>
      <c r="F415" t="str">
        <f ca="1"/>
        <v/>
      </c>
      <c r="G415" t="str">
        <f ca="1"/>
        <v/>
      </c>
      <c r="H415" s="17" t="str">
        <f ca="1"/>
        <v/>
      </c>
    </row>
    <row r="416" spans="2:8" x14ac:dyDescent="0.35">
      <c r="B416" t="str">
        <f ca="1"/>
        <v/>
      </c>
      <c r="C416" t="str">
        <f ca="1"/>
        <v/>
      </c>
      <c r="D416" t="str">
        <f ca="1"/>
        <v/>
      </c>
      <c r="E416" t="str">
        <f ca="1"/>
        <v/>
      </c>
      <c r="F416" t="str">
        <f ca="1"/>
        <v/>
      </c>
      <c r="G416" t="str">
        <f ca="1"/>
        <v/>
      </c>
      <c r="H416" s="17" t="str">
        <f ca="1"/>
        <v/>
      </c>
    </row>
    <row r="417" spans="2:8" x14ac:dyDescent="0.35">
      <c r="B417" t="str">
        <f ca="1"/>
        <v/>
      </c>
      <c r="C417" t="str">
        <f ca="1"/>
        <v/>
      </c>
      <c r="D417" t="str">
        <f ca="1"/>
        <v/>
      </c>
      <c r="E417" t="str">
        <f ca="1"/>
        <v/>
      </c>
      <c r="F417" t="str">
        <f ca="1"/>
        <v/>
      </c>
      <c r="G417" t="str">
        <f ca="1"/>
        <v/>
      </c>
      <c r="H417" s="17" t="str">
        <f ca="1"/>
        <v/>
      </c>
    </row>
    <row r="418" spans="2:8" x14ac:dyDescent="0.35">
      <c r="B418" t="str">
        <f ca="1"/>
        <v/>
      </c>
      <c r="C418" t="str">
        <f ca="1"/>
        <v/>
      </c>
      <c r="D418" t="str">
        <f ca="1"/>
        <v/>
      </c>
      <c r="E418" t="str">
        <f ca="1"/>
        <v/>
      </c>
      <c r="F418" t="str">
        <f ca="1"/>
        <v/>
      </c>
      <c r="G418" t="str">
        <f ca="1"/>
        <v/>
      </c>
      <c r="H418" s="17" t="str">
        <f ca="1"/>
        <v/>
      </c>
    </row>
    <row r="419" spans="2:8" x14ac:dyDescent="0.35">
      <c r="B419" t="str">
        <f ca="1"/>
        <v/>
      </c>
      <c r="C419" t="str">
        <f ca="1"/>
        <v/>
      </c>
      <c r="D419" t="str">
        <f ca="1"/>
        <v/>
      </c>
      <c r="E419" t="str">
        <f ca="1"/>
        <v/>
      </c>
      <c r="F419" t="str">
        <f ca="1"/>
        <v/>
      </c>
      <c r="G419" t="str">
        <f ca="1"/>
        <v/>
      </c>
      <c r="H419" s="17" t="str">
        <f ca="1"/>
        <v/>
      </c>
    </row>
    <row r="420" spans="2:8" x14ac:dyDescent="0.35">
      <c r="B420" t="str">
        <f ca="1"/>
        <v/>
      </c>
      <c r="C420" t="str">
        <f ca="1"/>
        <v/>
      </c>
      <c r="D420" t="str">
        <f ca="1"/>
        <v/>
      </c>
      <c r="E420" t="str">
        <f ca="1"/>
        <v/>
      </c>
      <c r="F420" t="str">
        <f ca="1"/>
        <v/>
      </c>
      <c r="G420" t="str">
        <f ca="1"/>
        <v/>
      </c>
      <c r="H420" s="17" t="str">
        <f ca="1"/>
        <v/>
      </c>
    </row>
    <row r="421" spans="2:8" x14ac:dyDescent="0.35">
      <c r="B421" t="str">
        <f ca="1"/>
        <v/>
      </c>
      <c r="C421" t="str">
        <f ca="1"/>
        <v/>
      </c>
      <c r="D421" t="str">
        <f ca="1"/>
        <v/>
      </c>
      <c r="E421" t="str">
        <f ca="1"/>
        <v/>
      </c>
      <c r="F421" t="str">
        <f ca="1"/>
        <v/>
      </c>
      <c r="G421" t="str">
        <f ca="1"/>
        <v/>
      </c>
      <c r="H421" s="17" t="str">
        <f ca="1"/>
        <v/>
      </c>
    </row>
    <row r="422" spans="2:8" x14ac:dyDescent="0.35">
      <c r="B422" t="str">
        <f ca="1"/>
        <v/>
      </c>
      <c r="C422" t="str">
        <f ca="1"/>
        <v/>
      </c>
      <c r="D422" t="str">
        <f ca="1"/>
        <v/>
      </c>
      <c r="E422" t="str">
        <f ca="1"/>
        <v/>
      </c>
      <c r="F422" t="str">
        <f ca="1"/>
        <v/>
      </c>
      <c r="G422" t="str">
        <f ca="1"/>
        <v/>
      </c>
      <c r="H422" s="17" t="str">
        <f ca="1"/>
        <v/>
      </c>
    </row>
    <row r="423" spans="2:8" x14ac:dyDescent="0.35">
      <c r="B423" t="str">
        <f ca="1"/>
        <v/>
      </c>
      <c r="C423" t="str">
        <f ca="1"/>
        <v/>
      </c>
      <c r="D423" t="str">
        <f ca="1"/>
        <v/>
      </c>
      <c r="E423" t="str">
        <f ca="1"/>
        <v/>
      </c>
      <c r="F423" t="str">
        <f ca="1"/>
        <v/>
      </c>
      <c r="G423" t="str">
        <f ca="1"/>
        <v/>
      </c>
      <c r="H423" s="17" t="str">
        <f ca="1"/>
        <v/>
      </c>
    </row>
    <row r="424" spans="2:8" x14ac:dyDescent="0.35">
      <c r="B424" t="str">
        <f ca="1"/>
        <v/>
      </c>
      <c r="C424" t="str">
        <f ca="1"/>
        <v/>
      </c>
      <c r="D424" t="str">
        <f ca="1"/>
        <v/>
      </c>
      <c r="E424" t="str">
        <f ca="1"/>
        <v/>
      </c>
      <c r="F424" t="str">
        <f ca="1"/>
        <v/>
      </c>
      <c r="G424" t="str">
        <f ca="1"/>
        <v/>
      </c>
      <c r="H424" s="17" t="str">
        <f ca="1"/>
        <v/>
      </c>
    </row>
    <row r="425" spans="2:8" x14ac:dyDescent="0.35">
      <c r="B425" t="str">
        <f ca="1"/>
        <v/>
      </c>
      <c r="C425" t="str">
        <f ca="1"/>
        <v/>
      </c>
      <c r="D425" t="str">
        <f ca="1"/>
        <v/>
      </c>
      <c r="E425" t="str">
        <f ca="1"/>
        <v/>
      </c>
      <c r="F425" t="str">
        <f ca="1"/>
        <v/>
      </c>
      <c r="G425" t="str">
        <f ca="1"/>
        <v/>
      </c>
      <c r="H425" s="17" t="str">
        <f ca="1"/>
        <v/>
      </c>
    </row>
    <row r="426" spans="2:8" x14ac:dyDescent="0.35">
      <c r="B426" t="str">
        <f ca="1"/>
        <v/>
      </c>
      <c r="C426" t="str">
        <f ca="1"/>
        <v/>
      </c>
      <c r="D426" t="str">
        <f ca="1"/>
        <v/>
      </c>
      <c r="E426" t="str">
        <f ca="1"/>
        <v/>
      </c>
      <c r="F426" t="str">
        <f ca="1"/>
        <v/>
      </c>
      <c r="G426" t="str">
        <f ca="1"/>
        <v/>
      </c>
      <c r="H426" s="17" t="str">
        <f ca="1"/>
        <v/>
      </c>
    </row>
    <row r="427" spans="2:8" x14ac:dyDescent="0.35">
      <c r="B427" t="str">
        <f ca="1"/>
        <v/>
      </c>
      <c r="C427" t="str">
        <f ca="1"/>
        <v/>
      </c>
      <c r="D427" t="str">
        <f ca="1"/>
        <v/>
      </c>
      <c r="E427" t="str">
        <f ca="1"/>
        <v/>
      </c>
      <c r="F427" t="str">
        <f ca="1"/>
        <v/>
      </c>
      <c r="G427" t="str">
        <f ca="1"/>
        <v/>
      </c>
      <c r="H427" s="17" t="str">
        <f ca="1"/>
        <v/>
      </c>
    </row>
    <row r="428" spans="2:8" x14ac:dyDescent="0.35">
      <c r="B428" t="str">
        <f ca="1"/>
        <v/>
      </c>
      <c r="C428" t="str">
        <f ca="1"/>
        <v/>
      </c>
      <c r="D428" t="str">
        <f ca="1"/>
        <v/>
      </c>
      <c r="E428" t="str">
        <f ca="1"/>
        <v/>
      </c>
      <c r="F428" t="str">
        <f ca="1"/>
        <v/>
      </c>
      <c r="G428" t="str">
        <f ca="1"/>
        <v/>
      </c>
      <c r="H428" s="17" t="str">
        <f ca="1"/>
        <v/>
      </c>
    </row>
    <row r="429" spans="2:8" x14ac:dyDescent="0.35">
      <c r="B429" t="str">
        <f ca="1"/>
        <v/>
      </c>
      <c r="C429" t="str">
        <f ca="1"/>
        <v/>
      </c>
      <c r="D429" t="str">
        <f ca="1"/>
        <v/>
      </c>
      <c r="E429" t="str">
        <f ca="1"/>
        <v/>
      </c>
      <c r="F429" t="str">
        <f ca="1"/>
        <v/>
      </c>
      <c r="G429" t="str">
        <f ca="1"/>
        <v/>
      </c>
      <c r="H429" s="17" t="str">
        <f ca="1"/>
        <v/>
      </c>
    </row>
    <row r="430" spans="2:8" x14ac:dyDescent="0.35">
      <c r="B430" t="str">
        <f ca="1"/>
        <v/>
      </c>
      <c r="C430" t="str">
        <f ca="1"/>
        <v/>
      </c>
      <c r="D430" t="str">
        <f ca="1"/>
        <v/>
      </c>
      <c r="E430" t="str">
        <f ca="1"/>
        <v/>
      </c>
      <c r="F430" t="str">
        <f ca="1"/>
        <v/>
      </c>
      <c r="G430" t="str">
        <f ca="1"/>
        <v/>
      </c>
      <c r="H430" s="17" t="str">
        <f ca="1"/>
        <v/>
      </c>
    </row>
    <row r="431" spans="2:8" x14ac:dyDescent="0.35">
      <c r="B431" t="str">
        <f ca="1"/>
        <v/>
      </c>
      <c r="C431" t="str">
        <f ca="1"/>
        <v/>
      </c>
      <c r="D431" t="str">
        <f ca="1"/>
        <v/>
      </c>
      <c r="E431" t="str">
        <f ca="1"/>
        <v/>
      </c>
      <c r="F431" t="str">
        <f ca="1"/>
        <v/>
      </c>
      <c r="G431" t="str">
        <f ca="1"/>
        <v/>
      </c>
      <c r="H431" s="17" t="str">
        <f ca="1"/>
        <v/>
      </c>
    </row>
    <row r="432" spans="2:8" x14ac:dyDescent="0.35">
      <c r="B432" t="str">
        <f ca="1"/>
        <v/>
      </c>
      <c r="C432" t="str">
        <f ca="1"/>
        <v/>
      </c>
      <c r="D432" t="str">
        <f ca="1"/>
        <v/>
      </c>
      <c r="E432" t="str">
        <f ca="1"/>
        <v/>
      </c>
      <c r="F432" t="str">
        <f ca="1"/>
        <v/>
      </c>
      <c r="G432" t="str">
        <f ca="1"/>
        <v/>
      </c>
      <c r="H432" s="17" t="str">
        <f ca="1"/>
        <v/>
      </c>
    </row>
    <row r="433" spans="2:8" x14ac:dyDescent="0.35">
      <c r="B433" t="str">
        <f ca="1"/>
        <v/>
      </c>
      <c r="C433" t="str">
        <f ca="1"/>
        <v/>
      </c>
      <c r="D433" t="str">
        <f ca="1"/>
        <v/>
      </c>
      <c r="E433" t="str">
        <f ca="1"/>
        <v/>
      </c>
      <c r="F433" t="str">
        <f ca="1"/>
        <v/>
      </c>
      <c r="G433" t="str">
        <f ca="1"/>
        <v/>
      </c>
      <c r="H433" s="17" t="str">
        <f ca="1"/>
        <v/>
      </c>
    </row>
    <row r="434" spans="2:8" x14ac:dyDescent="0.35">
      <c r="B434" t="str">
        <f ca="1"/>
        <v/>
      </c>
      <c r="C434" t="str">
        <f ca="1"/>
        <v/>
      </c>
      <c r="D434" t="str">
        <f ca="1"/>
        <v/>
      </c>
      <c r="E434" t="str">
        <f ca="1"/>
        <v/>
      </c>
      <c r="F434" t="str">
        <f ca="1"/>
        <v/>
      </c>
      <c r="G434" t="str">
        <f ca="1"/>
        <v/>
      </c>
      <c r="H434" s="17" t="str">
        <f ca="1"/>
        <v/>
      </c>
    </row>
    <row r="435" spans="2:8" x14ac:dyDescent="0.35">
      <c r="B435" t="str">
        <f ca="1"/>
        <v/>
      </c>
      <c r="C435" t="str">
        <f ca="1"/>
        <v/>
      </c>
      <c r="D435" t="str">
        <f ca="1"/>
        <v/>
      </c>
      <c r="E435" t="str">
        <f ca="1"/>
        <v/>
      </c>
      <c r="F435" t="str">
        <f ca="1"/>
        <v/>
      </c>
      <c r="G435" t="str">
        <f ca="1"/>
        <v/>
      </c>
      <c r="H435" s="17" t="str">
        <f ca="1"/>
        <v/>
      </c>
    </row>
    <row r="436" spans="2:8" x14ac:dyDescent="0.35">
      <c r="B436" t="str">
        <f ca="1"/>
        <v/>
      </c>
      <c r="C436" t="str">
        <f ca="1"/>
        <v/>
      </c>
      <c r="D436" t="str">
        <f ca="1"/>
        <v/>
      </c>
      <c r="E436" t="str">
        <f ca="1"/>
        <v/>
      </c>
      <c r="F436" t="str">
        <f ca="1"/>
        <v/>
      </c>
      <c r="G436" t="str">
        <f ca="1"/>
        <v/>
      </c>
      <c r="H436" s="17" t="str">
        <f ca="1"/>
        <v/>
      </c>
    </row>
    <row r="437" spans="2:8" x14ac:dyDescent="0.35">
      <c r="B437" t="str">
        <f ca="1"/>
        <v/>
      </c>
      <c r="C437" t="str">
        <f ca="1"/>
        <v/>
      </c>
      <c r="D437" t="str">
        <f ca="1"/>
        <v/>
      </c>
      <c r="E437" t="str">
        <f ca="1"/>
        <v/>
      </c>
      <c r="F437" t="str">
        <f ca="1"/>
        <v/>
      </c>
      <c r="G437" t="str">
        <f ca="1"/>
        <v/>
      </c>
      <c r="H437" s="17" t="str">
        <f ca="1"/>
        <v/>
      </c>
    </row>
    <row r="438" spans="2:8" x14ac:dyDescent="0.35">
      <c r="B438" t="str">
        <f ca="1"/>
        <v/>
      </c>
      <c r="C438" t="str">
        <f ca="1"/>
        <v/>
      </c>
      <c r="D438" t="str">
        <f ca="1"/>
        <v/>
      </c>
      <c r="E438" t="str">
        <f ca="1"/>
        <v/>
      </c>
      <c r="F438" t="str">
        <f ca="1"/>
        <v/>
      </c>
      <c r="G438" t="str">
        <f ca="1"/>
        <v/>
      </c>
      <c r="H438" s="17" t="str">
        <f ca="1"/>
        <v/>
      </c>
    </row>
    <row r="439" spans="2:8" x14ac:dyDescent="0.35">
      <c r="B439" t="str">
        <f ca="1"/>
        <v/>
      </c>
      <c r="C439" t="str">
        <f ca="1"/>
        <v/>
      </c>
      <c r="D439" t="str">
        <f ca="1"/>
        <v/>
      </c>
      <c r="E439" t="str">
        <f ca="1"/>
        <v/>
      </c>
      <c r="F439" t="str">
        <f ca="1"/>
        <v/>
      </c>
      <c r="G439" t="str">
        <f ca="1"/>
        <v/>
      </c>
      <c r="H439" s="17" t="str">
        <f ca="1"/>
        <v/>
      </c>
    </row>
    <row r="440" spans="2:8" x14ac:dyDescent="0.35">
      <c r="B440" t="str">
        <f ca="1"/>
        <v/>
      </c>
      <c r="C440" t="str">
        <f ca="1"/>
        <v/>
      </c>
      <c r="D440" t="str">
        <f ca="1"/>
        <v/>
      </c>
      <c r="E440" t="str">
        <f ca="1"/>
        <v/>
      </c>
      <c r="F440" t="str">
        <f ca="1"/>
        <v/>
      </c>
      <c r="G440" t="str">
        <f ca="1"/>
        <v/>
      </c>
      <c r="H440" s="17" t="str">
        <f ca="1"/>
        <v/>
      </c>
    </row>
    <row r="441" spans="2:8" x14ac:dyDescent="0.35">
      <c r="B441" t="str">
        <f ca="1"/>
        <v/>
      </c>
      <c r="C441" t="str">
        <f ca="1"/>
        <v/>
      </c>
      <c r="D441" t="str">
        <f ca="1"/>
        <v/>
      </c>
      <c r="E441" t="str">
        <f ca="1"/>
        <v/>
      </c>
      <c r="F441" t="str">
        <f ca="1"/>
        <v/>
      </c>
      <c r="G441" t="str">
        <f ca="1"/>
        <v/>
      </c>
      <c r="H441" s="17" t="str">
        <f ca="1"/>
        <v/>
      </c>
    </row>
    <row r="442" spans="2:8" x14ac:dyDescent="0.35">
      <c r="B442" t="str">
        <f ca="1"/>
        <v/>
      </c>
      <c r="C442" t="str">
        <f ca="1"/>
        <v/>
      </c>
      <c r="D442" t="str">
        <f ca="1"/>
        <v/>
      </c>
      <c r="E442" t="str">
        <f ca="1"/>
        <v/>
      </c>
      <c r="F442" t="str">
        <f ca="1"/>
        <v/>
      </c>
      <c r="G442" t="str">
        <f ca="1"/>
        <v/>
      </c>
      <c r="H442" s="17" t="str">
        <f ca="1"/>
        <v/>
      </c>
    </row>
    <row r="443" spans="2:8" x14ac:dyDescent="0.35">
      <c r="B443" t="str">
        <f ca="1"/>
        <v/>
      </c>
      <c r="C443" t="str">
        <f ca="1"/>
        <v/>
      </c>
      <c r="D443" t="str">
        <f ca="1"/>
        <v/>
      </c>
      <c r="E443" t="str">
        <f ca="1"/>
        <v/>
      </c>
      <c r="F443" t="str">
        <f ca="1"/>
        <v/>
      </c>
      <c r="G443" t="str">
        <f ca="1"/>
        <v/>
      </c>
      <c r="H443" s="17" t="str">
        <f ca="1"/>
        <v/>
      </c>
    </row>
    <row r="444" spans="2:8" x14ac:dyDescent="0.35">
      <c r="B444" t="str">
        <f ca="1"/>
        <v/>
      </c>
      <c r="C444" t="str">
        <f ca="1"/>
        <v/>
      </c>
      <c r="D444" t="str">
        <f ca="1"/>
        <v/>
      </c>
      <c r="E444" t="str">
        <f ca="1"/>
        <v/>
      </c>
      <c r="F444" t="str">
        <f ca="1"/>
        <v/>
      </c>
      <c r="G444" t="str">
        <f ca="1"/>
        <v/>
      </c>
      <c r="H444" s="17" t="str">
        <f ca="1"/>
        <v/>
      </c>
    </row>
    <row r="445" spans="2:8" x14ac:dyDescent="0.35">
      <c r="B445" t="str">
        <f ca="1"/>
        <v/>
      </c>
      <c r="C445" t="str">
        <f ca="1"/>
        <v/>
      </c>
      <c r="D445" t="str">
        <f ca="1"/>
        <v/>
      </c>
      <c r="E445" t="str">
        <f ca="1"/>
        <v/>
      </c>
      <c r="F445" t="str">
        <f ca="1"/>
        <v/>
      </c>
      <c r="G445" t="str">
        <f ca="1"/>
        <v/>
      </c>
      <c r="H445" s="17" t="str">
        <f ca="1"/>
        <v/>
      </c>
    </row>
    <row r="446" spans="2:8" x14ac:dyDescent="0.35">
      <c r="B446" t="str">
        <f ca="1"/>
        <v/>
      </c>
      <c r="C446" t="str">
        <f ca="1"/>
        <v/>
      </c>
      <c r="D446" t="str">
        <f ca="1"/>
        <v/>
      </c>
      <c r="E446" t="str">
        <f ca="1"/>
        <v/>
      </c>
      <c r="F446" t="str">
        <f ca="1"/>
        <v/>
      </c>
      <c r="G446" t="str">
        <f ca="1"/>
        <v/>
      </c>
      <c r="H446" s="17" t="str">
        <f ca="1"/>
        <v/>
      </c>
    </row>
    <row r="447" spans="2:8" x14ac:dyDescent="0.35">
      <c r="B447" t="str">
        <f ca="1"/>
        <v/>
      </c>
      <c r="C447" t="str">
        <f ca="1"/>
        <v/>
      </c>
      <c r="D447" t="str">
        <f ca="1"/>
        <v/>
      </c>
      <c r="E447" t="str">
        <f ca="1"/>
        <v/>
      </c>
      <c r="F447" t="str">
        <f ca="1"/>
        <v/>
      </c>
      <c r="G447" t="str">
        <f ca="1"/>
        <v/>
      </c>
      <c r="H447" s="17" t="str">
        <f ca="1"/>
        <v/>
      </c>
    </row>
    <row r="448" spans="2:8" x14ac:dyDescent="0.35">
      <c r="B448" t="str">
        <f ca="1"/>
        <v/>
      </c>
      <c r="C448" t="str">
        <f ca="1"/>
        <v/>
      </c>
      <c r="D448" t="str">
        <f ca="1"/>
        <v/>
      </c>
      <c r="E448" t="str">
        <f ca="1"/>
        <v/>
      </c>
      <c r="F448" t="str">
        <f ca="1"/>
        <v/>
      </c>
      <c r="G448" t="str">
        <f ca="1"/>
        <v/>
      </c>
      <c r="H448" s="17" t="str">
        <f ca="1"/>
        <v/>
      </c>
    </row>
    <row r="449" spans="2:8" x14ac:dyDescent="0.35">
      <c r="B449" t="str">
        <f ca="1"/>
        <v/>
      </c>
      <c r="C449" t="str">
        <f ca="1"/>
        <v/>
      </c>
      <c r="D449" t="str">
        <f ca="1"/>
        <v/>
      </c>
      <c r="E449" t="str">
        <f ca="1"/>
        <v/>
      </c>
      <c r="F449" t="str">
        <f ca="1"/>
        <v/>
      </c>
      <c r="G449" t="str">
        <f ca="1"/>
        <v/>
      </c>
      <c r="H449" s="17" t="str">
        <f ca="1"/>
        <v/>
      </c>
    </row>
    <row r="450" spans="2:8" x14ac:dyDescent="0.35">
      <c r="B450" t="str">
        <f ca="1"/>
        <v/>
      </c>
      <c r="C450" t="str">
        <f ca="1"/>
        <v/>
      </c>
      <c r="D450" t="str">
        <f ca="1"/>
        <v/>
      </c>
      <c r="E450" t="str">
        <f ca="1"/>
        <v/>
      </c>
      <c r="F450" t="str">
        <f ca="1"/>
        <v/>
      </c>
      <c r="G450" t="str">
        <f ca="1"/>
        <v/>
      </c>
      <c r="H450" s="17" t="str">
        <f ca="1"/>
        <v/>
      </c>
    </row>
    <row r="451" spans="2:8" x14ac:dyDescent="0.35">
      <c r="B451" t="str">
        <f ca="1"/>
        <v/>
      </c>
      <c r="C451" t="str">
        <f ca="1"/>
        <v/>
      </c>
      <c r="D451" t="str">
        <f ca="1"/>
        <v/>
      </c>
      <c r="E451" t="str">
        <f ca="1"/>
        <v/>
      </c>
      <c r="F451" t="str">
        <f ca="1"/>
        <v/>
      </c>
      <c r="G451" t="str">
        <f ca="1"/>
        <v/>
      </c>
      <c r="H451" s="17" t="str">
        <f ca="1"/>
        <v/>
      </c>
    </row>
    <row r="452" spans="2:8" x14ac:dyDescent="0.35">
      <c r="B452" t="str">
        <f ca="1"/>
        <v/>
      </c>
      <c r="C452" t="str">
        <f ca="1"/>
        <v/>
      </c>
      <c r="D452" t="str">
        <f ca="1"/>
        <v/>
      </c>
      <c r="E452" t="str">
        <f ca="1"/>
        <v/>
      </c>
      <c r="F452" t="str">
        <f ca="1"/>
        <v/>
      </c>
      <c r="G452" t="str">
        <f ca="1"/>
        <v/>
      </c>
      <c r="H452" s="17" t="str">
        <f ca="1"/>
        <v/>
      </c>
    </row>
    <row r="453" spans="2:8" x14ac:dyDescent="0.35">
      <c r="B453" t="str">
        <f ca="1"/>
        <v/>
      </c>
      <c r="C453" t="str">
        <f ca="1"/>
        <v/>
      </c>
      <c r="D453" t="str">
        <f ca="1"/>
        <v/>
      </c>
      <c r="E453" t="str">
        <f ca="1"/>
        <v/>
      </c>
      <c r="F453" t="str">
        <f ca="1"/>
        <v/>
      </c>
      <c r="G453" t="str">
        <f ca="1"/>
        <v/>
      </c>
      <c r="H453" s="17" t="str">
        <f ca="1"/>
        <v/>
      </c>
    </row>
    <row r="454" spans="2:8" x14ac:dyDescent="0.35">
      <c r="B454" t="str">
        <f ca="1"/>
        <v/>
      </c>
      <c r="C454" t="str">
        <f ca="1"/>
        <v/>
      </c>
      <c r="D454" t="str">
        <f ca="1"/>
        <v/>
      </c>
      <c r="E454" t="str">
        <f ca="1"/>
        <v/>
      </c>
      <c r="F454" t="str">
        <f ca="1"/>
        <v/>
      </c>
      <c r="G454" t="str">
        <f ca="1"/>
        <v/>
      </c>
      <c r="H454" s="17" t="str">
        <f ca="1"/>
        <v/>
      </c>
    </row>
    <row r="455" spans="2:8" x14ac:dyDescent="0.35">
      <c r="B455" t="str">
        <f ca="1"/>
        <v/>
      </c>
      <c r="C455" t="str">
        <f ca="1"/>
        <v/>
      </c>
      <c r="D455" t="str">
        <f ca="1"/>
        <v/>
      </c>
      <c r="E455" t="str">
        <f ca="1"/>
        <v/>
      </c>
      <c r="F455" t="str">
        <f ca="1"/>
        <v/>
      </c>
      <c r="G455" t="str">
        <f ca="1"/>
        <v/>
      </c>
      <c r="H455" s="17" t="str">
        <f ca="1"/>
        <v/>
      </c>
    </row>
    <row r="456" spans="2:8" x14ac:dyDescent="0.35">
      <c r="B456" t="str">
        <f ca="1"/>
        <v/>
      </c>
      <c r="C456" t="str">
        <f ca="1"/>
        <v/>
      </c>
      <c r="D456" t="str">
        <f ca="1"/>
        <v/>
      </c>
      <c r="E456" t="str">
        <f ca="1"/>
        <v/>
      </c>
      <c r="F456" t="str">
        <f ca="1"/>
        <v/>
      </c>
      <c r="G456" t="str">
        <f ca="1"/>
        <v/>
      </c>
      <c r="H456" s="17" t="str">
        <f ca="1"/>
        <v/>
      </c>
    </row>
    <row r="457" spans="2:8" x14ac:dyDescent="0.35">
      <c r="B457" t="str">
        <f ca="1"/>
        <v/>
      </c>
      <c r="C457" t="str">
        <f ca="1"/>
        <v/>
      </c>
      <c r="D457" t="str">
        <f ca="1"/>
        <v/>
      </c>
      <c r="E457" t="str">
        <f ca="1"/>
        <v/>
      </c>
      <c r="F457" t="str">
        <f ca="1"/>
        <v/>
      </c>
      <c r="G457" t="str">
        <f ca="1"/>
        <v/>
      </c>
      <c r="H457" s="17" t="str">
        <f ca="1"/>
        <v/>
      </c>
    </row>
    <row r="458" spans="2:8" x14ac:dyDescent="0.35">
      <c r="B458" t="str">
        <f ca="1"/>
        <v/>
      </c>
      <c r="C458" t="str">
        <f ca="1"/>
        <v/>
      </c>
      <c r="D458" t="str">
        <f ca="1"/>
        <v/>
      </c>
      <c r="E458" t="str">
        <f ca="1"/>
        <v/>
      </c>
      <c r="F458" t="str">
        <f ca="1"/>
        <v/>
      </c>
      <c r="G458" t="str">
        <f ca="1"/>
        <v/>
      </c>
      <c r="H458" s="17" t="str">
        <f ca="1"/>
        <v/>
      </c>
    </row>
    <row r="459" spans="2:8" x14ac:dyDescent="0.35">
      <c r="B459" t="str">
        <f ca="1"/>
        <v/>
      </c>
      <c r="C459" t="str">
        <f ca="1"/>
        <v/>
      </c>
      <c r="D459" t="str">
        <f ca="1"/>
        <v/>
      </c>
      <c r="E459" t="str">
        <f ca="1"/>
        <v/>
      </c>
      <c r="F459" t="str">
        <f ca="1"/>
        <v/>
      </c>
      <c r="G459" t="str">
        <f ca="1"/>
        <v/>
      </c>
      <c r="H459" s="17" t="str">
        <f ca="1"/>
        <v/>
      </c>
    </row>
    <row r="460" spans="2:8" x14ac:dyDescent="0.35">
      <c r="B460" t="str">
        <f ca="1"/>
        <v/>
      </c>
      <c r="C460" t="str">
        <f ca="1"/>
        <v/>
      </c>
      <c r="D460" t="str">
        <f ca="1"/>
        <v/>
      </c>
      <c r="E460" t="str">
        <f ca="1"/>
        <v/>
      </c>
      <c r="F460" t="str">
        <f ca="1"/>
        <v/>
      </c>
      <c r="G460" t="str">
        <f ca="1"/>
        <v/>
      </c>
      <c r="H460" s="17" t="str">
        <f ca="1"/>
        <v/>
      </c>
    </row>
    <row r="461" spans="2:8" x14ac:dyDescent="0.35">
      <c r="B461" t="str">
        <f ca="1"/>
        <v/>
      </c>
      <c r="C461" t="str">
        <f ca="1"/>
        <v/>
      </c>
      <c r="D461" t="str">
        <f ca="1"/>
        <v/>
      </c>
      <c r="E461" t="str">
        <f ca="1"/>
        <v/>
      </c>
      <c r="F461" t="str">
        <f ca="1"/>
        <v/>
      </c>
      <c r="G461" t="str">
        <f ca="1"/>
        <v/>
      </c>
      <c r="H461" s="17" t="str">
        <f ca="1"/>
        <v/>
      </c>
    </row>
    <row r="462" spans="2:8" x14ac:dyDescent="0.35">
      <c r="B462" t="str">
        <f ca="1"/>
        <v/>
      </c>
      <c r="C462" t="str">
        <f ca="1"/>
        <v/>
      </c>
      <c r="D462" t="str">
        <f ca="1"/>
        <v/>
      </c>
      <c r="E462" t="str">
        <f ca="1"/>
        <v/>
      </c>
      <c r="F462" t="str">
        <f ca="1"/>
        <v/>
      </c>
      <c r="G462" t="str">
        <f ca="1"/>
        <v/>
      </c>
      <c r="H462" s="17" t="str">
        <f ca="1"/>
        <v/>
      </c>
    </row>
    <row r="463" spans="2:8" x14ac:dyDescent="0.35">
      <c r="B463" t="str">
        <f ca="1"/>
        <v/>
      </c>
      <c r="C463" t="str">
        <f ca="1"/>
        <v/>
      </c>
      <c r="D463" t="str">
        <f ca="1"/>
        <v/>
      </c>
      <c r="E463" t="str">
        <f ca="1"/>
        <v/>
      </c>
      <c r="F463" t="str">
        <f ca="1"/>
        <v/>
      </c>
      <c r="G463" t="str">
        <f ca="1"/>
        <v/>
      </c>
      <c r="H463" s="17" t="str">
        <f ca="1"/>
        <v/>
      </c>
    </row>
    <row r="464" spans="2:8" x14ac:dyDescent="0.35">
      <c r="B464" t="str">
        <f ca="1"/>
        <v/>
      </c>
      <c r="C464" t="str">
        <f ca="1"/>
        <v/>
      </c>
      <c r="D464" t="str">
        <f ca="1"/>
        <v/>
      </c>
      <c r="E464" t="str">
        <f ca="1"/>
        <v/>
      </c>
      <c r="F464" t="str">
        <f ca="1"/>
        <v/>
      </c>
      <c r="G464" t="str">
        <f ca="1"/>
        <v/>
      </c>
      <c r="H464" s="17" t="str">
        <f ca="1"/>
        <v/>
      </c>
    </row>
    <row r="465" spans="2:8" x14ac:dyDescent="0.35">
      <c r="B465" t="str">
        <f ca="1"/>
        <v/>
      </c>
      <c r="C465" t="str">
        <f ca="1"/>
        <v/>
      </c>
      <c r="D465" t="str">
        <f ca="1"/>
        <v/>
      </c>
      <c r="E465" t="str">
        <f ca="1"/>
        <v/>
      </c>
      <c r="F465" t="str">
        <f ca="1"/>
        <v/>
      </c>
      <c r="G465" t="str">
        <f ca="1"/>
        <v/>
      </c>
      <c r="H465" s="17" t="str">
        <f ca="1"/>
        <v/>
      </c>
    </row>
    <row r="466" spans="2:8" x14ac:dyDescent="0.35">
      <c r="B466" t="str">
        <f ca="1"/>
        <v/>
      </c>
      <c r="C466" t="str">
        <f ca="1"/>
        <v/>
      </c>
      <c r="D466" t="str">
        <f ca="1"/>
        <v/>
      </c>
      <c r="E466" t="str">
        <f ca="1"/>
        <v/>
      </c>
      <c r="F466" t="str">
        <f ca="1"/>
        <v/>
      </c>
      <c r="G466" t="str">
        <f ca="1"/>
        <v/>
      </c>
      <c r="H466" s="17" t="str">
        <f ca="1"/>
        <v/>
      </c>
    </row>
    <row r="467" spans="2:8" x14ac:dyDescent="0.35">
      <c r="B467" t="str">
        <f ca="1"/>
        <v/>
      </c>
      <c r="C467" t="str">
        <f ca="1"/>
        <v/>
      </c>
      <c r="D467" t="str">
        <f ca="1"/>
        <v/>
      </c>
      <c r="E467" t="str">
        <f ca="1"/>
        <v/>
      </c>
      <c r="F467" t="str">
        <f ca="1"/>
        <v/>
      </c>
      <c r="G467" t="str">
        <f ca="1"/>
        <v/>
      </c>
      <c r="H467" s="17" t="str">
        <f ca="1"/>
        <v/>
      </c>
    </row>
    <row r="468" spans="2:8" x14ac:dyDescent="0.35">
      <c r="B468" t="str">
        <f ca="1"/>
        <v/>
      </c>
      <c r="C468" t="str">
        <f ca="1"/>
        <v/>
      </c>
      <c r="D468" t="str">
        <f ca="1"/>
        <v/>
      </c>
      <c r="E468" t="str">
        <f ca="1"/>
        <v/>
      </c>
      <c r="F468" t="str">
        <f ca="1"/>
        <v/>
      </c>
      <c r="G468" t="str">
        <f ca="1"/>
        <v/>
      </c>
      <c r="H468" s="17" t="str">
        <f ca="1"/>
        <v/>
      </c>
    </row>
    <row r="469" spans="2:8" x14ac:dyDescent="0.35">
      <c r="B469" t="str">
        <f ca="1"/>
        <v/>
      </c>
      <c r="C469" t="str">
        <f ca="1"/>
        <v/>
      </c>
      <c r="D469" t="str">
        <f ca="1"/>
        <v/>
      </c>
      <c r="E469" t="str">
        <f ca="1"/>
        <v/>
      </c>
      <c r="F469" t="str">
        <f ca="1"/>
        <v/>
      </c>
      <c r="G469" t="str">
        <f ca="1"/>
        <v/>
      </c>
      <c r="H469" s="17" t="str">
        <f ca="1"/>
        <v/>
      </c>
    </row>
    <row r="470" spans="2:8" x14ac:dyDescent="0.35">
      <c r="B470" t="str">
        <f ca="1"/>
        <v/>
      </c>
      <c r="C470" t="str">
        <f ca="1"/>
        <v/>
      </c>
      <c r="D470" t="str">
        <f ca="1"/>
        <v/>
      </c>
      <c r="E470" t="str">
        <f ca="1"/>
        <v/>
      </c>
      <c r="F470" t="str">
        <f ca="1"/>
        <v/>
      </c>
      <c r="G470" t="str">
        <f ca="1"/>
        <v/>
      </c>
      <c r="H470" s="17" t="str">
        <f ca="1"/>
        <v/>
      </c>
    </row>
    <row r="471" spans="2:8" x14ac:dyDescent="0.35">
      <c r="B471" t="str">
        <f ca="1"/>
        <v/>
      </c>
      <c r="C471" t="str">
        <f ca="1"/>
        <v/>
      </c>
      <c r="D471" t="str">
        <f ca="1"/>
        <v/>
      </c>
      <c r="E471" t="str">
        <f ca="1"/>
        <v/>
      </c>
      <c r="F471" t="str">
        <f ca="1"/>
        <v/>
      </c>
      <c r="G471" t="str">
        <f ca="1"/>
        <v/>
      </c>
      <c r="H471" s="17" t="str">
        <f ca="1"/>
        <v/>
      </c>
    </row>
    <row r="472" spans="2:8" x14ac:dyDescent="0.35">
      <c r="B472" t="str">
        <f ca="1"/>
        <v/>
      </c>
      <c r="C472" t="str">
        <f ca="1"/>
        <v/>
      </c>
      <c r="D472" t="str">
        <f ca="1"/>
        <v/>
      </c>
      <c r="E472" t="str">
        <f ca="1"/>
        <v/>
      </c>
      <c r="F472" t="str">
        <f ca="1"/>
        <v/>
      </c>
      <c r="G472" t="str">
        <f ca="1"/>
        <v/>
      </c>
      <c r="H472" s="17" t="str">
        <f ca="1"/>
        <v/>
      </c>
    </row>
    <row r="473" spans="2:8" x14ac:dyDescent="0.35">
      <c r="B473" t="str">
        <f ca="1"/>
        <v/>
      </c>
      <c r="C473" t="str">
        <f ca="1"/>
        <v/>
      </c>
      <c r="D473" t="str">
        <f ca="1"/>
        <v/>
      </c>
      <c r="E473" t="str">
        <f ca="1"/>
        <v/>
      </c>
      <c r="F473" t="str">
        <f ca="1"/>
        <v/>
      </c>
      <c r="G473" t="str">
        <f ca="1"/>
        <v/>
      </c>
      <c r="H473" s="17" t="str">
        <f ca="1"/>
        <v/>
      </c>
    </row>
    <row r="474" spans="2:8" x14ac:dyDescent="0.35">
      <c r="B474" t="str">
        <f ca="1"/>
        <v/>
      </c>
      <c r="C474" t="str">
        <f ca="1"/>
        <v/>
      </c>
      <c r="D474" t="str">
        <f ca="1"/>
        <v/>
      </c>
      <c r="E474" t="str">
        <f ca="1"/>
        <v/>
      </c>
      <c r="F474" t="str">
        <f ca="1"/>
        <v/>
      </c>
      <c r="G474" t="str">
        <f ca="1"/>
        <v/>
      </c>
      <c r="H474" s="17" t="str">
        <f ca="1"/>
        <v/>
      </c>
    </row>
    <row r="475" spans="2:8" x14ac:dyDescent="0.35">
      <c r="B475" t="str">
        <f ca="1"/>
        <v/>
      </c>
      <c r="C475" t="str">
        <f ca="1"/>
        <v/>
      </c>
      <c r="D475" t="str">
        <f ca="1"/>
        <v/>
      </c>
      <c r="E475" t="str">
        <f ca="1"/>
        <v/>
      </c>
      <c r="F475" t="str">
        <f ca="1"/>
        <v/>
      </c>
      <c r="G475" t="str">
        <f ca="1"/>
        <v/>
      </c>
      <c r="H475" s="17" t="str">
        <f ca="1"/>
        <v/>
      </c>
    </row>
    <row r="476" spans="2:8" x14ac:dyDescent="0.35">
      <c r="B476" t="str">
        <f ca="1"/>
        <v/>
      </c>
      <c r="C476" t="str">
        <f ca="1"/>
        <v/>
      </c>
      <c r="D476" t="str">
        <f ca="1"/>
        <v/>
      </c>
      <c r="E476" t="str">
        <f ca="1"/>
        <v/>
      </c>
      <c r="F476" t="str">
        <f ca="1"/>
        <v/>
      </c>
      <c r="G476" t="str">
        <f ca="1"/>
        <v/>
      </c>
      <c r="H476" s="17" t="str">
        <f ca="1"/>
        <v/>
      </c>
    </row>
    <row r="477" spans="2:8" x14ac:dyDescent="0.35">
      <c r="B477" t="str">
        <f ca="1"/>
        <v/>
      </c>
      <c r="C477" t="str">
        <f ca="1"/>
        <v/>
      </c>
      <c r="D477" t="str">
        <f ca="1"/>
        <v/>
      </c>
      <c r="E477" t="str">
        <f ca="1"/>
        <v/>
      </c>
      <c r="F477" t="str">
        <f ca="1"/>
        <v/>
      </c>
      <c r="G477" t="str">
        <f ca="1"/>
        <v/>
      </c>
      <c r="H477" s="17" t="str">
        <f ca="1"/>
        <v/>
      </c>
    </row>
    <row r="478" spans="2:8" x14ac:dyDescent="0.35">
      <c r="B478" t="str">
        <f ca="1"/>
        <v/>
      </c>
      <c r="C478" t="str">
        <f ca="1"/>
        <v/>
      </c>
      <c r="D478" t="str">
        <f ca="1"/>
        <v/>
      </c>
      <c r="E478" t="str">
        <f ca="1"/>
        <v/>
      </c>
      <c r="F478" t="str">
        <f ca="1"/>
        <v/>
      </c>
      <c r="G478" t="str">
        <f ca="1"/>
        <v/>
      </c>
      <c r="H478" s="17" t="str">
        <f ca="1"/>
        <v/>
      </c>
    </row>
    <row r="479" spans="2:8" x14ac:dyDescent="0.35">
      <c r="B479" t="str">
        <f ca="1"/>
        <v/>
      </c>
      <c r="C479" t="str">
        <f ca="1"/>
        <v/>
      </c>
      <c r="D479" t="str">
        <f ca="1"/>
        <v/>
      </c>
      <c r="E479" t="str">
        <f ca="1"/>
        <v/>
      </c>
      <c r="F479" t="str">
        <f ca="1"/>
        <v/>
      </c>
      <c r="G479" t="str">
        <f ca="1"/>
        <v/>
      </c>
      <c r="H479" s="17" t="str">
        <f ca="1"/>
        <v/>
      </c>
    </row>
    <row r="480" spans="2:8" x14ac:dyDescent="0.35">
      <c r="B480" t="str">
        <f ca="1"/>
        <v/>
      </c>
      <c r="C480" t="str">
        <f ca="1"/>
        <v/>
      </c>
      <c r="D480" t="str">
        <f ca="1"/>
        <v/>
      </c>
      <c r="E480" t="str">
        <f ca="1"/>
        <v/>
      </c>
      <c r="F480" t="str">
        <f ca="1"/>
        <v/>
      </c>
      <c r="G480" t="str">
        <f ca="1"/>
        <v/>
      </c>
      <c r="H480" s="17" t="str">
        <f ca="1"/>
        <v/>
      </c>
    </row>
    <row r="481" spans="2:8" x14ac:dyDescent="0.35">
      <c r="B481" t="str">
        <f ca="1"/>
        <v/>
      </c>
      <c r="C481" t="str">
        <f ca="1"/>
        <v/>
      </c>
      <c r="D481" t="str">
        <f ca="1"/>
        <v/>
      </c>
      <c r="E481" t="str">
        <f ca="1"/>
        <v/>
      </c>
      <c r="F481" t="str">
        <f ca="1"/>
        <v/>
      </c>
      <c r="G481" t="str">
        <f ca="1"/>
        <v/>
      </c>
      <c r="H481" s="17" t="str">
        <f ca="1"/>
        <v/>
      </c>
    </row>
    <row r="482" spans="2:8" x14ac:dyDescent="0.35">
      <c r="B482" t="str">
        <f ca="1"/>
        <v/>
      </c>
      <c r="C482" t="str">
        <f ca="1"/>
        <v/>
      </c>
      <c r="D482" t="str">
        <f ca="1"/>
        <v/>
      </c>
      <c r="E482" t="str">
        <f ca="1"/>
        <v/>
      </c>
      <c r="F482" t="str">
        <f ca="1"/>
        <v/>
      </c>
      <c r="G482" t="str">
        <f ca="1"/>
        <v/>
      </c>
      <c r="H482" s="17" t="str">
        <f ca="1"/>
        <v/>
      </c>
    </row>
    <row r="483" spans="2:8" x14ac:dyDescent="0.35">
      <c r="B483" t="str">
        <f ca="1"/>
        <v/>
      </c>
      <c r="C483" t="str">
        <f ca="1"/>
        <v/>
      </c>
      <c r="D483" t="str">
        <f ca="1"/>
        <v/>
      </c>
      <c r="E483" t="str">
        <f ca="1"/>
        <v/>
      </c>
      <c r="F483" t="str">
        <f ca="1"/>
        <v/>
      </c>
      <c r="G483" t="str">
        <f ca="1"/>
        <v/>
      </c>
      <c r="H483" s="17" t="str">
        <f ca="1"/>
        <v/>
      </c>
    </row>
    <row r="484" spans="2:8" x14ac:dyDescent="0.35">
      <c r="B484" t="str">
        <f ca="1"/>
        <v/>
      </c>
      <c r="C484" t="str">
        <f ca="1"/>
        <v/>
      </c>
      <c r="D484" t="str">
        <f ca="1"/>
        <v/>
      </c>
      <c r="E484" t="str">
        <f ca="1"/>
        <v/>
      </c>
      <c r="F484" t="str">
        <f ca="1"/>
        <v/>
      </c>
      <c r="G484" t="str">
        <f ca="1"/>
        <v/>
      </c>
      <c r="H484" s="17" t="str">
        <f ca="1"/>
        <v/>
      </c>
    </row>
    <row r="485" spans="2:8" x14ac:dyDescent="0.35">
      <c r="B485" t="str">
        <f ca="1"/>
        <v/>
      </c>
      <c r="C485" t="str">
        <f ca="1"/>
        <v/>
      </c>
      <c r="D485" t="str">
        <f ca="1"/>
        <v/>
      </c>
      <c r="E485" t="str">
        <f ca="1"/>
        <v/>
      </c>
      <c r="F485" t="str">
        <f ca="1"/>
        <v/>
      </c>
      <c r="G485" t="str">
        <f ca="1"/>
        <v/>
      </c>
      <c r="H485" s="17" t="str">
        <f ca="1"/>
        <v/>
      </c>
    </row>
    <row r="486" spans="2:8" x14ac:dyDescent="0.35">
      <c r="B486" t="str">
        <f ca="1"/>
        <v/>
      </c>
      <c r="C486" t="str">
        <f ca="1"/>
        <v/>
      </c>
      <c r="D486" t="str">
        <f ca="1"/>
        <v/>
      </c>
      <c r="E486" t="str">
        <f ca="1"/>
        <v/>
      </c>
      <c r="F486" t="str">
        <f ca="1"/>
        <v/>
      </c>
      <c r="G486" t="str">
        <f ca="1"/>
        <v/>
      </c>
      <c r="H486" s="17" t="str">
        <f ca="1"/>
        <v/>
      </c>
    </row>
    <row r="487" spans="2:8" x14ac:dyDescent="0.35">
      <c r="B487" t="str">
        <f ca="1"/>
        <v/>
      </c>
      <c r="C487" t="str">
        <f ca="1"/>
        <v/>
      </c>
      <c r="D487" t="str">
        <f ca="1"/>
        <v/>
      </c>
      <c r="E487" t="str">
        <f ca="1"/>
        <v/>
      </c>
      <c r="F487" t="str">
        <f ca="1"/>
        <v/>
      </c>
      <c r="G487" t="str">
        <f ca="1"/>
        <v/>
      </c>
      <c r="H487" s="17" t="str">
        <f ca="1"/>
        <v/>
      </c>
    </row>
    <row r="488" spans="2:8" x14ac:dyDescent="0.35">
      <c r="B488" t="str">
        <f ca="1"/>
        <v/>
      </c>
      <c r="C488" t="str">
        <f ca="1"/>
        <v/>
      </c>
      <c r="D488" t="str">
        <f ca="1"/>
        <v/>
      </c>
      <c r="E488" t="str">
        <f ca="1"/>
        <v/>
      </c>
      <c r="F488" t="str">
        <f ca="1"/>
        <v/>
      </c>
      <c r="G488" t="str">
        <f ca="1"/>
        <v/>
      </c>
      <c r="H488" s="17" t="str">
        <f ca="1"/>
        <v/>
      </c>
    </row>
    <row r="489" spans="2:8" x14ac:dyDescent="0.35">
      <c r="B489" t="str">
        <f ca="1"/>
        <v/>
      </c>
      <c r="C489" t="str">
        <f ca="1"/>
        <v/>
      </c>
      <c r="D489" t="str">
        <f ca="1"/>
        <v/>
      </c>
      <c r="E489" t="str">
        <f ca="1"/>
        <v/>
      </c>
      <c r="F489" t="str">
        <f ca="1"/>
        <v/>
      </c>
      <c r="G489" t="str">
        <f ca="1"/>
        <v/>
      </c>
      <c r="H489" s="17" t="str">
        <f ca="1"/>
        <v/>
      </c>
    </row>
    <row r="490" spans="2:8" x14ac:dyDescent="0.35">
      <c r="B490" t="str">
        <f ca="1"/>
        <v/>
      </c>
      <c r="C490" t="str">
        <f ca="1"/>
        <v/>
      </c>
      <c r="D490" t="str">
        <f ca="1"/>
        <v/>
      </c>
      <c r="E490" t="str">
        <f ca="1"/>
        <v/>
      </c>
      <c r="F490" t="str">
        <f ca="1"/>
        <v/>
      </c>
      <c r="G490" t="str">
        <f ca="1"/>
        <v/>
      </c>
      <c r="H490" s="17" t="str">
        <f ca="1"/>
        <v/>
      </c>
    </row>
    <row r="491" spans="2:8" x14ac:dyDescent="0.35">
      <c r="B491" t="str">
        <f ca="1"/>
        <v/>
      </c>
      <c r="C491" t="str">
        <f ca="1"/>
        <v/>
      </c>
      <c r="D491" t="str">
        <f ca="1"/>
        <v/>
      </c>
      <c r="E491" t="str">
        <f ca="1"/>
        <v/>
      </c>
      <c r="F491" t="str">
        <f ca="1"/>
        <v/>
      </c>
      <c r="G491" t="str">
        <f ca="1"/>
        <v/>
      </c>
      <c r="H491" s="17" t="str">
        <f ca="1"/>
        <v/>
      </c>
    </row>
    <row r="492" spans="2:8" x14ac:dyDescent="0.35">
      <c r="B492" t="str">
        <f ca="1"/>
        <v/>
      </c>
      <c r="C492" t="str">
        <f ca="1"/>
        <v/>
      </c>
      <c r="D492" t="str">
        <f ca="1"/>
        <v/>
      </c>
      <c r="E492" t="str">
        <f ca="1"/>
        <v/>
      </c>
      <c r="F492" t="str">
        <f ca="1"/>
        <v/>
      </c>
      <c r="G492" t="str">
        <f ca="1"/>
        <v/>
      </c>
      <c r="H492" s="17" t="str">
        <f ca="1"/>
        <v/>
      </c>
    </row>
    <row r="493" spans="2:8" x14ac:dyDescent="0.35">
      <c r="B493" t="str">
        <f ca="1"/>
        <v/>
      </c>
      <c r="C493" t="str">
        <f ca="1"/>
        <v/>
      </c>
      <c r="D493" t="str">
        <f ca="1"/>
        <v/>
      </c>
      <c r="E493" t="str">
        <f ca="1"/>
        <v/>
      </c>
      <c r="F493" t="str">
        <f ca="1"/>
        <v/>
      </c>
      <c r="G493" t="str">
        <f ca="1"/>
        <v/>
      </c>
      <c r="H493" s="17" t="str">
        <f ca="1"/>
        <v/>
      </c>
    </row>
    <row r="494" spans="2:8" x14ac:dyDescent="0.35">
      <c r="B494" t="str">
        <f ca="1"/>
        <v/>
      </c>
      <c r="C494" t="str">
        <f ca="1"/>
        <v/>
      </c>
      <c r="D494" t="str">
        <f ca="1"/>
        <v/>
      </c>
      <c r="E494" t="str">
        <f ca="1"/>
        <v/>
      </c>
      <c r="F494" t="str">
        <f ca="1"/>
        <v/>
      </c>
      <c r="G494" t="str">
        <f ca="1"/>
        <v/>
      </c>
      <c r="H494" s="17" t="str">
        <f ca="1"/>
        <v/>
      </c>
    </row>
    <row r="495" spans="2:8" x14ac:dyDescent="0.35">
      <c r="B495" t="str">
        <f ca="1"/>
        <v/>
      </c>
      <c r="C495" t="str">
        <f ca="1"/>
        <v/>
      </c>
      <c r="D495" t="str">
        <f ca="1"/>
        <v/>
      </c>
      <c r="E495" t="str">
        <f ca="1"/>
        <v/>
      </c>
      <c r="F495" t="str">
        <f ca="1"/>
        <v/>
      </c>
      <c r="G495" t="str">
        <f ca="1"/>
        <v/>
      </c>
      <c r="H495" s="17" t="str">
        <f ca="1"/>
        <v/>
      </c>
    </row>
    <row r="496" spans="2:8" x14ac:dyDescent="0.35">
      <c r="B496" t="str">
        <f ca="1"/>
        <v/>
      </c>
      <c r="C496" t="str">
        <f ca="1"/>
        <v/>
      </c>
      <c r="D496" t="str">
        <f ca="1"/>
        <v/>
      </c>
      <c r="E496" t="str">
        <f ca="1"/>
        <v/>
      </c>
      <c r="F496" t="str">
        <f ca="1"/>
        <v/>
      </c>
      <c r="G496" t="str">
        <f ca="1"/>
        <v/>
      </c>
      <c r="H496" s="17" t="str">
        <f ca="1"/>
        <v/>
      </c>
    </row>
    <row r="497" spans="2:8" x14ac:dyDescent="0.35">
      <c r="B497" t="str">
        <f ca="1"/>
        <v/>
      </c>
      <c r="C497" t="str">
        <f ca="1"/>
        <v/>
      </c>
      <c r="D497" t="str">
        <f ca="1"/>
        <v/>
      </c>
      <c r="E497" t="str">
        <f ca="1"/>
        <v/>
      </c>
      <c r="F497" t="str">
        <f ca="1"/>
        <v/>
      </c>
      <c r="G497" t="str">
        <f ca="1"/>
        <v/>
      </c>
      <c r="H497" s="17" t="str">
        <f ca="1"/>
        <v/>
      </c>
    </row>
    <row r="498" spans="2:8" x14ac:dyDescent="0.35">
      <c r="B498" t="str">
        <f ca="1"/>
        <v/>
      </c>
      <c r="C498" t="str">
        <f ca="1"/>
        <v/>
      </c>
      <c r="D498" t="str">
        <f ca="1"/>
        <v/>
      </c>
      <c r="E498" t="str">
        <f ca="1"/>
        <v/>
      </c>
      <c r="F498" t="str">
        <f ca="1"/>
        <v/>
      </c>
      <c r="G498" t="str">
        <f ca="1"/>
        <v/>
      </c>
      <c r="H498" s="17" t="str">
        <f ca="1"/>
        <v/>
      </c>
    </row>
    <row r="499" spans="2:8" x14ac:dyDescent="0.35">
      <c r="B499" t="str">
        <f ca="1"/>
        <v/>
      </c>
      <c r="C499" t="str">
        <f ca="1"/>
        <v/>
      </c>
      <c r="D499" t="str">
        <f ca="1"/>
        <v/>
      </c>
      <c r="E499" t="str">
        <f ca="1"/>
        <v/>
      </c>
      <c r="F499" t="str">
        <f ca="1"/>
        <v/>
      </c>
      <c r="G499" t="str">
        <f ca="1"/>
        <v/>
      </c>
      <c r="H499" s="17" t="str">
        <f ca="1"/>
        <v/>
      </c>
    </row>
    <row r="500" spans="2:8" x14ac:dyDescent="0.35">
      <c r="B500" t="str">
        <f ca="1"/>
        <v/>
      </c>
      <c r="C500" t="str">
        <f ca="1"/>
        <v/>
      </c>
      <c r="D500" t="str">
        <f ca="1"/>
        <v/>
      </c>
      <c r="E500" t="str">
        <f ca="1"/>
        <v/>
      </c>
      <c r="F500" t="str">
        <f ca="1"/>
        <v/>
      </c>
      <c r="G500" t="str">
        <f ca="1"/>
        <v/>
      </c>
      <c r="H500" s="17" t="str">
        <f ca="1"/>
        <v/>
      </c>
    </row>
    <row r="501" spans="2:8" x14ac:dyDescent="0.35">
      <c r="B501" t="str">
        <f ca="1"/>
        <v/>
      </c>
      <c r="C501" t="str">
        <f ca="1"/>
        <v/>
      </c>
      <c r="D501" t="str">
        <f ca="1"/>
        <v/>
      </c>
      <c r="E501" t="str">
        <f ca="1"/>
        <v/>
      </c>
      <c r="F501" t="str">
        <f ca="1"/>
        <v/>
      </c>
      <c r="G501" t="str">
        <f ca="1"/>
        <v/>
      </c>
      <c r="H501" s="17" t="str">
        <f ca="1"/>
        <v/>
      </c>
    </row>
    <row r="502" spans="2:8" x14ac:dyDescent="0.35">
      <c r="B502" t="str">
        <f ca="1"/>
        <v/>
      </c>
      <c r="C502" t="str">
        <f ca="1"/>
        <v/>
      </c>
      <c r="D502" t="str">
        <f ca="1"/>
        <v/>
      </c>
      <c r="E502" t="str">
        <f ca="1"/>
        <v/>
      </c>
      <c r="F502" t="str">
        <f ca="1"/>
        <v/>
      </c>
      <c r="G502" t="str">
        <f ca="1"/>
        <v/>
      </c>
      <c r="H502" s="17" t="str">
        <f ca="1"/>
        <v/>
      </c>
    </row>
    <row r="503" spans="2:8" x14ac:dyDescent="0.35">
      <c r="B503" t="str">
        <f ca="1"/>
        <v/>
      </c>
      <c r="C503" t="str">
        <f ca="1"/>
        <v/>
      </c>
      <c r="D503" t="str">
        <f ca="1"/>
        <v/>
      </c>
      <c r="E503" t="str">
        <f ca="1"/>
        <v/>
      </c>
      <c r="F503" t="str">
        <f ca="1"/>
        <v/>
      </c>
      <c r="G503" t="str">
        <f ca="1"/>
        <v/>
      </c>
      <c r="H503" s="17" t="str">
        <f ca="1"/>
        <v/>
      </c>
    </row>
    <row r="504" spans="2:8" x14ac:dyDescent="0.35">
      <c r="B504" t="str">
        <f ca="1"/>
        <v/>
      </c>
      <c r="C504" t="str">
        <f ca="1"/>
        <v/>
      </c>
      <c r="D504" t="str">
        <f ca="1"/>
        <v/>
      </c>
      <c r="E504" t="str">
        <f ca="1"/>
        <v/>
      </c>
      <c r="F504" t="str">
        <f ca="1"/>
        <v/>
      </c>
      <c r="G504" t="str">
        <f ca="1"/>
        <v/>
      </c>
      <c r="H504" s="17" t="str">
        <f ca="1"/>
        <v/>
      </c>
    </row>
    <row r="505" spans="2:8" x14ac:dyDescent="0.35">
      <c r="B505" t="str">
        <f ca="1"/>
        <v/>
      </c>
      <c r="C505" t="str">
        <f ca="1"/>
        <v/>
      </c>
      <c r="D505" t="str">
        <f ca="1"/>
        <v/>
      </c>
      <c r="E505" t="str">
        <f ca="1"/>
        <v/>
      </c>
      <c r="F505" t="str">
        <f ca="1"/>
        <v/>
      </c>
      <c r="G505" t="str">
        <f ca="1"/>
        <v/>
      </c>
      <c r="H505" s="17" t="str">
        <f ca="1"/>
        <v/>
      </c>
    </row>
    <row r="506" spans="2:8" x14ac:dyDescent="0.35">
      <c r="B506" t="str">
        <f ca="1"/>
        <v/>
      </c>
      <c r="C506" t="str">
        <f ca="1"/>
        <v/>
      </c>
      <c r="D506" t="str">
        <f ca="1"/>
        <v/>
      </c>
      <c r="E506" t="str">
        <f ca="1"/>
        <v/>
      </c>
      <c r="F506" t="str">
        <f ca="1"/>
        <v/>
      </c>
      <c r="G506" t="str">
        <f ca="1"/>
        <v/>
      </c>
      <c r="H506" s="17" t="str">
        <f ca="1"/>
        <v/>
      </c>
    </row>
    <row r="507" spans="2:8" x14ac:dyDescent="0.35">
      <c r="B507" t="str">
        <f ca="1"/>
        <v/>
      </c>
      <c r="C507" t="str">
        <f ca="1"/>
        <v/>
      </c>
      <c r="D507" t="str">
        <f ca="1"/>
        <v/>
      </c>
      <c r="E507" t="str">
        <f ca="1"/>
        <v/>
      </c>
      <c r="F507" t="str">
        <f ca="1"/>
        <v/>
      </c>
      <c r="G507" t="str">
        <f ca="1"/>
        <v/>
      </c>
      <c r="H507" s="17" t="str">
        <f ca="1"/>
        <v/>
      </c>
    </row>
    <row r="508" spans="2:8" x14ac:dyDescent="0.35">
      <c r="B508" t="str">
        <f ca="1"/>
        <v/>
      </c>
      <c r="C508" t="str">
        <f ca="1"/>
        <v/>
      </c>
      <c r="D508" t="str">
        <f ca="1"/>
        <v/>
      </c>
      <c r="E508" t="str">
        <f ca="1"/>
        <v/>
      </c>
      <c r="F508" t="str">
        <f ca="1"/>
        <v/>
      </c>
      <c r="G508" t="str">
        <f ca="1"/>
        <v/>
      </c>
      <c r="H508" s="17" t="str">
        <f ca="1"/>
        <v/>
      </c>
    </row>
    <row r="509" spans="2:8" x14ac:dyDescent="0.35">
      <c r="B509" t="str">
        <f ca="1"/>
        <v/>
      </c>
      <c r="C509" t="str">
        <f ca="1"/>
        <v/>
      </c>
      <c r="D509" t="str">
        <f ca="1"/>
        <v/>
      </c>
      <c r="E509" t="str">
        <f ca="1"/>
        <v/>
      </c>
      <c r="F509" t="str">
        <f ca="1"/>
        <v/>
      </c>
      <c r="G509" t="str">
        <f ca="1"/>
        <v/>
      </c>
      <c r="H509" s="17" t="str">
        <f ca="1"/>
        <v/>
      </c>
    </row>
    <row r="510" spans="2:8" x14ac:dyDescent="0.35">
      <c r="B510" t="str">
        <f ca="1"/>
        <v/>
      </c>
      <c r="C510" t="str">
        <f ca="1"/>
        <v/>
      </c>
      <c r="D510" t="str">
        <f ca="1"/>
        <v/>
      </c>
      <c r="E510" t="str">
        <f ca="1"/>
        <v/>
      </c>
      <c r="F510" t="str">
        <f ca="1"/>
        <v/>
      </c>
      <c r="G510" t="str">
        <f ca="1"/>
        <v/>
      </c>
      <c r="H510" s="17" t="str">
        <f ca="1"/>
        <v/>
      </c>
    </row>
    <row r="511" spans="2:8" x14ac:dyDescent="0.35">
      <c r="B511" t="str">
        <f ca="1"/>
        <v/>
      </c>
      <c r="C511" t="str">
        <f ca="1"/>
        <v/>
      </c>
      <c r="D511" t="str">
        <f ca="1"/>
        <v/>
      </c>
      <c r="E511" t="str">
        <f ca="1"/>
        <v/>
      </c>
      <c r="F511" t="str">
        <f ca="1"/>
        <v/>
      </c>
      <c r="G511" t="str">
        <f ca="1"/>
        <v/>
      </c>
      <c r="H511" s="17" t="str">
        <f ca="1"/>
        <v/>
      </c>
    </row>
    <row r="512" spans="2:8" x14ac:dyDescent="0.35">
      <c r="B512" t="str">
        <f ca="1"/>
        <v/>
      </c>
      <c r="C512" t="str">
        <f ca="1"/>
        <v/>
      </c>
      <c r="D512" t="str">
        <f ca="1"/>
        <v/>
      </c>
      <c r="E512" t="str">
        <f ca="1"/>
        <v/>
      </c>
      <c r="F512" t="str">
        <f ca="1"/>
        <v/>
      </c>
      <c r="G512" t="str">
        <f ca="1"/>
        <v/>
      </c>
      <c r="H512" s="17" t="str">
        <f ca="1"/>
        <v/>
      </c>
    </row>
    <row r="513" spans="2:8" x14ac:dyDescent="0.35">
      <c r="B513" t="str">
        <f ca="1"/>
        <v/>
      </c>
      <c r="C513" t="str">
        <f ca="1"/>
        <v/>
      </c>
      <c r="D513" t="str">
        <f ca="1"/>
        <v/>
      </c>
      <c r="E513" t="str">
        <f ca="1"/>
        <v/>
      </c>
      <c r="F513" t="str">
        <f ca="1"/>
        <v/>
      </c>
      <c r="G513" t="str">
        <f ca="1"/>
        <v/>
      </c>
      <c r="H513" s="17" t="str">
        <f ca="1"/>
        <v/>
      </c>
    </row>
    <row r="514" spans="2:8" x14ac:dyDescent="0.35">
      <c r="B514" t="str">
        <f ca="1"/>
        <v/>
      </c>
      <c r="C514" t="str">
        <f ca="1"/>
        <v/>
      </c>
      <c r="D514" t="str">
        <f ca="1"/>
        <v/>
      </c>
      <c r="E514" t="str">
        <f ca="1"/>
        <v/>
      </c>
      <c r="F514" t="str">
        <f ca="1"/>
        <v/>
      </c>
      <c r="G514" t="str">
        <f ca="1"/>
        <v/>
      </c>
      <c r="H514" s="17" t="str">
        <f ca="1"/>
        <v/>
      </c>
    </row>
    <row r="515" spans="2:8" x14ac:dyDescent="0.35">
      <c r="B515" t="str">
        <f ca="1"/>
        <v/>
      </c>
      <c r="C515" t="str">
        <f ca="1"/>
        <v/>
      </c>
      <c r="D515" t="str">
        <f ca="1"/>
        <v/>
      </c>
      <c r="E515" t="str">
        <f ca="1"/>
        <v/>
      </c>
      <c r="F515" t="str">
        <f ca="1"/>
        <v/>
      </c>
      <c r="G515" t="str">
        <f ca="1"/>
        <v/>
      </c>
      <c r="H515" s="17" t="str">
        <f ca="1"/>
        <v/>
      </c>
    </row>
    <row r="516" spans="2:8" x14ac:dyDescent="0.35">
      <c r="B516" t="str">
        <f ca="1"/>
        <v/>
      </c>
      <c r="C516" t="str">
        <f ca="1"/>
        <v/>
      </c>
      <c r="D516" t="str">
        <f ca="1"/>
        <v/>
      </c>
      <c r="E516" t="str">
        <f ca="1"/>
        <v/>
      </c>
      <c r="F516" t="str">
        <f ca="1"/>
        <v/>
      </c>
      <c r="G516" t="str">
        <f ca="1"/>
        <v/>
      </c>
      <c r="H516" s="17" t="str">
        <f ca="1"/>
        <v/>
      </c>
    </row>
    <row r="517" spans="2:8" x14ac:dyDescent="0.35">
      <c r="B517" t="str">
        <f ca="1"/>
        <v/>
      </c>
      <c r="C517" t="str">
        <f ca="1"/>
        <v/>
      </c>
      <c r="D517" t="str">
        <f ca="1"/>
        <v/>
      </c>
      <c r="E517" t="str">
        <f ca="1"/>
        <v/>
      </c>
      <c r="F517" t="str">
        <f ca="1"/>
        <v/>
      </c>
      <c r="G517" t="str">
        <f ca="1"/>
        <v/>
      </c>
      <c r="H517" s="17" t="str">
        <f ca="1"/>
        <v/>
      </c>
    </row>
    <row r="518" spans="2:8" x14ac:dyDescent="0.35">
      <c r="B518" t="str">
        <f ca="1"/>
        <v/>
      </c>
      <c r="C518" t="str">
        <f ca="1"/>
        <v/>
      </c>
      <c r="D518" t="str">
        <f ca="1"/>
        <v/>
      </c>
      <c r="E518" t="str">
        <f ca="1"/>
        <v/>
      </c>
      <c r="F518" t="str">
        <f ca="1"/>
        <v/>
      </c>
      <c r="G518" t="str">
        <f ca="1"/>
        <v/>
      </c>
      <c r="H518" s="17" t="str">
        <f ca="1"/>
        <v/>
      </c>
    </row>
    <row r="519" spans="2:8" x14ac:dyDescent="0.35">
      <c r="B519" t="str">
        <f ca="1"/>
        <v/>
      </c>
      <c r="C519" t="str">
        <f ca="1"/>
        <v/>
      </c>
      <c r="D519" t="str">
        <f ca="1"/>
        <v/>
      </c>
      <c r="E519" t="str">
        <f ca="1"/>
        <v/>
      </c>
      <c r="F519" t="str">
        <f ca="1"/>
        <v/>
      </c>
      <c r="G519" t="str">
        <f ca="1"/>
        <v/>
      </c>
      <c r="H519" s="17" t="str">
        <f ca="1"/>
        <v/>
      </c>
    </row>
    <row r="520" spans="2:8" x14ac:dyDescent="0.35">
      <c r="B520" t="str">
        <f ca="1"/>
        <v/>
      </c>
      <c r="C520" t="str">
        <f ca="1"/>
        <v/>
      </c>
      <c r="D520" t="str">
        <f ca="1"/>
        <v/>
      </c>
      <c r="E520" t="str">
        <f ca="1"/>
        <v/>
      </c>
      <c r="F520" t="str">
        <f ca="1"/>
        <v/>
      </c>
      <c r="G520" t="str">
        <f ca="1"/>
        <v/>
      </c>
      <c r="H520" s="17" t="str">
        <f ca="1"/>
        <v/>
      </c>
    </row>
    <row r="521" spans="2:8" x14ac:dyDescent="0.35">
      <c r="B521" t="str">
        <f ca="1"/>
        <v/>
      </c>
      <c r="C521" t="str">
        <f ca="1"/>
        <v/>
      </c>
      <c r="D521" t="str">
        <f ca="1"/>
        <v/>
      </c>
      <c r="E521" t="str">
        <f ca="1"/>
        <v/>
      </c>
      <c r="F521" t="str">
        <f ca="1"/>
        <v/>
      </c>
      <c r="G521" t="str">
        <f ca="1"/>
        <v/>
      </c>
      <c r="H521" s="17" t="str">
        <f ca="1"/>
        <v/>
      </c>
    </row>
    <row r="522" spans="2:8" x14ac:dyDescent="0.35">
      <c r="B522" t="str">
        <f ca="1"/>
        <v/>
      </c>
      <c r="C522" t="str">
        <f ca="1"/>
        <v/>
      </c>
      <c r="D522" t="str">
        <f ca="1"/>
        <v/>
      </c>
      <c r="E522" t="str">
        <f ca="1"/>
        <v/>
      </c>
      <c r="F522" t="str">
        <f ca="1"/>
        <v/>
      </c>
      <c r="G522" t="str">
        <f ca="1"/>
        <v/>
      </c>
      <c r="H522" s="17" t="str">
        <f ca="1"/>
        <v/>
      </c>
    </row>
    <row r="523" spans="2:8" x14ac:dyDescent="0.35">
      <c r="B523" t="str">
        <f ca="1"/>
        <v/>
      </c>
      <c r="C523" t="str">
        <f ca="1"/>
        <v/>
      </c>
      <c r="D523" t="str">
        <f ca="1"/>
        <v/>
      </c>
      <c r="E523" t="str">
        <f ca="1"/>
        <v/>
      </c>
      <c r="F523" t="str">
        <f ca="1"/>
        <v/>
      </c>
      <c r="G523" t="str">
        <f ca="1"/>
        <v/>
      </c>
      <c r="H523" s="17" t="str">
        <f ca="1"/>
        <v/>
      </c>
    </row>
    <row r="524" spans="2:8" x14ac:dyDescent="0.35">
      <c r="B524" t="str">
        <f ca="1"/>
        <v/>
      </c>
      <c r="C524" t="str">
        <f ca="1"/>
        <v/>
      </c>
      <c r="D524" t="str">
        <f ca="1"/>
        <v/>
      </c>
      <c r="E524" t="str">
        <f ca="1"/>
        <v/>
      </c>
      <c r="F524" t="str">
        <f ca="1"/>
        <v/>
      </c>
      <c r="G524" t="str">
        <f ca="1"/>
        <v/>
      </c>
      <c r="H524" s="17" t="str">
        <f ca="1"/>
        <v/>
      </c>
    </row>
    <row r="525" spans="2:8" x14ac:dyDescent="0.35">
      <c r="B525" t="str">
        <f ca="1"/>
        <v/>
      </c>
      <c r="C525" t="str">
        <f ca="1"/>
        <v/>
      </c>
      <c r="D525" t="str">
        <f ca="1"/>
        <v/>
      </c>
      <c r="E525" t="str">
        <f ca="1"/>
        <v/>
      </c>
      <c r="F525" t="str">
        <f ca="1"/>
        <v/>
      </c>
      <c r="G525" t="str">
        <f ca="1"/>
        <v/>
      </c>
      <c r="H525" s="17" t="str">
        <f ca="1"/>
        <v/>
      </c>
    </row>
    <row r="526" spans="2:8" x14ac:dyDescent="0.35">
      <c r="B526" t="str">
        <f ca="1"/>
        <v/>
      </c>
      <c r="C526" t="str">
        <f ca="1"/>
        <v/>
      </c>
      <c r="D526" t="str">
        <f ca="1"/>
        <v/>
      </c>
      <c r="E526" t="str">
        <f ca="1"/>
        <v/>
      </c>
      <c r="F526" t="str">
        <f ca="1"/>
        <v/>
      </c>
      <c r="G526" t="str">
        <f ca="1"/>
        <v/>
      </c>
      <c r="H526" s="17" t="str">
        <f ca="1"/>
        <v/>
      </c>
    </row>
    <row r="527" spans="2:8" x14ac:dyDescent="0.35">
      <c r="B527" t="str">
        <f ca="1"/>
        <v/>
      </c>
      <c r="C527" t="str">
        <f ca="1"/>
        <v/>
      </c>
      <c r="D527" t="str">
        <f ca="1"/>
        <v/>
      </c>
      <c r="E527" t="str">
        <f ca="1"/>
        <v/>
      </c>
      <c r="F527" t="str">
        <f ca="1"/>
        <v/>
      </c>
      <c r="G527" t="str">
        <f ca="1"/>
        <v/>
      </c>
      <c r="H527" s="17" t="str">
        <f ca="1"/>
        <v/>
      </c>
    </row>
    <row r="528" spans="2:8" x14ac:dyDescent="0.35">
      <c r="B528" t="str">
        <f ca="1"/>
        <v/>
      </c>
      <c r="C528" t="str">
        <f ca="1"/>
        <v/>
      </c>
      <c r="D528" t="str">
        <f ca="1"/>
        <v/>
      </c>
      <c r="E528" t="str">
        <f ca="1"/>
        <v/>
      </c>
      <c r="F528" t="str">
        <f ca="1"/>
        <v/>
      </c>
      <c r="G528" t="str">
        <f ca="1"/>
        <v/>
      </c>
      <c r="H528" s="17" t="str">
        <f ca="1"/>
        <v/>
      </c>
    </row>
    <row r="529" spans="2:8" x14ac:dyDescent="0.35">
      <c r="B529" t="str">
        <f ca="1"/>
        <v/>
      </c>
      <c r="C529" t="str">
        <f ca="1"/>
        <v/>
      </c>
      <c r="D529" t="str">
        <f ca="1"/>
        <v/>
      </c>
      <c r="E529" t="str">
        <f ca="1"/>
        <v/>
      </c>
      <c r="F529" t="str">
        <f ca="1"/>
        <v/>
      </c>
      <c r="G529" t="str">
        <f ca="1"/>
        <v/>
      </c>
      <c r="H529" s="17" t="str">
        <f ca="1"/>
        <v/>
      </c>
    </row>
    <row r="530" spans="2:8" x14ac:dyDescent="0.35">
      <c r="B530" t="str">
        <f ca="1"/>
        <v/>
      </c>
      <c r="C530" t="str">
        <f ca="1"/>
        <v/>
      </c>
      <c r="D530" t="str">
        <f ca="1"/>
        <v/>
      </c>
      <c r="E530" t="str">
        <f ca="1"/>
        <v/>
      </c>
      <c r="F530" t="str">
        <f ca="1"/>
        <v/>
      </c>
      <c r="G530" t="str">
        <f ca="1"/>
        <v/>
      </c>
      <c r="H530" s="17" t="str">
        <f ca="1"/>
        <v/>
      </c>
    </row>
    <row r="531" spans="2:8" x14ac:dyDescent="0.35">
      <c r="B531" t="str">
        <f ca="1"/>
        <v/>
      </c>
      <c r="C531" t="str">
        <f ca="1"/>
        <v/>
      </c>
      <c r="D531" t="str">
        <f ca="1"/>
        <v/>
      </c>
      <c r="E531" t="str">
        <f ca="1"/>
        <v/>
      </c>
      <c r="F531" t="str">
        <f ca="1"/>
        <v/>
      </c>
      <c r="G531" t="str">
        <f ca="1"/>
        <v/>
      </c>
      <c r="H531" s="17" t="str">
        <f ca="1"/>
        <v/>
      </c>
    </row>
    <row r="532" spans="2:8" x14ac:dyDescent="0.35">
      <c r="B532" t="str">
        <f ca="1"/>
        <v/>
      </c>
      <c r="C532" t="str">
        <f ca="1"/>
        <v/>
      </c>
      <c r="D532" t="str">
        <f ca="1"/>
        <v/>
      </c>
      <c r="E532" t="str">
        <f ca="1"/>
        <v/>
      </c>
      <c r="F532" t="str">
        <f ca="1"/>
        <v/>
      </c>
      <c r="G532" t="str">
        <f ca="1"/>
        <v/>
      </c>
      <c r="H532" s="17" t="str">
        <f ca="1"/>
        <v/>
      </c>
    </row>
    <row r="533" spans="2:8" x14ac:dyDescent="0.35">
      <c r="B533" t="str">
        <f ca="1"/>
        <v/>
      </c>
      <c r="C533" t="str">
        <f ca="1"/>
        <v/>
      </c>
      <c r="D533" t="str">
        <f ca="1"/>
        <v/>
      </c>
      <c r="E533" t="str">
        <f ca="1"/>
        <v/>
      </c>
      <c r="F533" t="str">
        <f ca="1"/>
        <v/>
      </c>
      <c r="G533" t="str">
        <f ca="1"/>
        <v/>
      </c>
      <c r="H533" s="17" t="str">
        <f ca="1"/>
        <v/>
      </c>
    </row>
    <row r="534" spans="2:8" x14ac:dyDescent="0.35">
      <c r="B534" t="str">
        <f ca="1"/>
        <v/>
      </c>
      <c r="C534" t="str">
        <f ca="1"/>
        <v/>
      </c>
      <c r="D534" t="str">
        <f ca="1"/>
        <v/>
      </c>
      <c r="E534" t="str">
        <f ca="1"/>
        <v/>
      </c>
      <c r="F534" t="str">
        <f ca="1"/>
        <v/>
      </c>
      <c r="G534" t="str">
        <f ca="1"/>
        <v/>
      </c>
      <c r="H534" s="17" t="str">
        <f ca="1"/>
        <v/>
      </c>
    </row>
    <row r="535" spans="2:8" x14ac:dyDescent="0.35">
      <c r="B535" t="str">
        <f ca="1"/>
        <v/>
      </c>
      <c r="C535" t="str">
        <f ca="1"/>
        <v/>
      </c>
      <c r="D535" t="str">
        <f ca="1"/>
        <v/>
      </c>
      <c r="E535" t="str">
        <f ca="1"/>
        <v/>
      </c>
      <c r="F535" t="str">
        <f ca="1"/>
        <v/>
      </c>
      <c r="G535" t="str">
        <f ca="1"/>
        <v/>
      </c>
      <c r="H535" s="17" t="str">
        <f ca="1"/>
        <v/>
      </c>
    </row>
    <row r="536" spans="2:8" x14ac:dyDescent="0.35">
      <c r="B536" t="str">
        <f ca="1"/>
        <v/>
      </c>
      <c r="C536" t="str">
        <f ca="1"/>
        <v/>
      </c>
      <c r="D536" t="str">
        <f ca="1"/>
        <v/>
      </c>
      <c r="E536" t="str">
        <f ca="1"/>
        <v/>
      </c>
      <c r="F536" t="str">
        <f ca="1"/>
        <v/>
      </c>
      <c r="G536" t="str">
        <f ca="1"/>
        <v/>
      </c>
      <c r="H536" s="17" t="str">
        <f ca="1"/>
        <v/>
      </c>
    </row>
    <row r="537" spans="2:8" x14ac:dyDescent="0.35">
      <c r="B537" t="str">
        <f ca="1"/>
        <v/>
      </c>
      <c r="C537" t="str">
        <f ca="1"/>
        <v/>
      </c>
      <c r="D537" t="str">
        <f ca="1"/>
        <v/>
      </c>
      <c r="E537" t="str">
        <f ca="1"/>
        <v/>
      </c>
      <c r="F537" t="str">
        <f ca="1"/>
        <v/>
      </c>
      <c r="G537" t="str">
        <f ca="1"/>
        <v/>
      </c>
      <c r="H537" s="17" t="str">
        <f ca="1"/>
        <v/>
      </c>
    </row>
    <row r="538" spans="2:8" x14ac:dyDescent="0.35">
      <c r="B538" t="str">
        <f ca="1"/>
        <v/>
      </c>
      <c r="C538" t="str">
        <f ca="1"/>
        <v/>
      </c>
      <c r="D538" t="str">
        <f ca="1"/>
        <v/>
      </c>
      <c r="E538" t="str">
        <f ca="1"/>
        <v/>
      </c>
      <c r="F538" t="str">
        <f ca="1"/>
        <v/>
      </c>
      <c r="G538" t="str">
        <f ca="1"/>
        <v/>
      </c>
      <c r="H538" s="17" t="str">
        <f ca="1"/>
        <v/>
      </c>
    </row>
    <row r="539" spans="2:8" x14ac:dyDescent="0.35">
      <c r="B539" t="str">
        <f ca="1"/>
        <v/>
      </c>
      <c r="C539" t="str">
        <f ca="1"/>
        <v/>
      </c>
      <c r="D539" t="str">
        <f ca="1"/>
        <v/>
      </c>
      <c r="E539" t="str">
        <f ca="1"/>
        <v/>
      </c>
      <c r="F539" t="str">
        <f ca="1"/>
        <v/>
      </c>
      <c r="G539" t="str">
        <f ca="1"/>
        <v/>
      </c>
      <c r="H539" s="17" t="str">
        <f ca="1"/>
        <v/>
      </c>
    </row>
    <row r="540" spans="2:8" x14ac:dyDescent="0.35">
      <c r="B540" t="str">
        <f ca="1"/>
        <v/>
      </c>
      <c r="C540" t="str">
        <f ca="1"/>
        <v/>
      </c>
      <c r="D540" t="str">
        <f ca="1"/>
        <v/>
      </c>
      <c r="E540" t="str">
        <f ca="1"/>
        <v/>
      </c>
      <c r="F540" t="str">
        <f ca="1"/>
        <v/>
      </c>
      <c r="G540" t="str">
        <f ca="1"/>
        <v/>
      </c>
      <c r="H540" s="17" t="str">
        <f ca="1"/>
        <v/>
      </c>
    </row>
    <row r="541" spans="2:8" x14ac:dyDescent="0.35">
      <c r="B541" t="str">
        <f ca="1"/>
        <v/>
      </c>
      <c r="C541" t="str">
        <f ca="1"/>
        <v/>
      </c>
      <c r="D541" t="str">
        <f ca="1"/>
        <v/>
      </c>
      <c r="E541" t="str">
        <f ca="1"/>
        <v/>
      </c>
      <c r="F541" t="str">
        <f ca="1"/>
        <v/>
      </c>
      <c r="G541" t="str">
        <f ca="1"/>
        <v/>
      </c>
      <c r="H541" s="17" t="str">
        <f ca="1"/>
        <v/>
      </c>
    </row>
    <row r="542" spans="2:8" x14ac:dyDescent="0.35">
      <c r="B542" t="str">
        <f ca="1"/>
        <v/>
      </c>
      <c r="C542" t="str">
        <f ca="1"/>
        <v/>
      </c>
      <c r="D542" t="str">
        <f ca="1"/>
        <v/>
      </c>
      <c r="E542" t="str">
        <f ca="1"/>
        <v/>
      </c>
      <c r="F542" t="str">
        <f ca="1"/>
        <v/>
      </c>
      <c r="G542" t="str">
        <f ca="1"/>
        <v/>
      </c>
      <c r="H542" s="17" t="str">
        <f ca="1"/>
        <v/>
      </c>
    </row>
    <row r="543" spans="2:8" x14ac:dyDescent="0.35">
      <c r="B543" t="str">
        <f ca="1"/>
        <v/>
      </c>
      <c r="C543" t="str">
        <f ca="1"/>
        <v/>
      </c>
      <c r="D543" t="str">
        <f ca="1"/>
        <v/>
      </c>
      <c r="E543" t="str">
        <f ca="1"/>
        <v/>
      </c>
      <c r="F543" t="str">
        <f ca="1"/>
        <v/>
      </c>
      <c r="G543" t="str">
        <f ca="1"/>
        <v/>
      </c>
      <c r="H543" s="17" t="str">
        <f ca="1"/>
        <v/>
      </c>
    </row>
    <row r="544" spans="2:8" x14ac:dyDescent="0.35">
      <c r="B544" t="str">
        <f ca="1"/>
        <v/>
      </c>
      <c r="C544" t="str">
        <f ca="1"/>
        <v/>
      </c>
      <c r="D544" t="str">
        <f ca="1"/>
        <v/>
      </c>
      <c r="E544" t="str">
        <f ca="1"/>
        <v/>
      </c>
      <c r="F544" t="str">
        <f ca="1"/>
        <v/>
      </c>
      <c r="G544" t="str">
        <f ca="1"/>
        <v/>
      </c>
      <c r="H544" s="17" t="str">
        <f ca="1"/>
        <v/>
      </c>
    </row>
    <row r="545" spans="2:8" x14ac:dyDescent="0.35">
      <c r="B545" t="str">
        <f ca="1"/>
        <v/>
      </c>
      <c r="C545" t="str">
        <f ca="1"/>
        <v/>
      </c>
      <c r="D545" t="str">
        <f ca="1"/>
        <v/>
      </c>
      <c r="E545" t="str">
        <f ca="1"/>
        <v/>
      </c>
      <c r="F545" t="str">
        <f ca="1"/>
        <v/>
      </c>
      <c r="G545" t="str">
        <f ca="1"/>
        <v/>
      </c>
      <c r="H545" s="17" t="str">
        <f ca="1"/>
        <v/>
      </c>
    </row>
    <row r="546" spans="2:8" x14ac:dyDescent="0.35">
      <c r="B546" t="str">
        <f ca="1"/>
        <v/>
      </c>
      <c r="C546" t="str">
        <f ca="1"/>
        <v/>
      </c>
      <c r="D546" t="str">
        <f ca="1"/>
        <v/>
      </c>
      <c r="E546" t="str">
        <f ca="1"/>
        <v/>
      </c>
      <c r="F546" t="str">
        <f ca="1"/>
        <v/>
      </c>
      <c r="G546" t="str">
        <f ca="1"/>
        <v/>
      </c>
      <c r="H546" s="17" t="str">
        <f ca="1"/>
        <v/>
      </c>
    </row>
    <row r="547" spans="2:8" x14ac:dyDescent="0.35">
      <c r="B547" t="str">
        <f ca="1"/>
        <v/>
      </c>
      <c r="C547" t="str">
        <f ca="1"/>
        <v/>
      </c>
      <c r="D547" t="str">
        <f ca="1"/>
        <v/>
      </c>
      <c r="E547" t="str">
        <f ca="1"/>
        <v/>
      </c>
      <c r="F547" t="str">
        <f ca="1"/>
        <v/>
      </c>
      <c r="G547" t="str">
        <f ca="1"/>
        <v/>
      </c>
      <c r="H547" s="17" t="str">
        <f ca="1"/>
        <v/>
      </c>
    </row>
    <row r="548" spans="2:8" x14ac:dyDescent="0.35">
      <c r="B548" t="str">
        <f ca="1"/>
        <v/>
      </c>
      <c r="C548" t="str">
        <f ca="1"/>
        <v/>
      </c>
      <c r="D548" t="str">
        <f ca="1"/>
        <v/>
      </c>
      <c r="E548" t="str">
        <f ca="1"/>
        <v/>
      </c>
      <c r="F548" t="str">
        <f ca="1"/>
        <v/>
      </c>
      <c r="G548" t="str">
        <f ca="1"/>
        <v/>
      </c>
      <c r="H548" s="17" t="str">
        <f ca="1"/>
        <v/>
      </c>
    </row>
    <row r="549" spans="2:8" x14ac:dyDescent="0.35">
      <c r="B549" t="str">
        <f ca="1"/>
        <v/>
      </c>
      <c r="C549" t="str">
        <f ca="1"/>
        <v/>
      </c>
      <c r="D549" t="str">
        <f ca="1"/>
        <v/>
      </c>
      <c r="E549" t="str">
        <f ca="1"/>
        <v/>
      </c>
      <c r="F549" t="str">
        <f ca="1"/>
        <v/>
      </c>
      <c r="G549" t="str">
        <f ca="1"/>
        <v/>
      </c>
      <c r="H549" s="17" t="str">
        <f ca="1"/>
        <v/>
      </c>
    </row>
    <row r="550" spans="2:8" x14ac:dyDescent="0.35">
      <c r="B550" t="str">
        <f ca="1"/>
        <v/>
      </c>
      <c r="C550" t="str">
        <f ca="1"/>
        <v/>
      </c>
      <c r="D550" t="str">
        <f ca="1"/>
        <v/>
      </c>
      <c r="E550" t="str">
        <f ca="1"/>
        <v/>
      </c>
      <c r="F550" t="str">
        <f ca="1"/>
        <v/>
      </c>
      <c r="G550" t="str">
        <f ca="1"/>
        <v/>
      </c>
      <c r="H550" s="17" t="str">
        <f ca="1"/>
        <v/>
      </c>
    </row>
    <row r="551" spans="2:8" x14ac:dyDescent="0.35">
      <c r="B551" t="str">
        <f ca="1"/>
        <v/>
      </c>
      <c r="C551" t="str">
        <f ca="1"/>
        <v/>
      </c>
      <c r="D551" t="str">
        <f ca="1"/>
        <v/>
      </c>
      <c r="E551" t="str">
        <f ca="1"/>
        <v/>
      </c>
      <c r="F551" t="str">
        <f ca="1"/>
        <v/>
      </c>
      <c r="G551" t="str">
        <f ca="1"/>
        <v/>
      </c>
      <c r="H551" s="17" t="str">
        <f ca="1"/>
        <v/>
      </c>
    </row>
    <row r="552" spans="2:8" x14ac:dyDescent="0.35">
      <c r="B552" t="str">
        <f ca="1"/>
        <v/>
      </c>
      <c r="C552" t="str">
        <f ca="1"/>
        <v/>
      </c>
      <c r="D552" t="str">
        <f ca="1"/>
        <v/>
      </c>
      <c r="E552" t="str">
        <f ca="1"/>
        <v/>
      </c>
      <c r="F552" t="str">
        <f ca="1"/>
        <v/>
      </c>
      <c r="G552" t="str">
        <f ca="1"/>
        <v/>
      </c>
      <c r="H552" s="17" t="str">
        <f ca="1"/>
        <v/>
      </c>
    </row>
    <row r="553" spans="2:8" x14ac:dyDescent="0.35">
      <c r="B553" t="str">
        <f ca="1"/>
        <v/>
      </c>
      <c r="C553" t="str">
        <f ca="1"/>
        <v/>
      </c>
      <c r="D553" t="str">
        <f ca="1"/>
        <v/>
      </c>
      <c r="E553" t="str">
        <f ca="1"/>
        <v/>
      </c>
      <c r="F553" t="str">
        <f ca="1"/>
        <v/>
      </c>
      <c r="G553" t="str">
        <f ca="1"/>
        <v/>
      </c>
      <c r="H553" s="17" t="str">
        <f ca="1"/>
        <v/>
      </c>
    </row>
    <row r="554" spans="2:8" x14ac:dyDescent="0.35">
      <c r="B554" t="str">
        <f ca="1"/>
        <v/>
      </c>
      <c r="C554" t="str">
        <f ca="1"/>
        <v/>
      </c>
      <c r="D554" t="str">
        <f ca="1"/>
        <v/>
      </c>
      <c r="E554" t="str">
        <f ca="1"/>
        <v/>
      </c>
      <c r="F554" t="str">
        <f ca="1"/>
        <v/>
      </c>
      <c r="G554" t="str">
        <f ca="1"/>
        <v/>
      </c>
      <c r="H554" s="17" t="str">
        <f ca="1"/>
        <v/>
      </c>
    </row>
    <row r="555" spans="2:8" x14ac:dyDescent="0.35">
      <c r="B555" t="str">
        <f ca="1"/>
        <v/>
      </c>
      <c r="C555" t="str">
        <f ca="1"/>
        <v/>
      </c>
      <c r="D555" t="str">
        <f ca="1"/>
        <v/>
      </c>
      <c r="E555" t="str">
        <f ca="1"/>
        <v/>
      </c>
      <c r="F555" t="str">
        <f ca="1"/>
        <v/>
      </c>
      <c r="G555" t="str">
        <f ca="1"/>
        <v/>
      </c>
      <c r="H555" s="17" t="str">
        <f ca="1"/>
        <v/>
      </c>
    </row>
    <row r="556" spans="2:8" x14ac:dyDescent="0.35">
      <c r="B556" t="str">
        <f ca="1"/>
        <v/>
      </c>
      <c r="C556" t="str">
        <f ca="1"/>
        <v/>
      </c>
      <c r="D556" t="str">
        <f ca="1"/>
        <v/>
      </c>
      <c r="E556" t="str">
        <f ca="1"/>
        <v/>
      </c>
      <c r="F556" t="str">
        <f ca="1"/>
        <v/>
      </c>
      <c r="G556" t="str">
        <f ca="1"/>
        <v/>
      </c>
      <c r="H556" s="17" t="str">
        <f ca="1"/>
        <v/>
      </c>
    </row>
    <row r="557" spans="2:8" x14ac:dyDescent="0.35">
      <c r="B557" t="str">
        <f ca="1"/>
        <v/>
      </c>
      <c r="C557" t="str">
        <f ca="1"/>
        <v/>
      </c>
      <c r="D557" t="str">
        <f ca="1"/>
        <v/>
      </c>
      <c r="E557" t="str">
        <f ca="1"/>
        <v/>
      </c>
      <c r="F557" t="str">
        <f ca="1"/>
        <v/>
      </c>
      <c r="G557" t="str">
        <f ca="1"/>
        <v/>
      </c>
      <c r="H557" s="17" t="str">
        <f ca="1"/>
        <v/>
      </c>
    </row>
    <row r="558" spans="2:8" x14ac:dyDescent="0.35">
      <c r="B558" t="str">
        <f ca="1"/>
        <v/>
      </c>
      <c r="C558" t="str">
        <f ca="1"/>
        <v/>
      </c>
      <c r="D558" t="str">
        <f ca="1"/>
        <v/>
      </c>
      <c r="E558" t="str">
        <f ca="1"/>
        <v/>
      </c>
      <c r="F558" t="str">
        <f ca="1"/>
        <v/>
      </c>
      <c r="G558" t="str">
        <f ca="1"/>
        <v/>
      </c>
      <c r="H558" s="17" t="str">
        <f ca="1"/>
        <v/>
      </c>
    </row>
    <row r="559" spans="2:8" x14ac:dyDescent="0.35">
      <c r="B559" t="str">
        <f ca="1"/>
        <v/>
      </c>
      <c r="C559" t="str">
        <f ca="1"/>
        <v/>
      </c>
      <c r="D559" t="str">
        <f ca="1"/>
        <v/>
      </c>
      <c r="E559" t="str">
        <f ca="1"/>
        <v/>
      </c>
      <c r="F559" t="str">
        <f ca="1"/>
        <v/>
      </c>
      <c r="G559" t="str">
        <f ca="1"/>
        <v/>
      </c>
      <c r="H559" s="17" t="str">
        <f ca="1"/>
        <v/>
      </c>
    </row>
    <row r="560" spans="2:8" x14ac:dyDescent="0.35">
      <c r="B560" t="str">
        <f ca="1"/>
        <v/>
      </c>
      <c r="C560" t="str">
        <f ca="1"/>
        <v/>
      </c>
      <c r="D560" t="str">
        <f ca="1"/>
        <v/>
      </c>
      <c r="E560" t="str">
        <f ca="1"/>
        <v/>
      </c>
      <c r="F560" t="str">
        <f ca="1"/>
        <v/>
      </c>
      <c r="G560" t="str">
        <f ca="1"/>
        <v/>
      </c>
      <c r="H560" s="17" t="str">
        <f ca="1"/>
        <v/>
      </c>
    </row>
    <row r="561" spans="2:8" x14ac:dyDescent="0.35">
      <c r="B561" t="str">
        <f ca="1"/>
        <v/>
      </c>
      <c r="C561" t="str">
        <f ca="1"/>
        <v/>
      </c>
      <c r="D561" t="str">
        <f ca="1"/>
        <v/>
      </c>
      <c r="E561" t="str">
        <f ca="1"/>
        <v/>
      </c>
      <c r="F561" t="str">
        <f ca="1"/>
        <v/>
      </c>
      <c r="G561" t="str">
        <f ca="1"/>
        <v/>
      </c>
      <c r="H561" s="17" t="str">
        <f ca="1"/>
        <v/>
      </c>
    </row>
    <row r="562" spans="2:8" x14ac:dyDescent="0.35">
      <c r="B562" t="str">
        <f ca="1"/>
        <v/>
      </c>
      <c r="C562" t="str">
        <f ca="1"/>
        <v/>
      </c>
      <c r="D562" t="str">
        <f ca="1"/>
        <v/>
      </c>
      <c r="E562" t="str">
        <f ca="1"/>
        <v/>
      </c>
      <c r="F562" t="str">
        <f ca="1"/>
        <v/>
      </c>
      <c r="G562" t="str">
        <f ca="1"/>
        <v/>
      </c>
      <c r="H562" s="17" t="str">
        <f ca="1"/>
        <v/>
      </c>
    </row>
    <row r="563" spans="2:8" x14ac:dyDescent="0.35">
      <c r="B563" t="str">
        <f ca="1"/>
        <v/>
      </c>
      <c r="C563" t="str">
        <f ca="1"/>
        <v/>
      </c>
      <c r="D563" t="str">
        <f ca="1"/>
        <v/>
      </c>
      <c r="E563" t="str">
        <f ca="1"/>
        <v/>
      </c>
      <c r="F563" t="str">
        <f ca="1"/>
        <v/>
      </c>
      <c r="G563" t="str">
        <f ca="1"/>
        <v/>
      </c>
      <c r="H563" s="17" t="str">
        <f ca="1"/>
        <v/>
      </c>
    </row>
    <row r="564" spans="2:8" x14ac:dyDescent="0.35">
      <c r="B564" t="str">
        <f ca="1"/>
        <v/>
      </c>
      <c r="C564" t="str">
        <f ca="1"/>
        <v/>
      </c>
      <c r="D564" t="str">
        <f ca="1"/>
        <v/>
      </c>
      <c r="E564" t="str">
        <f ca="1"/>
        <v/>
      </c>
      <c r="F564" t="str">
        <f ca="1"/>
        <v/>
      </c>
      <c r="G564" t="str">
        <f ca="1"/>
        <v/>
      </c>
      <c r="H564" s="17" t="str">
        <f ca="1"/>
        <v/>
      </c>
    </row>
    <row r="565" spans="2:8" x14ac:dyDescent="0.35">
      <c r="B565" t="str">
        <f ca="1"/>
        <v/>
      </c>
      <c r="C565" t="str">
        <f ca="1"/>
        <v/>
      </c>
      <c r="D565" t="str">
        <f ca="1"/>
        <v/>
      </c>
      <c r="E565" t="str">
        <f ca="1"/>
        <v/>
      </c>
      <c r="F565" t="str">
        <f ca="1"/>
        <v/>
      </c>
      <c r="G565" t="str">
        <f ca="1"/>
        <v/>
      </c>
      <c r="H565" s="17" t="str">
        <f ca="1"/>
        <v/>
      </c>
    </row>
    <row r="566" spans="2:8" x14ac:dyDescent="0.35">
      <c r="B566" t="str">
        <f ca="1"/>
        <v/>
      </c>
      <c r="C566" t="str">
        <f ca="1"/>
        <v/>
      </c>
      <c r="D566" t="str">
        <f ca="1"/>
        <v/>
      </c>
      <c r="E566" t="str">
        <f ca="1"/>
        <v/>
      </c>
      <c r="F566" t="str">
        <f ca="1"/>
        <v/>
      </c>
      <c r="G566" t="str">
        <f ca="1"/>
        <v/>
      </c>
      <c r="H566" s="17" t="str">
        <f ca="1"/>
        <v/>
      </c>
    </row>
    <row r="567" spans="2:8" x14ac:dyDescent="0.35">
      <c r="B567" t="str">
        <f ca="1"/>
        <v/>
      </c>
      <c r="C567" t="str">
        <f ca="1"/>
        <v/>
      </c>
      <c r="D567" t="str">
        <f ca="1"/>
        <v/>
      </c>
      <c r="E567" t="str">
        <f ca="1"/>
        <v/>
      </c>
      <c r="F567" t="str">
        <f ca="1"/>
        <v/>
      </c>
      <c r="G567" t="str">
        <f ca="1"/>
        <v/>
      </c>
      <c r="H567" s="17" t="str">
        <f ca="1"/>
        <v/>
      </c>
    </row>
    <row r="568" spans="2:8" x14ac:dyDescent="0.35">
      <c r="B568" t="str">
        <f ca="1"/>
        <v/>
      </c>
      <c r="C568" t="str">
        <f ca="1"/>
        <v/>
      </c>
      <c r="D568" t="str">
        <f ca="1"/>
        <v/>
      </c>
      <c r="E568" t="str">
        <f ca="1"/>
        <v/>
      </c>
      <c r="F568" t="str">
        <f ca="1"/>
        <v/>
      </c>
      <c r="G568" t="str">
        <f ca="1"/>
        <v/>
      </c>
      <c r="H568" s="17" t="str">
        <f ca="1"/>
        <v/>
      </c>
    </row>
    <row r="569" spans="2:8" x14ac:dyDescent="0.35">
      <c r="B569" t="str">
        <f ca="1"/>
        <v/>
      </c>
      <c r="C569" t="str">
        <f ca="1"/>
        <v/>
      </c>
      <c r="D569" t="str">
        <f ca="1"/>
        <v/>
      </c>
      <c r="E569" t="str">
        <f ca="1"/>
        <v/>
      </c>
      <c r="F569" t="str">
        <f ca="1"/>
        <v/>
      </c>
      <c r="G569" t="str">
        <f ca="1"/>
        <v/>
      </c>
      <c r="H569" s="17" t="str">
        <f ca="1"/>
        <v/>
      </c>
    </row>
    <row r="570" spans="2:8" x14ac:dyDescent="0.35">
      <c r="B570" t="str">
        <f ca="1"/>
        <v/>
      </c>
      <c r="C570" t="str">
        <f ca="1"/>
        <v/>
      </c>
      <c r="D570" t="str">
        <f ca="1"/>
        <v/>
      </c>
      <c r="E570" t="str">
        <f ca="1"/>
        <v/>
      </c>
      <c r="F570" t="str">
        <f ca="1"/>
        <v/>
      </c>
      <c r="G570" t="str">
        <f ca="1"/>
        <v/>
      </c>
      <c r="H570" s="17" t="str">
        <f ca="1"/>
        <v/>
      </c>
    </row>
    <row r="571" spans="2:8" x14ac:dyDescent="0.35">
      <c r="B571" t="str">
        <f ca="1"/>
        <v/>
      </c>
      <c r="C571" t="str">
        <f ca="1"/>
        <v/>
      </c>
      <c r="D571" t="str">
        <f ca="1"/>
        <v/>
      </c>
      <c r="E571" t="str">
        <f ca="1"/>
        <v/>
      </c>
      <c r="F571" t="str">
        <f ca="1"/>
        <v/>
      </c>
      <c r="G571" t="str">
        <f ca="1"/>
        <v/>
      </c>
      <c r="H571" s="17" t="str">
        <f ca="1"/>
        <v/>
      </c>
    </row>
    <row r="572" spans="2:8" x14ac:dyDescent="0.35">
      <c r="B572" t="str">
        <f ca="1"/>
        <v/>
      </c>
      <c r="C572" t="str">
        <f ca="1"/>
        <v/>
      </c>
      <c r="D572" t="str">
        <f ca="1"/>
        <v/>
      </c>
      <c r="E572" t="str">
        <f ca="1"/>
        <v/>
      </c>
      <c r="F572" t="str">
        <f ca="1"/>
        <v/>
      </c>
      <c r="G572" t="str">
        <f ca="1"/>
        <v/>
      </c>
      <c r="H572" s="17" t="str">
        <f ca="1"/>
        <v/>
      </c>
    </row>
    <row r="573" spans="2:8" x14ac:dyDescent="0.35">
      <c r="B573" t="str">
        <f ca="1"/>
        <v/>
      </c>
      <c r="C573" t="str">
        <f ca="1"/>
        <v/>
      </c>
      <c r="D573" t="str">
        <f ca="1"/>
        <v/>
      </c>
      <c r="E573" t="str">
        <f ca="1"/>
        <v/>
      </c>
      <c r="F573" t="str">
        <f ca="1"/>
        <v/>
      </c>
      <c r="G573" t="str">
        <f ca="1"/>
        <v/>
      </c>
      <c r="H573" s="17" t="str">
        <f ca="1"/>
        <v/>
      </c>
    </row>
    <row r="574" spans="2:8" x14ac:dyDescent="0.35">
      <c r="B574" t="str">
        <f ca="1"/>
        <v/>
      </c>
      <c r="C574" t="str">
        <f ca="1"/>
        <v/>
      </c>
      <c r="D574" t="str">
        <f ca="1"/>
        <v/>
      </c>
      <c r="E574" t="str">
        <f ca="1"/>
        <v/>
      </c>
      <c r="F574" t="str">
        <f ca="1"/>
        <v/>
      </c>
      <c r="G574" t="str">
        <f ca="1"/>
        <v/>
      </c>
      <c r="H574" s="17" t="str">
        <f ca="1"/>
        <v/>
      </c>
    </row>
    <row r="575" spans="2:8" x14ac:dyDescent="0.35">
      <c r="B575" t="str">
        <f ca="1"/>
        <v/>
      </c>
      <c r="C575" t="str">
        <f ca="1"/>
        <v/>
      </c>
      <c r="D575" t="str">
        <f ca="1"/>
        <v/>
      </c>
      <c r="E575" t="str">
        <f ca="1"/>
        <v/>
      </c>
      <c r="F575" t="str">
        <f ca="1"/>
        <v/>
      </c>
      <c r="G575" t="str">
        <f ca="1"/>
        <v/>
      </c>
      <c r="H575" s="17" t="str">
        <f ca="1"/>
        <v/>
      </c>
    </row>
    <row r="576" spans="2:8" x14ac:dyDescent="0.35">
      <c r="B576" t="str">
        <f ca="1"/>
        <v/>
      </c>
      <c r="C576" t="str">
        <f ca="1"/>
        <v/>
      </c>
      <c r="D576" t="str">
        <f ca="1"/>
        <v/>
      </c>
      <c r="E576" t="str">
        <f ca="1"/>
        <v/>
      </c>
      <c r="F576" t="str">
        <f ca="1"/>
        <v/>
      </c>
      <c r="G576" t="str">
        <f ca="1"/>
        <v/>
      </c>
      <c r="H576" s="17" t="str">
        <f ca="1"/>
        <v/>
      </c>
    </row>
    <row r="577" spans="2:8" x14ac:dyDescent="0.35">
      <c r="B577" t="str">
        <f ca="1"/>
        <v/>
      </c>
      <c r="C577" t="str">
        <f ca="1"/>
        <v/>
      </c>
      <c r="D577" t="str">
        <f ca="1"/>
        <v/>
      </c>
      <c r="E577" t="str">
        <f ca="1"/>
        <v/>
      </c>
      <c r="F577" t="str">
        <f ca="1"/>
        <v/>
      </c>
      <c r="G577" t="str">
        <f ca="1"/>
        <v/>
      </c>
      <c r="H577" s="17" t="str">
        <f ca="1"/>
        <v/>
      </c>
    </row>
    <row r="578" spans="2:8" x14ac:dyDescent="0.35">
      <c r="B578" t="str">
        <f ca="1"/>
        <v/>
      </c>
      <c r="C578" t="str">
        <f ca="1"/>
        <v/>
      </c>
      <c r="D578" t="str">
        <f ca="1"/>
        <v/>
      </c>
      <c r="E578" t="str">
        <f ca="1"/>
        <v/>
      </c>
      <c r="F578" t="str">
        <f ca="1"/>
        <v/>
      </c>
      <c r="G578" t="str">
        <f ca="1"/>
        <v/>
      </c>
      <c r="H578" s="17" t="str">
        <f ca="1"/>
        <v/>
      </c>
    </row>
    <row r="579" spans="2:8" x14ac:dyDescent="0.35">
      <c r="B579" t="str">
        <f ca="1"/>
        <v/>
      </c>
      <c r="C579" t="str">
        <f ca="1"/>
        <v/>
      </c>
      <c r="D579" t="str">
        <f ca="1"/>
        <v/>
      </c>
      <c r="E579" t="str">
        <f ca="1"/>
        <v/>
      </c>
      <c r="F579" t="str">
        <f ca="1"/>
        <v/>
      </c>
      <c r="G579" t="str">
        <f ca="1"/>
        <v/>
      </c>
      <c r="H579" s="17" t="str">
        <f ca="1"/>
        <v/>
      </c>
    </row>
    <row r="580" spans="2:8" x14ac:dyDescent="0.35">
      <c r="B580" t="str">
        <f ca="1"/>
        <v/>
      </c>
      <c r="C580" t="str">
        <f ca="1"/>
        <v/>
      </c>
      <c r="D580" t="str">
        <f ca="1"/>
        <v/>
      </c>
      <c r="E580" t="str">
        <f ca="1"/>
        <v/>
      </c>
      <c r="F580" t="str">
        <f ca="1"/>
        <v/>
      </c>
      <c r="G580" t="str">
        <f ca="1"/>
        <v/>
      </c>
      <c r="H580" s="17" t="str">
        <f ca="1"/>
        <v/>
      </c>
    </row>
    <row r="581" spans="2:8" x14ac:dyDescent="0.35">
      <c r="B581" t="str">
        <f ca="1"/>
        <v/>
      </c>
      <c r="C581" t="str">
        <f ca="1"/>
        <v/>
      </c>
      <c r="D581" t="str">
        <f ca="1"/>
        <v/>
      </c>
      <c r="E581" t="str">
        <f ca="1"/>
        <v/>
      </c>
      <c r="F581" t="str">
        <f ca="1"/>
        <v/>
      </c>
      <c r="G581" t="str">
        <f ca="1"/>
        <v/>
      </c>
      <c r="H581" s="17" t="str">
        <f ca="1"/>
        <v/>
      </c>
    </row>
    <row r="582" spans="2:8" x14ac:dyDescent="0.35">
      <c r="B582" t="str">
        <f ca="1"/>
        <v/>
      </c>
      <c r="C582" t="str">
        <f ca="1"/>
        <v/>
      </c>
      <c r="D582" t="str">
        <f ca="1"/>
        <v/>
      </c>
      <c r="E582" t="str">
        <f ca="1"/>
        <v/>
      </c>
      <c r="F582" t="str">
        <f ca="1"/>
        <v/>
      </c>
      <c r="G582" t="str">
        <f ca="1"/>
        <v/>
      </c>
      <c r="H582" s="17" t="str">
        <f ca="1"/>
        <v/>
      </c>
    </row>
    <row r="583" spans="2:8" x14ac:dyDescent="0.35">
      <c r="B583" t="str">
        <f ca="1"/>
        <v/>
      </c>
      <c r="C583" t="str">
        <f ca="1"/>
        <v/>
      </c>
      <c r="D583" t="str">
        <f ca="1"/>
        <v/>
      </c>
      <c r="E583" t="str">
        <f ca="1"/>
        <v/>
      </c>
      <c r="F583" t="str">
        <f ca="1"/>
        <v/>
      </c>
      <c r="G583" t="str">
        <f ca="1"/>
        <v/>
      </c>
      <c r="H583" s="17" t="str">
        <f ca="1"/>
        <v/>
      </c>
    </row>
    <row r="584" spans="2:8" x14ac:dyDescent="0.35">
      <c r="B584" t="str">
        <f ca="1"/>
        <v/>
      </c>
      <c r="C584" t="str">
        <f ca="1"/>
        <v/>
      </c>
      <c r="D584" t="str">
        <f ca="1"/>
        <v/>
      </c>
      <c r="E584" t="str">
        <f ca="1"/>
        <v/>
      </c>
      <c r="F584" t="str">
        <f ca="1"/>
        <v/>
      </c>
      <c r="G584" t="str">
        <f ca="1"/>
        <v/>
      </c>
      <c r="H584" s="17" t="str">
        <f ca="1"/>
        <v/>
      </c>
    </row>
    <row r="585" spans="2:8" x14ac:dyDescent="0.35">
      <c r="B585" t="str">
        <f ca="1"/>
        <v/>
      </c>
      <c r="C585" t="str">
        <f ca="1"/>
        <v/>
      </c>
      <c r="D585" t="str">
        <f ca="1"/>
        <v/>
      </c>
      <c r="E585" t="str">
        <f ca="1"/>
        <v/>
      </c>
      <c r="F585" t="str">
        <f ca="1"/>
        <v/>
      </c>
      <c r="G585" t="str">
        <f ca="1"/>
        <v/>
      </c>
      <c r="H585" s="17" t="str">
        <f ca="1"/>
        <v/>
      </c>
    </row>
    <row r="586" spans="2:8" x14ac:dyDescent="0.35">
      <c r="B586" t="str">
        <f ca="1"/>
        <v/>
      </c>
      <c r="C586" t="str">
        <f ca="1"/>
        <v/>
      </c>
      <c r="D586" t="str">
        <f ca="1"/>
        <v/>
      </c>
      <c r="E586" t="str">
        <f ca="1"/>
        <v/>
      </c>
      <c r="F586" t="str">
        <f ca="1"/>
        <v/>
      </c>
      <c r="G586" t="str">
        <f ca="1"/>
        <v/>
      </c>
      <c r="H586" s="17" t="str">
        <f ca="1"/>
        <v/>
      </c>
    </row>
    <row r="587" spans="2:8" x14ac:dyDescent="0.35">
      <c r="B587" t="str">
        <f ca="1"/>
        <v/>
      </c>
      <c r="C587" t="str">
        <f ca="1"/>
        <v/>
      </c>
      <c r="D587" t="str">
        <f ca="1"/>
        <v/>
      </c>
      <c r="E587" t="str">
        <f ca="1"/>
        <v/>
      </c>
      <c r="F587" t="str">
        <f ca="1"/>
        <v/>
      </c>
      <c r="G587" t="str">
        <f ca="1"/>
        <v/>
      </c>
      <c r="H587" s="17" t="str">
        <f ca="1"/>
        <v/>
      </c>
    </row>
    <row r="588" spans="2:8" x14ac:dyDescent="0.35">
      <c r="B588" t="str">
        <f ca="1"/>
        <v/>
      </c>
      <c r="C588" t="str">
        <f ca="1"/>
        <v/>
      </c>
      <c r="D588" t="str">
        <f ca="1"/>
        <v/>
      </c>
      <c r="E588" t="str">
        <f ca="1"/>
        <v/>
      </c>
      <c r="F588" t="str">
        <f ca="1"/>
        <v/>
      </c>
      <c r="G588" t="str">
        <f ca="1"/>
        <v/>
      </c>
      <c r="H588" s="17" t="str">
        <f ca="1"/>
        <v/>
      </c>
    </row>
    <row r="589" spans="2:8" x14ac:dyDescent="0.35">
      <c r="B589" t="str">
        <f ca="1"/>
        <v/>
      </c>
      <c r="C589" t="str">
        <f ca="1"/>
        <v/>
      </c>
      <c r="D589" t="str">
        <f ca="1"/>
        <v/>
      </c>
      <c r="E589" t="str">
        <f ca="1"/>
        <v/>
      </c>
      <c r="F589" t="str">
        <f ca="1"/>
        <v/>
      </c>
      <c r="G589" t="str">
        <f ca="1"/>
        <v/>
      </c>
      <c r="H589" s="17" t="str">
        <f ca="1"/>
        <v/>
      </c>
    </row>
    <row r="590" spans="2:8" x14ac:dyDescent="0.35">
      <c r="B590" t="str">
        <f ca="1"/>
        <v/>
      </c>
      <c r="C590" t="str">
        <f ca="1"/>
        <v/>
      </c>
      <c r="D590" t="str">
        <f ca="1"/>
        <v/>
      </c>
      <c r="E590" t="str">
        <f ca="1"/>
        <v/>
      </c>
      <c r="F590" t="str">
        <f ca="1"/>
        <v/>
      </c>
      <c r="G590" t="str">
        <f ca="1"/>
        <v/>
      </c>
      <c r="H590" s="17" t="str">
        <f ca="1"/>
        <v/>
      </c>
    </row>
    <row r="591" spans="2:8" x14ac:dyDescent="0.35">
      <c r="B591" t="str">
        <f ca="1"/>
        <v/>
      </c>
      <c r="C591" t="str">
        <f ca="1"/>
        <v/>
      </c>
      <c r="D591" t="str">
        <f ca="1"/>
        <v/>
      </c>
      <c r="E591" t="str">
        <f ca="1"/>
        <v/>
      </c>
      <c r="F591" t="str">
        <f ca="1"/>
        <v/>
      </c>
      <c r="G591" t="str">
        <f ca="1"/>
        <v/>
      </c>
      <c r="H591" s="17" t="str">
        <f ca="1"/>
        <v/>
      </c>
    </row>
    <row r="592" spans="2:8" x14ac:dyDescent="0.35">
      <c r="B592" t="str">
        <f ca="1"/>
        <v/>
      </c>
      <c r="C592" t="str">
        <f ca="1"/>
        <v/>
      </c>
      <c r="D592" t="str">
        <f ca="1"/>
        <v/>
      </c>
      <c r="E592" t="str">
        <f ca="1"/>
        <v/>
      </c>
      <c r="F592" t="str">
        <f ca="1"/>
        <v/>
      </c>
      <c r="G592" t="str">
        <f ca="1"/>
        <v/>
      </c>
      <c r="H592" s="17" t="str">
        <f ca="1"/>
        <v/>
      </c>
    </row>
    <row r="593" spans="2:8" x14ac:dyDescent="0.35">
      <c r="B593" t="str">
        <f ca="1"/>
        <v/>
      </c>
      <c r="C593" t="str">
        <f ca="1"/>
        <v/>
      </c>
      <c r="D593" t="str">
        <f ca="1"/>
        <v/>
      </c>
      <c r="E593" t="str">
        <f ca="1"/>
        <v/>
      </c>
      <c r="F593" t="str">
        <f ca="1"/>
        <v/>
      </c>
      <c r="G593" t="str">
        <f ca="1"/>
        <v/>
      </c>
      <c r="H593" s="17" t="str">
        <f ca="1"/>
        <v/>
      </c>
    </row>
    <row r="594" spans="2:8" x14ac:dyDescent="0.35">
      <c r="B594" t="str">
        <f ca="1"/>
        <v/>
      </c>
      <c r="C594" t="str">
        <f ca="1"/>
        <v/>
      </c>
      <c r="D594" t="str">
        <f ca="1"/>
        <v/>
      </c>
      <c r="E594" t="str">
        <f ca="1"/>
        <v/>
      </c>
      <c r="F594" t="str">
        <f ca="1"/>
        <v/>
      </c>
      <c r="G594" t="str">
        <f ca="1"/>
        <v/>
      </c>
      <c r="H594" s="17" t="str">
        <f ca="1"/>
        <v/>
      </c>
    </row>
    <row r="595" spans="2:8" x14ac:dyDescent="0.35">
      <c r="B595" t="str">
        <f ca="1"/>
        <v/>
      </c>
      <c r="C595" t="str">
        <f ca="1"/>
        <v/>
      </c>
      <c r="D595" t="str">
        <f ca="1"/>
        <v/>
      </c>
      <c r="E595" t="str">
        <f ca="1"/>
        <v/>
      </c>
      <c r="F595" t="str">
        <f ca="1"/>
        <v/>
      </c>
      <c r="G595" t="str">
        <f ca="1"/>
        <v/>
      </c>
      <c r="H595" s="17" t="str">
        <f ca="1"/>
        <v/>
      </c>
    </row>
    <row r="596" spans="2:8" x14ac:dyDescent="0.35">
      <c r="B596" t="str">
        <f ca="1"/>
        <v/>
      </c>
      <c r="C596" t="str">
        <f ca="1"/>
        <v/>
      </c>
      <c r="D596" t="str">
        <f ca="1"/>
        <v/>
      </c>
      <c r="E596" t="str">
        <f ca="1"/>
        <v/>
      </c>
      <c r="F596" t="str">
        <f ca="1"/>
        <v/>
      </c>
      <c r="G596" t="str">
        <f ca="1"/>
        <v/>
      </c>
      <c r="H596" s="17" t="str">
        <f ca="1"/>
        <v/>
      </c>
    </row>
    <row r="597" spans="2:8" x14ac:dyDescent="0.35">
      <c r="B597" t="str">
        <f ca="1"/>
        <v/>
      </c>
      <c r="C597" t="str">
        <f ca="1"/>
        <v/>
      </c>
      <c r="D597" t="str">
        <f ca="1"/>
        <v/>
      </c>
      <c r="E597" t="str">
        <f ca="1"/>
        <v/>
      </c>
      <c r="F597" t="str">
        <f ca="1"/>
        <v/>
      </c>
      <c r="G597" t="str">
        <f ca="1"/>
        <v/>
      </c>
      <c r="H597" s="17" t="str">
        <f ca="1"/>
        <v/>
      </c>
    </row>
    <row r="598" spans="2:8" x14ac:dyDescent="0.35">
      <c r="B598" t="str">
        <f ca="1"/>
        <v/>
      </c>
      <c r="C598" t="str">
        <f ca="1"/>
        <v/>
      </c>
      <c r="D598" t="str">
        <f ca="1"/>
        <v/>
      </c>
      <c r="E598" t="str">
        <f ca="1"/>
        <v/>
      </c>
      <c r="F598" t="str">
        <f ca="1"/>
        <v/>
      </c>
      <c r="G598" t="str">
        <f ca="1"/>
        <v/>
      </c>
      <c r="H598" s="17" t="str">
        <f ca="1"/>
        <v/>
      </c>
    </row>
    <row r="599" spans="2:8" x14ac:dyDescent="0.35">
      <c r="B599" t="str">
        <f ca="1"/>
        <v/>
      </c>
      <c r="C599" t="str">
        <f ca="1"/>
        <v/>
      </c>
      <c r="D599" t="str">
        <f ca="1"/>
        <v/>
      </c>
      <c r="E599" t="str">
        <f ca="1"/>
        <v/>
      </c>
      <c r="F599" t="str">
        <f ca="1"/>
        <v/>
      </c>
      <c r="G599" t="str">
        <f ca="1"/>
        <v/>
      </c>
      <c r="H599" s="17" t="str">
        <f ca="1"/>
        <v/>
      </c>
    </row>
    <row r="600" spans="2:8" x14ac:dyDescent="0.35">
      <c r="B600" t="str">
        <f ca="1"/>
        <v/>
      </c>
      <c r="C600" t="str">
        <f ca="1"/>
        <v/>
      </c>
      <c r="D600" t="str">
        <f ca="1"/>
        <v/>
      </c>
      <c r="E600" t="str">
        <f ca="1"/>
        <v/>
      </c>
      <c r="F600" t="str">
        <f ca="1"/>
        <v/>
      </c>
      <c r="G600" t="str">
        <f ca="1"/>
        <v/>
      </c>
      <c r="H600" s="17" t="str">
        <f ca="1"/>
        <v/>
      </c>
    </row>
    <row r="601" spans="2:8" x14ac:dyDescent="0.35">
      <c r="B601" t="str">
        <f ca="1"/>
        <v/>
      </c>
      <c r="C601" t="str">
        <f ca="1"/>
        <v/>
      </c>
      <c r="D601" t="str">
        <f ca="1"/>
        <v/>
      </c>
      <c r="E601" t="str">
        <f ca="1"/>
        <v/>
      </c>
      <c r="F601" t="str">
        <f ca="1"/>
        <v/>
      </c>
      <c r="G601" t="str">
        <f ca="1"/>
        <v/>
      </c>
      <c r="H601" s="17" t="str">
        <f ca="1"/>
        <v/>
      </c>
    </row>
    <row r="602" spans="2:8" x14ac:dyDescent="0.35">
      <c r="B602" t="str">
        <f ca="1"/>
        <v/>
      </c>
      <c r="C602" t="str">
        <f ca="1"/>
        <v/>
      </c>
      <c r="D602" t="str">
        <f ca="1"/>
        <v/>
      </c>
      <c r="E602" t="str">
        <f ca="1"/>
        <v/>
      </c>
      <c r="F602" t="str">
        <f ca="1"/>
        <v/>
      </c>
      <c r="G602" t="str">
        <f ca="1"/>
        <v/>
      </c>
      <c r="H602" s="17" t="str">
        <f ca="1"/>
        <v/>
      </c>
    </row>
    <row r="603" spans="2:8" x14ac:dyDescent="0.35">
      <c r="B603" t="str">
        <f ca="1"/>
        <v/>
      </c>
      <c r="C603" t="str">
        <f ca="1"/>
        <v/>
      </c>
      <c r="D603" t="str">
        <f ca="1"/>
        <v/>
      </c>
      <c r="E603" t="str">
        <f ca="1"/>
        <v/>
      </c>
      <c r="F603" t="str">
        <f ca="1"/>
        <v/>
      </c>
      <c r="G603" t="str">
        <f ca="1"/>
        <v/>
      </c>
      <c r="H603" s="17" t="str">
        <f ca="1"/>
        <v/>
      </c>
    </row>
    <row r="604" spans="2:8" x14ac:dyDescent="0.35">
      <c r="B604" t="str">
        <f ca="1"/>
        <v/>
      </c>
      <c r="C604" t="str">
        <f ca="1"/>
        <v/>
      </c>
      <c r="D604" t="str">
        <f ca="1"/>
        <v/>
      </c>
      <c r="E604" t="str">
        <f ca="1"/>
        <v/>
      </c>
      <c r="F604" t="str">
        <f ca="1"/>
        <v/>
      </c>
      <c r="G604" t="str">
        <f ca="1"/>
        <v/>
      </c>
      <c r="H604" s="17" t="str">
        <f ca="1"/>
        <v/>
      </c>
    </row>
    <row r="605" spans="2:8" x14ac:dyDescent="0.35">
      <c r="B605" t="str">
        <f ca="1"/>
        <v/>
      </c>
      <c r="C605" t="str">
        <f ca="1"/>
        <v/>
      </c>
      <c r="D605" t="str">
        <f ca="1"/>
        <v/>
      </c>
      <c r="E605" t="str">
        <f ca="1"/>
        <v/>
      </c>
      <c r="F605" t="str">
        <f ca="1"/>
        <v/>
      </c>
      <c r="G605" t="str">
        <f ca="1"/>
        <v/>
      </c>
      <c r="H605" s="17" t="str">
        <f ca="1"/>
        <v/>
      </c>
    </row>
    <row r="606" spans="2:8" x14ac:dyDescent="0.35">
      <c r="B606" t="str">
        <f ca="1"/>
        <v/>
      </c>
      <c r="C606" t="str">
        <f ca="1"/>
        <v/>
      </c>
      <c r="D606" t="str">
        <f ca="1"/>
        <v/>
      </c>
      <c r="E606" t="str">
        <f ca="1"/>
        <v/>
      </c>
      <c r="F606" t="str">
        <f ca="1"/>
        <v/>
      </c>
      <c r="G606" t="str">
        <f ca="1"/>
        <v/>
      </c>
      <c r="H606" s="17" t="str">
        <f ca="1"/>
        <v/>
      </c>
    </row>
    <row r="607" spans="2:8" x14ac:dyDescent="0.35">
      <c r="B607" t="str">
        <f ca="1"/>
        <v/>
      </c>
      <c r="C607" t="str">
        <f ca="1"/>
        <v/>
      </c>
      <c r="D607" t="str">
        <f ca="1"/>
        <v/>
      </c>
      <c r="E607" t="str">
        <f ca="1"/>
        <v/>
      </c>
      <c r="F607" t="str">
        <f ca="1"/>
        <v/>
      </c>
      <c r="G607" t="str">
        <f ca="1"/>
        <v/>
      </c>
      <c r="H607" s="17" t="str">
        <f ca="1"/>
        <v/>
      </c>
    </row>
    <row r="608" spans="2:8" x14ac:dyDescent="0.35">
      <c r="B608" t="str">
        <f ca="1"/>
        <v/>
      </c>
      <c r="C608" t="str">
        <f ca="1"/>
        <v/>
      </c>
      <c r="D608" t="str">
        <f ca="1"/>
        <v/>
      </c>
      <c r="E608" t="str">
        <f ca="1"/>
        <v/>
      </c>
      <c r="F608" t="str">
        <f ca="1"/>
        <v/>
      </c>
      <c r="G608" t="str">
        <f ca="1"/>
        <v/>
      </c>
      <c r="H608" s="17" t="str">
        <f ca="1"/>
        <v/>
      </c>
    </row>
    <row r="609" spans="2:8" x14ac:dyDescent="0.35">
      <c r="B609" t="str">
        <f ca="1"/>
        <v/>
      </c>
      <c r="C609" t="str">
        <f ca="1"/>
        <v/>
      </c>
      <c r="D609" t="str">
        <f ca="1"/>
        <v/>
      </c>
      <c r="E609" t="str">
        <f ca="1"/>
        <v/>
      </c>
      <c r="F609" t="str">
        <f ca="1"/>
        <v/>
      </c>
      <c r="G609" t="str">
        <f ca="1"/>
        <v/>
      </c>
      <c r="H609" s="17" t="str">
        <f ca="1"/>
        <v/>
      </c>
    </row>
    <row r="610" spans="2:8" x14ac:dyDescent="0.35">
      <c r="B610" t="str">
        <f ca="1"/>
        <v/>
      </c>
      <c r="C610" t="str">
        <f ca="1"/>
        <v/>
      </c>
      <c r="D610" t="str">
        <f ca="1"/>
        <v/>
      </c>
      <c r="E610" t="str">
        <f ca="1"/>
        <v/>
      </c>
      <c r="F610" t="str">
        <f ca="1"/>
        <v/>
      </c>
      <c r="G610" t="str">
        <f ca="1"/>
        <v/>
      </c>
      <c r="H610" s="17" t="str">
        <f ca="1"/>
        <v/>
      </c>
    </row>
    <row r="611" spans="2:8" x14ac:dyDescent="0.35">
      <c r="B611" t="str">
        <f ca="1"/>
        <v/>
      </c>
      <c r="C611" t="str">
        <f ca="1"/>
        <v/>
      </c>
      <c r="D611" t="str">
        <f ca="1"/>
        <v/>
      </c>
      <c r="E611" t="str">
        <f ca="1"/>
        <v/>
      </c>
      <c r="F611" t="str">
        <f ca="1"/>
        <v/>
      </c>
      <c r="G611" t="str">
        <f ca="1"/>
        <v/>
      </c>
      <c r="H611" s="17" t="str">
        <f ca="1"/>
        <v/>
      </c>
    </row>
    <row r="612" spans="2:8" x14ac:dyDescent="0.35">
      <c r="B612" t="str">
        <f ca="1"/>
        <v/>
      </c>
      <c r="C612" t="str">
        <f ca="1"/>
        <v/>
      </c>
      <c r="D612" t="str">
        <f ca="1"/>
        <v/>
      </c>
      <c r="E612" t="str">
        <f ca="1"/>
        <v/>
      </c>
      <c r="F612" t="str">
        <f ca="1"/>
        <v/>
      </c>
      <c r="G612" t="str">
        <f ca="1"/>
        <v/>
      </c>
      <c r="H612" s="17" t="str">
        <f ca="1"/>
        <v/>
      </c>
    </row>
    <row r="613" spans="2:8" x14ac:dyDescent="0.35">
      <c r="B613" t="str">
        <f ca="1"/>
        <v/>
      </c>
      <c r="C613" t="str">
        <f ca="1"/>
        <v/>
      </c>
      <c r="D613" t="str">
        <f ca="1"/>
        <v/>
      </c>
      <c r="E613" t="str">
        <f ca="1"/>
        <v/>
      </c>
      <c r="F613" t="str">
        <f ca="1"/>
        <v/>
      </c>
      <c r="G613" t="str">
        <f ca="1"/>
        <v/>
      </c>
      <c r="H613" s="17" t="str">
        <f ca="1"/>
        <v/>
      </c>
    </row>
    <row r="614" spans="2:8" x14ac:dyDescent="0.35">
      <c r="B614" t="str">
        <f ca="1"/>
        <v/>
      </c>
      <c r="C614" t="str">
        <f ca="1"/>
        <v/>
      </c>
      <c r="D614" t="str">
        <f ca="1"/>
        <v/>
      </c>
      <c r="E614" t="str">
        <f ca="1"/>
        <v/>
      </c>
      <c r="F614" t="str">
        <f ca="1"/>
        <v/>
      </c>
      <c r="G614" t="str">
        <f ca="1"/>
        <v/>
      </c>
      <c r="H614" s="17" t="str">
        <f ca="1"/>
        <v/>
      </c>
    </row>
    <row r="615" spans="2:8" x14ac:dyDescent="0.35">
      <c r="B615" t="str">
        <f ca="1"/>
        <v/>
      </c>
      <c r="C615" t="str">
        <f ca="1"/>
        <v/>
      </c>
      <c r="D615" t="str">
        <f ca="1"/>
        <v/>
      </c>
      <c r="E615" t="str">
        <f ca="1"/>
        <v/>
      </c>
      <c r="F615" t="str">
        <f ca="1"/>
        <v/>
      </c>
      <c r="G615" t="str">
        <f ca="1"/>
        <v/>
      </c>
      <c r="H615" s="17" t="str">
        <f ca="1"/>
        <v/>
      </c>
    </row>
    <row r="616" spans="2:8" x14ac:dyDescent="0.35">
      <c r="B616" t="str">
        <f ca="1"/>
        <v/>
      </c>
      <c r="C616" t="str">
        <f ca="1"/>
        <v/>
      </c>
      <c r="D616" t="str">
        <f ca="1"/>
        <v/>
      </c>
      <c r="E616" t="str">
        <f ca="1"/>
        <v/>
      </c>
      <c r="F616" t="str">
        <f ca="1"/>
        <v/>
      </c>
      <c r="G616" t="str">
        <f ca="1"/>
        <v/>
      </c>
      <c r="H616" s="17" t="str">
        <f ca="1"/>
        <v/>
      </c>
    </row>
    <row r="617" spans="2:8" x14ac:dyDescent="0.35">
      <c r="B617" t="str">
        <f ca="1"/>
        <v/>
      </c>
      <c r="C617" t="str">
        <f ca="1"/>
        <v/>
      </c>
      <c r="D617" t="str">
        <f ca="1"/>
        <v/>
      </c>
      <c r="E617" t="str">
        <f ca="1"/>
        <v/>
      </c>
      <c r="F617" t="str">
        <f ca="1"/>
        <v/>
      </c>
      <c r="G617" t="str">
        <f ca="1"/>
        <v/>
      </c>
      <c r="H617" s="17" t="str">
        <f ca="1"/>
        <v/>
      </c>
    </row>
    <row r="618" spans="2:8" x14ac:dyDescent="0.35">
      <c r="B618" t="str">
        <f ca="1"/>
        <v/>
      </c>
      <c r="C618" t="str">
        <f ca="1"/>
        <v/>
      </c>
      <c r="D618" t="str">
        <f ca="1"/>
        <v/>
      </c>
      <c r="E618" t="str">
        <f ca="1"/>
        <v/>
      </c>
      <c r="F618" t="str">
        <f ca="1"/>
        <v/>
      </c>
      <c r="G618" t="str">
        <f ca="1"/>
        <v/>
      </c>
      <c r="H618" s="17" t="str">
        <f ca="1"/>
        <v/>
      </c>
    </row>
    <row r="619" spans="2:8" x14ac:dyDescent="0.35">
      <c r="B619" t="str">
        <f ca="1"/>
        <v/>
      </c>
      <c r="C619" t="str">
        <f ca="1"/>
        <v/>
      </c>
      <c r="D619" t="str">
        <f ca="1"/>
        <v/>
      </c>
      <c r="E619" t="str">
        <f ca="1"/>
        <v/>
      </c>
      <c r="F619" t="str">
        <f ca="1"/>
        <v/>
      </c>
      <c r="G619" t="str">
        <f ca="1"/>
        <v/>
      </c>
      <c r="H619" s="17" t="str">
        <f ca="1"/>
        <v/>
      </c>
    </row>
    <row r="620" spans="2:8" x14ac:dyDescent="0.35">
      <c r="B620" t="str">
        <f ca="1"/>
        <v/>
      </c>
      <c r="C620" t="str">
        <f ca="1"/>
        <v/>
      </c>
      <c r="D620" t="str">
        <f ca="1"/>
        <v/>
      </c>
      <c r="E620" t="str">
        <f ca="1"/>
        <v/>
      </c>
      <c r="F620" t="str">
        <f ca="1"/>
        <v/>
      </c>
      <c r="G620" t="str">
        <f ca="1"/>
        <v/>
      </c>
      <c r="H620" s="17" t="str">
        <f ca="1"/>
        <v/>
      </c>
    </row>
    <row r="621" spans="2:8" x14ac:dyDescent="0.35">
      <c r="B621" t="str">
        <f ca="1"/>
        <v/>
      </c>
      <c r="C621" t="str">
        <f ca="1"/>
        <v/>
      </c>
      <c r="D621" t="str">
        <f ca="1"/>
        <v/>
      </c>
      <c r="E621" t="str">
        <f ca="1"/>
        <v/>
      </c>
      <c r="F621" t="str">
        <f ca="1"/>
        <v/>
      </c>
      <c r="G621" t="str">
        <f ca="1"/>
        <v/>
      </c>
      <c r="H621" s="17" t="str">
        <f ca="1"/>
        <v/>
      </c>
    </row>
    <row r="622" spans="2:8" x14ac:dyDescent="0.35">
      <c r="B622" t="str">
        <f ca="1"/>
        <v/>
      </c>
      <c r="C622" t="str">
        <f ca="1"/>
        <v/>
      </c>
      <c r="D622" t="str">
        <f ca="1"/>
        <v/>
      </c>
      <c r="E622" t="str">
        <f ca="1"/>
        <v/>
      </c>
      <c r="F622" t="str">
        <f ca="1"/>
        <v/>
      </c>
      <c r="G622" t="str">
        <f ca="1"/>
        <v/>
      </c>
      <c r="H622" s="17" t="str">
        <f ca="1"/>
        <v/>
      </c>
    </row>
    <row r="623" spans="2:8" x14ac:dyDescent="0.35">
      <c r="B623" t="str">
        <f ca="1"/>
        <v/>
      </c>
      <c r="C623" t="str">
        <f ca="1"/>
        <v/>
      </c>
      <c r="D623" t="str">
        <f ca="1"/>
        <v/>
      </c>
      <c r="E623" t="str">
        <f ca="1"/>
        <v/>
      </c>
      <c r="F623" t="str">
        <f ca="1"/>
        <v/>
      </c>
      <c r="G623" t="str">
        <f ca="1"/>
        <v/>
      </c>
      <c r="H623" s="17" t="str">
        <f ca="1"/>
        <v/>
      </c>
    </row>
    <row r="624" spans="2:8" x14ac:dyDescent="0.35">
      <c r="B624" t="str">
        <f ca="1"/>
        <v/>
      </c>
      <c r="C624" t="str">
        <f ca="1"/>
        <v/>
      </c>
      <c r="D624" t="str">
        <f ca="1"/>
        <v/>
      </c>
      <c r="E624" t="str">
        <f ca="1"/>
        <v/>
      </c>
      <c r="F624" t="str">
        <f ca="1"/>
        <v/>
      </c>
      <c r="G624" t="str">
        <f ca="1"/>
        <v/>
      </c>
      <c r="H624" s="17" t="str">
        <f ca="1"/>
        <v/>
      </c>
    </row>
    <row r="625" spans="2:8" x14ac:dyDescent="0.35">
      <c r="B625" t="str">
        <f ca="1"/>
        <v/>
      </c>
      <c r="C625" t="str">
        <f ca="1"/>
        <v/>
      </c>
      <c r="D625" t="str">
        <f ca="1"/>
        <v/>
      </c>
      <c r="E625" t="str">
        <f ca="1"/>
        <v/>
      </c>
      <c r="F625" t="str">
        <f ca="1"/>
        <v/>
      </c>
      <c r="G625" t="str">
        <f ca="1"/>
        <v/>
      </c>
      <c r="H625" s="17" t="str">
        <f ca="1"/>
        <v/>
      </c>
    </row>
    <row r="626" spans="2:8" x14ac:dyDescent="0.35">
      <c r="B626" t="str">
        <f ca="1"/>
        <v/>
      </c>
      <c r="C626" t="str">
        <f ca="1"/>
        <v/>
      </c>
      <c r="D626" t="str">
        <f ca="1"/>
        <v/>
      </c>
      <c r="E626" t="str">
        <f ca="1"/>
        <v/>
      </c>
      <c r="F626" t="str">
        <f ca="1"/>
        <v/>
      </c>
      <c r="G626" t="str">
        <f ca="1"/>
        <v/>
      </c>
      <c r="H626" s="17" t="str">
        <f ca="1"/>
        <v/>
      </c>
    </row>
    <row r="627" spans="2:8" x14ac:dyDescent="0.35">
      <c r="B627" t="str">
        <f ca="1"/>
        <v/>
      </c>
      <c r="C627" t="str">
        <f ca="1"/>
        <v/>
      </c>
      <c r="D627" t="str">
        <f ca="1"/>
        <v/>
      </c>
      <c r="E627" t="str">
        <f ca="1"/>
        <v/>
      </c>
      <c r="F627" t="str">
        <f ca="1"/>
        <v/>
      </c>
      <c r="G627" t="str">
        <f ca="1"/>
        <v/>
      </c>
      <c r="H627" s="17" t="str">
        <f ca="1"/>
        <v/>
      </c>
    </row>
    <row r="628" spans="2:8" x14ac:dyDescent="0.35">
      <c r="B628" t="str">
        <f ca="1"/>
        <v/>
      </c>
      <c r="C628" t="str">
        <f ca="1"/>
        <v/>
      </c>
      <c r="D628" t="str">
        <f ca="1"/>
        <v/>
      </c>
      <c r="E628" t="str">
        <f ca="1"/>
        <v/>
      </c>
      <c r="F628" t="str">
        <f ca="1"/>
        <v/>
      </c>
      <c r="G628" t="str">
        <f ca="1"/>
        <v/>
      </c>
      <c r="H628" s="17" t="str">
        <f ca="1"/>
        <v/>
      </c>
    </row>
    <row r="629" spans="2:8" x14ac:dyDescent="0.35">
      <c r="B629" t="str">
        <f ca="1"/>
        <v/>
      </c>
      <c r="C629" t="str">
        <f ca="1"/>
        <v/>
      </c>
      <c r="D629" t="str">
        <f ca="1"/>
        <v/>
      </c>
      <c r="E629" t="str">
        <f ca="1"/>
        <v/>
      </c>
      <c r="F629" t="str">
        <f ca="1"/>
        <v/>
      </c>
      <c r="G629" t="str">
        <f ca="1"/>
        <v/>
      </c>
      <c r="H629" s="17" t="str">
        <f ca="1"/>
        <v/>
      </c>
    </row>
    <row r="630" spans="2:8" x14ac:dyDescent="0.35">
      <c r="B630" t="str">
        <f ca="1"/>
        <v/>
      </c>
      <c r="C630" t="str">
        <f ca="1"/>
        <v/>
      </c>
      <c r="D630" t="str">
        <f ca="1"/>
        <v/>
      </c>
      <c r="E630" t="str">
        <f ca="1"/>
        <v/>
      </c>
      <c r="F630" t="str">
        <f ca="1"/>
        <v/>
      </c>
      <c r="G630" t="str">
        <f ca="1"/>
        <v/>
      </c>
      <c r="H630" s="17" t="str">
        <f ca="1"/>
        <v/>
      </c>
    </row>
    <row r="631" spans="2:8" x14ac:dyDescent="0.35">
      <c r="B631" t="str">
        <f ca="1"/>
        <v/>
      </c>
      <c r="C631" t="str">
        <f ca="1"/>
        <v/>
      </c>
      <c r="D631" t="str">
        <f ca="1"/>
        <v/>
      </c>
      <c r="E631" t="str">
        <f ca="1"/>
        <v/>
      </c>
      <c r="F631" t="str">
        <f ca="1"/>
        <v/>
      </c>
      <c r="G631" t="str">
        <f ca="1"/>
        <v/>
      </c>
      <c r="H631" s="17" t="str">
        <f ca="1"/>
        <v/>
      </c>
    </row>
    <row r="632" spans="2:8" x14ac:dyDescent="0.35">
      <c r="B632" t="str">
        <f ca="1"/>
        <v/>
      </c>
      <c r="C632" t="str">
        <f ca="1"/>
        <v/>
      </c>
      <c r="D632" t="str">
        <f ca="1"/>
        <v/>
      </c>
      <c r="E632" t="str">
        <f ca="1"/>
        <v/>
      </c>
      <c r="F632" t="str">
        <f ca="1"/>
        <v/>
      </c>
      <c r="G632" t="str">
        <f ca="1"/>
        <v/>
      </c>
      <c r="H632" s="17" t="str">
        <f ca="1"/>
        <v/>
      </c>
    </row>
    <row r="633" spans="2:8" x14ac:dyDescent="0.35">
      <c r="B633" t="str">
        <f ca="1"/>
        <v/>
      </c>
      <c r="C633" t="str">
        <f ca="1"/>
        <v/>
      </c>
      <c r="D633" t="str">
        <f ca="1"/>
        <v/>
      </c>
      <c r="E633" t="str">
        <f ca="1"/>
        <v/>
      </c>
      <c r="F633" t="str">
        <f ca="1"/>
        <v/>
      </c>
      <c r="G633" t="str">
        <f ca="1"/>
        <v/>
      </c>
      <c r="H633" s="17" t="str">
        <f ca="1"/>
        <v/>
      </c>
    </row>
    <row r="634" spans="2:8" x14ac:dyDescent="0.35">
      <c r="B634" t="str">
        <f ca="1"/>
        <v/>
      </c>
      <c r="C634" t="str">
        <f ca="1"/>
        <v/>
      </c>
      <c r="D634" t="str">
        <f ca="1"/>
        <v/>
      </c>
      <c r="E634" t="str">
        <f ca="1"/>
        <v/>
      </c>
      <c r="F634" t="str">
        <f ca="1"/>
        <v/>
      </c>
      <c r="G634" t="str">
        <f ca="1"/>
        <v/>
      </c>
      <c r="H634" s="17" t="str">
        <f ca="1"/>
        <v/>
      </c>
    </row>
    <row r="635" spans="2:8" x14ac:dyDescent="0.35">
      <c r="B635" t="str">
        <f ca="1"/>
        <v/>
      </c>
      <c r="C635" t="str">
        <f ca="1"/>
        <v/>
      </c>
      <c r="D635" t="str">
        <f ca="1"/>
        <v/>
      </c>
      <c r="E635" t="str">
        <f ca="1"/>
        <v/>
      </c>
      <c r="F635" t="str">
        <f ca="1"/>
        <v/>
      </c>
      <c r="G635" t="str">
        <f ca="1"/>
        <v/>
      </c>
      <c r="H635" s="17" t="str">
        <f ca="1"/>
        <v/>
      </c>
    </row>
    <row r="636" spans="2:8" x14ac:dyDescent="0.35">
      <c r="B636" t="str">
        <f ca="1"/>
        <v/>
      </c>
      <c r="C636" t="str">
        <f ca="1"/>
        <v/>
      </c>
      <c r="D636" t="str">
        <f ca="1"/>
        <v/>
      </c>
      <c r="E636" t="str">
        <f ca="1"/>
        <v/>
      </c>
      <c r="F636" t="str">
        <f ca="1"/>
        <v/>
      </c>
      <c r="G636" t="str">
        <f ca="1"/>
        <v/>
      </c>
      <c r="H636" s="17" t="str">
        <f ca="1"/>
        <v/>
      </c>
    </row>
    <row r="637" spans="2:8" x14ac:dyDescent="0.35">
      <c r="B637" t="str">
        <f ca="1"/>
        <v/>
      </c>
      <c r="C637" t="str">
        <f ca="1"/>
        <v/>
      </c>
      <c r="D637" t="str">
        <f ca="1"/>
        <v/>
      </c>
      <c r="E637" t="str">
        <f ca="1"/>
        <v/>
      </c>
      <c r="F637" t="str">
        <f ca="1"/>
        <v/>
      </c>
      <c r="G637" t="str">
        <f ca="1"/>
        <v/>
      </c>
      <c r="H637" s="17" t="str">
        <f ca="1"/>
        <v/>
      </c>
    </row>
    <row r="638" spans="2:8" x14ac:dyDescent="0.35">
      <c r="B638" t="str">
        <f ca="1"/>
        <v/>
      </c>
      <c r="C638" t="str">
        <f ca="1"/>
        <v/>
      </c>
      <c r="D638" t="str">
        <f ca="1"/>
        <v/>
      </c>
      <c r="E638" t="str">
        <f ca="1"/>
        <v/>
      </c>
      <c r="F638" t="str">
        <f ca="1"/>
        <v/>
      </c>
      <c r="G638" t="str">
        <f ca="1"/>
        <v/>
      </c>
      <c r="H638" s="17" t="str">
        <f ca="1"/>
        <v/>
      </c>
    </row>
    <row r="639" spans="2:8" x14ac:dyDescent="0.35">
      <c r="B639" t="str">
        <f ca="1"/>
        <v/>
      </c>
      <c r="C639" t="str">
        <f ca="1"/>
        <v/>
      </c>
      <c r="D639" t="str">
        <f ca="1"/>
        <v/>
      </c>
      <c r="E639" t="str">
        <f ca="1"/>
        <v/>
      </c>
      <c r="F639" t="str">
        <f ca="1"/>
        <v/>
      </c>
      <c r="G639" t="str">
        <f ca="1"/>
        <v/>
      </c>
      <c r="H639" s="17" t="str">
        <f ca="1"/>
        <v/>
      </c>
    </row>
    <row r="640" spans="2:8" x14ac:dyDescent="0.35">
      <c r="B640" t="str">
        <f ca="1"/>
        <v/>
      </c>
      <c r="C640" t="str">
        <f ca="1"/>
        <v/>
      </c>
      <c r="D640" t="str">
        <f ca="1"/>
        <v/>
      </c>
      <c r="E640" t="str">
        <f ca="1"/>
        <v/>
      </c>
      <c r="F640" t="str">
        <f ca="1"/>
        <v/>
      </c>
      <c r="G640" t="str">
        <f ca="1"/>
        <v/>
      </c>
      <c r="H640" s="17" t="str">
        <f ca="1"/>
        <v/>
      </c>
    </row>
    <row r="641" spans="2:8" x14ac:dyDescent="0.35">
      <c r="B641" t="str">
        <f ca="1"/>
        <v/>
      </c>
      <c r="C641" t="str">
        <f ca="1"/>
        <v/>
      </c>
      <c r="D641" t="str">
        <f ca="1"/>
        <v/>
      </c>
      <c r="E641" t="str">
        <f ca="1"/>
        <v/>
      </c>
      <c r="F641" t="str">
        <f ca="1"/>
        <v/>
      </c>
      <c r="G641" t="str">
        <f ca="1"/>
        <v/>
      </c>
      <c r="H641" s="17" t="str">
        <f ca="1"/>
        <v/>
      </c>
    </row>
    <row r="642" spans="2:8" x14ac:dyDescent="0.35">
      <c r="B642" t="str">
        <f ca="1"/>
        <v/>
      </c>
      <c r="C642" t="str">
        <f ca="1"/>
        <v/>
      </c>
      <c r="D642" t="str">
        <f ca="1"/>
        <v/>
      </c>
      <c r="E642" t="str">
        <f ca="1"/>
        <v/>
      </c>
      <c r="F642" t="str">
        <f ca="1"/>
        <v/>
      </c>
      <c r="G642" t="str">
        <f ca="1"/>
        <v/>
      </c>
      <c r="H642" s="17" t="str">
        <f ca="1"/>
        <v/>
      </c>
    </row>
    <row r="643" spans="2:8" x14ac:dyDescent="0.35">
      <c r="B643" t="str">
        <f ca="1"/>
        <v/>
      </c>
      <c r="C643" t="str">
        <f ca="1"/>
        <v/>
      </c>
      <c r="D643" t="str">
        <f ca="1"/>
        <v/>
      </c>
      <c r="E643" t="str">
        <f ca="1"/>
        <v/>
      </c>
      <c r="F643" t="str">
        <f ca="1"/>
        <v/>
      </c>
      <c r="G643" t="str">
        <f ca="1"/>
        <v/>
      </c>
      <c r="H643" s="17" t="str">
        <f ca="1"/>
        <v/>
      </c>
    </row>
    <row r="644" spans="2:8" x14ac:dyDescent="0.35">
      <c r="B644" t="str">
        <f ca="1"/>
        <v/>
      </c>
      <c r="C644" t="str">
        <f ca="1"/>
        <v/>
      </c>
      <c r="D644" t="str">
        <f ca="1"/>
        <v/>
      </c>
      <c r="E644" t="str">
        <f ca="1"/>
        <v/>
      </c>
      <c r="F644" t="str">
        <f ca="1"/>
        <v/>
      </c>
      <c r="G644" t="str">
        <f ca="1"/>
        <v/>
      </c>
      <c r="H644" s="17" t="str">
        <f ca="1"/>
        <v/>
      </c>
    </row>
    <row r="645" spans="2:8" x14ac:dyDescent="0.35">
      <c r="B645" t="str">
        <f ca="1"/>
        <v/>
      </c>
      <c r="C645" t="str">
        <f ca="1"/>
        <v/>
      </c>
      <c r="D645" t="str">
        <f ca="1"/>
        <v/>
      </c>
      <c r="E645" t="str">
        <f ca="1"/>
        <v/>
      </c>
      <c r="F645" t="str">
        <f ca="1"/>
        <v/>
      </c>
      <c r="G645" t="str">
        <f ca="1"/>
        <v/>
      </c>
      <c r="H645" s="17" t="str">
        <f ca="1"/>
        <v/>
      </c>
    </row>
    <row r="646" spans="2:8" x14ac:dyDescent="0.35">
      <c r="B646" t="str">
        <f ca="1"/>
        <v/>
      </c>
      <c r="C646" t="str">
        <f ca="1"/>
        <v/>
      </c>
      <c r="D646" t="str">
        <f ca="1"/>
        <v/>
      </c>
      <c r="E646" t="str">
        <f ca="1"/>
        <v/>
      </c>
      <c r="F646" t="str">
        <f ca="1"/>
        <v/>
      </c>
      <c r="G646" t="str">
        <f ca="1"/>
        <v/>
      </c>
      <c r="H646" s="17" t="str">
        <f ca="1"/>
        <v/>
      </c>
    </row>
    <row r="647" spans="2:8" x14ac:dyDescent="0.35">
      <c r="B647" t="str">
        <f ca="1"/>
        <v/>
      </c>
      <c r="C647" t="str">
        <f ca="1"/>
        <v/>
      </c>
      <c r="D647" t="str">
        <f ca="1"/>
        <v/>
      </c>
      <c r="E647" t="str">
        <f ca="1"/>
        <v/>
      </c>
      <c r="F647" t="str">
        <f ca="1"/>
        <v/>
      </c>
      <c r="G647" t="str">
        <f ca="1"/>
        <v/>
      </c>
      <c r="H647" s="17" t="str">
        <f ca="1"/>
        <v/>
      </c>
    </row>
    <row r="648" spans="2:8" x14ac:dyDescent="0.35">
      <c r="B648" t="str">
        <f ca="1"/>
        <v/>
      </c>
      <c r="C648" t="str">
        <f ca="1"/>
        <v/>
      </c>
      <c r="D648" t="str">
        <f ca="1"/>
        <v/>
      </c>
      <c r="E648" t="str">
        <f ca="1"/>
        <v/>
      </c>
      <c r="F648" t="str">
        <f ca="1"/>
        <v/>
      </c>
      <c r="G648" t="str">
        <f ca="1"/>
        <v/>
      </c>
      <c r="H648" s="17" t="str">
        <f ca="1"/>
        <v/>
      </c>
    </row>
    <row r="649" spans="2:8" x14ac:dyDescent="0.35">
      <c r="B649" t="str">
        <f ca="1"/>
        <v/>
      </c>
      <c r="C649" t="str">
        <f ca="1"/>
        <v/>
      </c>
      <c r="D649" t="str">
        <f ca="1"/>
        <v/>
      </c>
      <c r="E649" t="str">
        <f ca="1"/>
        <v/>
      </c>
      <c r="F649" t="str">
        <f ca="1"/>
        <v/>
      </c>
      <c r="G649" t="str">
        <f ca="1"/>
        <v/>
      </c>
      <c r="H649" s="17" t="str">
        <f ca="1"/>
        <v/>
      </c>
    </row>
    <row r="650" spans="2:8" x14ac:dyDescent="0.35">
      <c r="B650" t="str">
        <f ca="1"/>
        <v/>
      </c>
      <c r="C650" t="str">
        <f ca="1"/>
        <v/>
      </c>
      <c r="D650" t="str">
        <f ca="1"/>
        <v/>
      </c>
      <c r="E650" t="str">
        <f ca="1"/>
        <v/>
      </c>
      <c r="F650" t="str">
        <f ca="1"/>
        <v/>
      </c>
      <c r="G650" t="str">
        <f ca="1"/>
        <v/>
      </c>
      <c r="H650" s="17" t="str">
        <f ca="1"/>
        <v/>
      </c>
    </row>
    <row r="651" spans="2:8" x14ac:dyDescent="0.35">
      <c r="B651" t="str">
        <f ca="1"/>
        <v/>
      </c>
      <c r="C651" t="str">
        <f ca="1"/>
        <v/>
      </c>
      <c r="D651" t="str">
        <f ca="1"/>
        <v/>
      </c>
      <c r="E651" t="str">
        <f ca="1"/>
        <v/>
      </c>
      <c r="F651" t="str">
        <f ca="1"/>
        <v/>
      </c>
      <c r="G651" t="str">
        <f ca="1"/>
        <v/>
      </c>
      <c r="H651" s="17" t="str">
        <f ca="1"/>
        <v/>
      </c>
    </row>
    <row r="652" spans="2:8" x14ac:dyDescent="0.35">
      <c r="B652" t="str">
        <f ca="1"/>
        <v/>
      </c>
      <c r="C652" t="str">
        <f ca="1"/>
        <v/>
      </c>
      <c r="D652" t="str">
        <f ca="1"/>
        <v/>
      </c>
      <c r="E652" t="str">
        <f ca="1"/>
        <v/>
      </c>
      <c r="F652" t="str">
        <f ca="1"/>
        <v/>
      </c>
      <c r="G652" t="str">
        <f ca="1"/>
        <v/>
      </c>
      <c r="H652" s="17" t="str">
        <f ca="1"/>
        <v/>
      </c>
    </row>
    <row r="653" spans="2:8" x14ac:dyDescent="0.35">
      <c r="B653" t="str">
        <f ca="1"/>
        <v/>
      </c>
      <c r="C653" t="str">
        <f ca="1"/>
        <v/>
      </c>
      <c r="D653" t="str">
        <f ca="1"/>
        <v/>
      </c>
      <c r="E653" t="str">
        <f ca="1"/>
        <v/>
      </c>
      <c r="F653" t="str">
        <f ca="1"/>
        <v/>
      </c>
      <c r="G653" t="str">
        <f ca="1"/>
        <v/>
      </c>
      <c r="H653" s="17" t="str">
        <f ca="1"/>
        <v/>
      </c>
    </row>
    <row r="654" spans="2:8" x14ac:dyDescent="0.35">
      <c r="B654" t="str">
        <f ca="1"/>
        <v/>
      </c>
      <c r="C654" t="str">
        <f ca="1"/>
        <v/>
      </c>
      <c r="D654" t="str">
        <f ca="1"/>
        <v/>
      </c>
      <c r="E654" t="str">
        <f ca="1"/>
        <v/>
      </c>
      <c r="F654" t="str">
        <f ca="1"/>
        <v/>
      </c>
      <c r="G654" t="str">
        <f ca="1"/>
        <v/>
      </c>
      <c r="H654" s="17" t="str">
        <f ca="1"/>
        <v/>
      </c>
    </row>
    <row r="655" spans="2:8" x14ac:dyDescent="0.35">
      <c r="B655" t="str">
        <f ca="1"/>
        <v/>
      </c>
      <c r="C655" t="str">
        <f ca="1"/>
        <v/>
      </c>
      <c r="D655" t="str">
        <f ca="1"/>
        <v/>
      </c>
      <c r="E655" t="str">
        <f ca="1"/>
        <v/>
      </c>
      <c r="F655" t="str">
        <f ca="1"/>
        <v/>
      </c>
      <c r="G655" t="str">
        <f ca="1"/>
        <v/>
      </c>
      <c r="H655" s="17" t="str">
        <f ca="1"/>
        <v/>
      </c>
    </row>
    <row r="656" spans="2:8" x14ac:dyDescent="0.35">
      <c r="B656" t="str">
        <f ca="1"/>
        <v/>
      </c>
      <c r="C656" t="str">
        <f ca="1"/>
        <v/>
      </c>
      <c r="D656" t="str">
        <f ca="1"/>
        <v/>
      </c>
      <c r="E656" t="str">
        <f ca="1"/>
        <v/>
      </c>
      <c r="F656" t="str">
        <f ca="1"/>
        <v/>
      </c>
      <c r="G656" t="str">
        <f ca="1"/>
        <v/>
      </c>
      <c r="H656" s="17" t="str">
        <f ca="1"/>
        <v/>
      </c>
    </row>
    <row r="657" spans="2:8" x14ac:dyDescent="0.35">
      <c r="B657" t="str">
        <f ca="1"/>
        <v/>
      </c>
      <c r="C657" t="str">
        <f ca="1"/>
        <v/>
      </c>
      <c r="D657" t="str">
        <f ca="1"/>
        <v/>
      </c>
      <c r="E657" t="str">
        <f ca="1"/>
        <v/>
      </c>
      <c r="F657" t="str">
        <f ca="1"/>
        <v/>
      </c>
      <c r="G657" t="str">
        <f ca="1"/>
        <v/>
      </c>
      <c r="H657" s="17" t="str">
        <f ca="1"/>
        <v/>
      </c>
    </row>
    <row r="658" spans="2:8" x14ac:dyDescent="0.35">
      <c r="B658" t="str">
        <f ca="1"/>
        <v/>
      </c>
      <c r="C658" t="str">
        <f ca="1"/>
        <v/>
      </c>
      <c r="D658" t="str">
        <f ca="1"/>
        <v/>
      </c>
      <c r="E658" t="str">
        <f ca="1"/>
        <v/>
      </c>
      <c r="F658" t="str">
        <f ca="1"/>
        <v/>
      </c>
      <c r="G658" t="str">
        <f ca="1"/>
        <v/>
      </c>
      <c r="H658" s="17" t="str">
        <f ca="1"/>
        <v/>
      </c>
    </row>
    <row r="659" spans="2:8" x14ac:dyDescent="0.35">
      <c r="B659" t="str">
        <f ca="1"/>
        <v/>
      </c>
      <c r="C659" t="str">
        <f ca="1"/>
        <v/>
      </c>
      <c r="D659" t="str">
        <f ca="1"/>
        <v/>
      </c>
      <c r="E659" t="str">
        <f ca="1"/>
        <v/>
      </c>
      <c r="F659" t="str">
        <f ca="1"/>
        <v/>
      </c>
      <c r="G659" t="str">
        <f ca="1"/>
        <v/>
      </c>
      <c r="H659" s="17" t="str">
        <f ca="1"/>
        <v/>
      </c>
    </row>
    <row r="660" spans="2:8" x14ac:dyDescent="0.35">
      <c r="B660" t="str">
        <f ca="1"/>
        <v/>
      </c>
      <c r="C660" t="str">
        <f ca="1"/>
        <v/>
      </c>
      <c r="D660" t="str">
        <f ca="1"/>
        <v/>
      </c>
      <c r="E660" t="str">
        <f ca="1"/>
        <v/>
      </c>
      <c r="F660" t="str">
        <f ca="1"/>
        <v/>
      </c>
      <c r="G660" t="str">
        <f ca="1"/>
        <v/>
      </c>
      <c r="H660" s="17" t="str">
        <f ca="1"/>
        <v/>
      </c>
    </row>
    <row r="661" spans="2:8" x14ac:dyDescent="0.35">
      <c r="B661" t="str">
        <f ca="1"/>
        <v/>
      </c>
      <c r="C661" t="str">
        <f ca="1"/>
        <v/>
      </c>
      <c r="D661" t="str">
        <f ca="1"/>
        <v/>
      </c>
      <c r="E661" t="str">
        <f ca="1"/>
        <v/>
      </c>
      <c r="F661" t="str">
        <f ca="1"/>
        <v/>
      </c>
      <c r="G661" t="str">
        <f ca="1"/>
        <v/>
      </c>
      <c r="H661" s="17" t="str">
        <f ca="1"/>
        <v/>
      </c>
    </row>
    <row r="662" spans="2:8" x14ac:dyDescent="0.35">
      <c r="B662" t="str">
        <f ca="1"/>
        <v/>
      </c>
      <c r="C662" t="str">
        <f ca="1"/>
        <v/>
      </c>
      <c r="D662" t="str">
        <f ca="1"/>
        <v/>
      </c>
      <c r="E662" t="str">
        <f ca="1"/>
        <v/>
      </c>
      <c r="F662" t="str">
        <f ca="1"/>
        <v/>
      </c>
      <c r="G662" t="str">
        <f ca="1"/>
        <v/>
      </c>
      <c r="H662" s="17" t="str">
        <f ca="1"/>
        <v/>
      </c>
    </row>
    <row r="663" spans="2:8" x14ac:dyDescent="0.35">
      <c r="B663" t="str">
        <f ca="1"/>
        <v/>
      </c>
      <c r="C663" t="str">
        <f ca="1"/>
        <v/>
      </c>
      <c r="D663" t="str">
        <f ca="1"/>
        <v/>
      </c>
      <c r="E663" t="str">
        <f ca="1"/>
        <v/>
      </c>
      <c r="F663" t="str">
        <f ca="1"/>
        <v/>
      </c>
      <c r="G663" t="str">
        <f ca="1"/>
        <v/>
      </c>
      <c r="H663" s="17" t="str">
        <f ca="1"/>
        <v/>
      </c>
    </row>
    <row r="664" spans="2:8" x14ac:dyDescent="0.35">
      <c r="B664" t="str">
        <f ca="1"/>
        <v/>
      </c>
      <c r="C664" t="str">
        <f ca="1"/>
        <v/>
      </c>
      <c r="D664" t="str">
        <f ca="1"/>
        <v/>
      </c>
      <c r="E664" t="str">
        <f ca="1"/>
        <v/>
      </c>
      <c r="F664" t="str">
        <f ca="1"/>
        <v/>
      </c>
      <c r="G664" t="str">
        <f ca="1"/>
        <v/>
      </c>
      <c r="H664" s="17" t="str">
        <f ca="1"/>
        <v/>
      </c>
    </row>
    <row r="665" spans="2:8" x14ac:dyDescent="0.35">
      <c r="B665" t="str">
        <f ca="1"/>
        <v/>
      </c>
      <c r="C665" t="str">
        <f ca="1"/>
        <v/>
      </c>
      <c r="D665" t="str">
        <f ca="1"/>
        <v/>
      </c>
      <c r="E665" t="str">
        <f ca="1"/>
        <v/>
      </c>
      <c r="F665" t="str">
        <f ca="1"/>
        <v/>
      </c>
      <c r="G665" t="str">
        <f ca="1"/>
        <v/>
      </c>
      <c r="H665" s="17" t="str">
        <f ca="1"/>
        <v/>
      </c>
    </row>
    <row r="666" spans="2:8" x14ac:dyDescent="0.35">
      <c r="B666" t="str">
        <f ca="1"/>
        <v/>
      </c>
      <c r="C666" t="str">
        <f ca="1"/>
        <v/>
      </c>
      <c r="D666" t="str">
        <f ca="1"/>
        <v/>
      </c>
      <c r="E666" t="str">
        <f ca="1"/>
        <v/>
      </c>
      <c r="F666" t="str">
        <f ca="1"/>
        <v/>
      </c>
      <c r="G666" t="str">
        <f ca="1"/>
        <v/>
      </c>
      <c r="H666" s="17" t="str">
        <f ca="1"/>
        <v/>
      </c>
    </row>
    <row r="667" spans="2:8" x14ac:dyDescent="0.35">
      <c r="B667" t="str">
        <f ca="1"/>
        <v/>
      </c>
      <c r="C667" t="str">
        <f ca="1"/>
        <v/>
      </c>
      <c r="D667" t="str">
        <f ca="1"/>
        <v/>
      </c>
      <c r="E667" t="str">
        <f ca="1"/>
        <v/>
      </c>
      <c r="F667" t="str">
        <f ca="1"/>
        <v/>
      </c>
      <c r="G667" t="str">
        <f ca="1"/>
        <v/>
      </c>
      <c r="H667" s="17" t="str">
        <f ca="1"/>
        <v/>
      </c>
    </row>
    <row r="668" spans="2:8" x14ac:dyDescent="0.35">
      <c r="B668" t="str">
        <f ca="1"/>
        <v/>
      </c>
      <c r="C668" t="str">
        <f ca="1"/>
        <v/>
      </c>
      <c r="D668" t="str">
        <f ca="1"/>
        <v/>
      </c>
      <c r="E668" t="str">
        <f ca="1"/>
        <v/>
      </c>
      <c r="F668" t="str">
        <f ca="1"/>
        <v/>
      </c>
      <c r="G668" t="str">
        <f ca="1"/>
        <v/>
      </c>
      <c r="H668" s="17" t="str">
        <f ca="1"/>
        <v/>
      </c>
    </row>
    <row r="669" spans="2:8" x14ac:dyDescent="0.35">
      <c r="B669" t="str">
        <f ca="1"/>
        <v/>
      </c>
      <c r="C669" t="str">
        <f ca="1"/>
        <v/>
      </c>
      <c r="D669" t="str">
        <f ca="1"/>
        <v/>
      </c>
      <c r="E669" t="str">
        <f ca="1"/>
        <v/>
      </c>
      <c r="F669" t="str">
        <f ca="1"/>
        <v/>
      </c>
      <c r="G669" t="str">
        <f ca="1"/>
        <v/>
      </c>
      <c r="H669" s="17" t="str">
        <f ca="1"/>
        <v/>
      </c>
    </row>
    <row r="670" spans="2:8" x14ac:dyDescent="0.35">
      <c r="B670" t="str">
        <f ca="1"/>
        <v/>
      </c>
      <c r="C670" t="str">
        <f ca="1"/>
        <v/>
      </c>
      <c r="D670" t="str">
        <f ca="1"/>
        <v/>
      </c>
      <c r="E670" t="str">
        <f ca="1"/>
        <v/>
      </c>
      <c r="F670" t="str">
        <f ca="1"/>
        <v/>
      </c>
      <c r="G670" t="str">
        <f ca="1"/>
        <v/>
      </c>
      <c r="H670" s="17" t="str">
        <f ca="1"/>
        <v/>
      </c>
    </row>
    <row r="671" spans="2:8" x14ac:dyDescent="0.35">
      <c r="B671" t="str">
        <f ca="1"/>
        <v/>
      </c>
      <c r="C671" t="str">
        <f ca="1"/>
        <v/>
      </c>
      <c r="D671" t="str">
        <f ca="1"/>
        <v/>
      </c>
      <c r="E671" t="str">
        <f ca="1"/>
        <v/>
      </c>
      <c r="F671" t="str">
        <f ca="1"/>
        <v/>
      </c>
      <c r="G671" t="str">
        <f ca="1"/>
        <v/>
      </c>
      <c r="H671" s="17" t="str">
        <f ca="1"/>
        <v/>
      </c>
    </row>
    <row r="672" spans="2:8" x14ac:dyDescent="0.35">
      <c r="B672" t="str">
        <f ca="1"/>
        <v/>
      </c>
      <c r="C672" t="str">
        <f ca="1"/>
        <v/>
      </c>
      <c r="D672" t="str">
        <f ca="1"/>
        <v/>
      </c>
      <c r="E672" t="str">
        <f ca="1"/>
        <v/>
      </c>
      <c r="F672" t="str">
        <f ca="1"/>
        <v/>
      </c>
      <c r="G672" t="str">
        <f ca="1"/>
        <v/>
      </c>
      <c r="H672" s="17" t="str">
        <f ca="1"/>
        <v/>
      </c>
    </row>
    <row r="673" spans="2:8" x14ac:dyDescent="0.35">
      <c r="B673" t="str">
        <f ca="1"/>
        <v/>
      </c>
      <c r="C673" t="str">
        <f ca="1"/>
        <v/>
      </c>
      <c r="D673" t="str">
        <f ca="1"/>
        <v/>
      </c>
      <c r="E673" t="str">
        <f ca="1"/>
        <v/>
      </c>
      <c r="F673" t="str">
        <f ca="1"/>
        <v/>
      </c>
      <c r="G673" t="str">
        <f ca="1"/>
        <v/>
      </c>
      <c r="H673" s="17" t="str">
        <f ca="1"/>
        <v/>
      </c>
    </row>
    <row r="674" spans="2:8" x14ac:dyDescent="0.35">
      <c r="B674" t="str">
        <f ca="1"/>
        <v/>
      </c>
      <c r="C674" t="str">
        <f ca="1"/>
        <v/>
      </c>
      <c r="D674" t="str">
        <f ca="1"/>
        <v/>
      </c>
      <c r="E674" t="str">
        <f ca="1"/>
        <v/>
      </c>
      <c r="F674" t="str">
        <f ca="1"/>
        <v/>
      </c>
      <c r="G674" t="str">
        <f ca="1"/>
        <v/>
      </c>
      <c r="H674" s="17" t="str">
        <f ca="1"/>
        <v/>
      </c>
    </row>
    <row r="675" spans="2:8" x14ac:dyDescent="0.35">
      <c r="B675" t="str">
        <f ca="1"/>
        <v/>
      </c>
      <c r="C675" t="str">
        <f ca="1"/>
        <v/>
      </c>
      <c r="D675" t="str">
        <f ca="1"/>
        <v/>
      </c>
      <c r="E675" t="str">
        <f ca="1"/>
        <v/>
      </c>
      <c r="F675" t="str">
        <f ca="1"/>
        <v/>
      </c>
      <c r="G675" t="str">
        <f ca="1"/>
        <v/>
      </c>
      <c r="H675" s="17" t="str">
        <f ca="1"/>
        <v/>
      </c>
    </row>
    <row r="676" spans="2:8" x14ac:dyDescent="0.35">
      <c r="B676" t="str">
        <f ca="1"/>
        <v/>
      </c>
      <c r="C676" t="str">
        <f ca="1"/>
        <v/>
      </c>
      <c r="D676" t="str">
        <f ca="1"/>
        <v/>
      </c>
      <c r="E676" t="str">
        <f ca="1"/>
        <v/>
      </c>
      <c r="F676" t="str">
        <f ca="1"/>
        <v/>
      </c>
      <c r="G676" t="str">
        <f ca="1"/>
        <v/>
      </c>
      <c r="H676" s="17" t="str">
        <f ca="1"/>
        <v/>
      </c>
    </row>
    <row r="677" spans="2:8" x14ac:dyDescent="0.35">
      <c r="B677" t="str">
        <f ca="1"/>
        <v/>
      </c>
      <c r="C677" t="str">
        <f ca="1"/>
        <v/>
      </c>
      <c r="D677" t="str">
        <f ca="1"/>
        <v/>
      </c>
      <c r="E677" t="str">
        <f ca="1"/>
        <v/>
      </c>
      <c r="F677" t="str">
        <f ca="1"/>
        <v/>
      </c>
      <c r="G677" t="str">
        <f ca="1"/>
        <v/>
      </c>
      <c r="H677" s="17" t="str">
        <f ca="1"/>
        <v/>
      </c>
    </row>
    <row r="678" spans="2:8" x14ac:dyDescent="0.35">
      <c r="B678" t="str">
        <f ca="1"/>
        <v/>
      </c>
      <c r="C678" t="str">
        <f ca="1"/>
        <v/>
      </c>
      <c r="D678" t="str">
        <f ca="1"/>
        <v/>
      </c>
      <c r="E678" t="str">
        <f ca="1"/>
        <v/>
      </c>
      <c r="F678" t="str">
        <f ca="1"/>
        <v/>
      </c>
      <c r="G678" t="str">
        <f ca="1"/>
        <v/>
      </c>
      <c r="H678" s="17" t="str">
        <f ca="1"/>
        <v/>
      </c>
    </row>
    <row r="679" spans="2:8" x14ac:dyDescent="0.35">
      <c r="B679" t="str">
        <f ca="1"/>
        <v/>
      </c>
      <c r="C679" t="str">
        <f ca="1"/>
        <v/>
      </c>
      <c r="D679" t="str">
        <f ca="1"/>
        <v/>
      </c>
      <c r="E679" t="str">
        <f ca="1"/>
        <v/>
      </c>
      <c r="F679" t="str">
        <f ca="1"/>
        <v/>
      </c>
      <c r="G679" t="str">
        <f ca="1"/>
        <v/>
      </c>
      <c r="H679" s="17" t="str">
        <f ca="1"/>
        <v/>
      </c>
    </row>
    <row r="680" spans="2:8" x14ac:dyDescent="0.35">
      <c r="B680" t="str">
        <f ca="1"/>
        <v/>
      </c>
      <c r="C680" t="str">
        <f ca="1"/>
        <v/>
      </c>
      <c r="D680" t="str">
        <f ca="1"/>
        <v/>
      </c>
      <c r="E680" t="str">
        <f ca="1"/>
        <v/>
      </c>
      <c r="F680" t="str">
        <f ca="1"/>
        <v/>
      </c>
      <c r="G680" t="str">
        <f ca="1"/>
        <v/>
      </c>
      <c r="H680" s="17" t="str">
        <f ca="1"/>
        <v/>
      </c>
    </row>
    <row r="681" spans="2:8" x14ac:dyDescent="0.35">
      <c r="B681" t="str">
        <f ca="1"/>
        <v/>
      </c>
      <c r="C681" t="str">
        <f ca="1"/>
        <v/>
      </c>
      <c r="D681" t="str">
        <f ca="1"/>
        <v/>
      </c>
      <c r="E681" t="str">
        <f ca="1"/>
        <v/>
      </c>
      <c r="F681" t="str">
        <f ca="1"/>
        <v/>
      </c>
      <c r="G681" t="str">
        <f ca="1"/>
        <v/>
      </c>
      <c r="H681" s="17" t="str">
        <f ca="1"/>
        <v/>
      </c>
    </row>
    <row r="682" spans="2:8" x14ac:dyDescent="0.35">
      <c r="B682" t="str">
        <f ca="1"/>
        <v/>
      </c>
      <c r="C682" t="str">
        <f ca="1"/>
        <v/>
      </c>
      <c r="D682" t="str">
        <f ca="1"/>
        <v/>
      </c>
      <c r="E682" t="str">
        <f ca="1"/>
        <v/>
      </c>
      <c r="F682" t="str">
        <f ca="1"/>
        <v/>
      </c>
      <c r="G682" t="str">
        <f ca="1"/>
        <v/>
      </c>
      <c r="H682" s="17" t="str">
        <f ca="1"/>
        <v/>
      </c>
    </row>
    <row r="683" spans="2:8" x14ac:dyDescent="0.35">
      <c r="B683" t="str">
        <f ca="1"/>
        <v/>
      </c>
      <c r="C683" t="str">
        <f ca="1"/>
        <v/>
      </c>
      <c r="D683" t="str">
        <f ca="1"/>
        <v/>
      </c>
      <c r="E683" t="str">
        <f ca="1"/>
        <v/>
      </c>
      <c r="F683" t="str">
        <f ca="1"/>
        <v/>
      </c>
      <c r="G683" t="str">
        <f ca="1"/>
        <v/>
      </c>
      <c r="H683" s="17" t="str">
        <f ca="1"/>
        <v/>
      </c>
    </row>
    <row r="684" spans="2:8" x14ac:dyDescent="0.35">
      <c r="B684" t="str">
        <f ca="1"/>
        <v/>
      </c>
      <c r="C684" t="str">
        <f ca="1"/>
        <v/>
      </c>
      <c r="D684" t="str">
        <f ca="1"/>
        <v/>
      </c>
      <c r="E684" t="str">
        <f ca="1"/>
        <v/>
      </c>
      <c r="F684" t="str">
        <f ca="1"/>
        <v/>
      </c>
      <c r="G684" t="str">
        <f ca="1"/>
        <v/>
      </c>
      <c r="H684" s="17" t="str">
        <f ca="1"/>
        <v/>
      </c>
    </row>
    <row r="685" spans="2:8" x14ac:dyDescent="0.35">
      <c r="B685" t="str">
        <f ca="1"/>
        <v/>
      </c>
      <c r="C685" t="str">
        <f ca="1"/>
        <v/>
      </c>
      <c r="D685" t="str">
        <f ca="1"/>
        <v/>
      </c>
      <c r="E685" t="str">
        <f ca="1"/>
        <v/>
      </c>
      <c r="F685" t="str">
        <f ca="1"/>
        <v/>
      </c>
      <c r="G685" t="str">
        <f ca="1"/>
        <v/>
      </c>
      <c r="H685" s="17" t="str">
        <f ca="1"/>
        <v/>
      </c>
    </row>
    <row r="686" spans="2:8" x14ac:dyDescent="0.35">
      <c r="B686" t="str">
        <f ca="1"/>
        <v/>
      </c>
      <c r="C686" t="str">
        <f ca="1"/>
        <v/>
      </c>
      <c r="D686" t="str">
        <f ca="1"/>
        <v/>
      </c>
      <c r="E686" t="str">
        <f ca="1"/>
        <v/>
      </c>
      <c r="F686" t="str">
        <f ca="1"/>
        <v/>
      </c>
      <c r="G686" t="str">
        <f ca="1"/>
        <v/>
      </c>
      <c r="H686" s="17" t="str">
        <f ca="1"/>
        <v/>
      </c>
    </row>
    <row r="687" spans="2:8" x14ac:dyDescent="0.35">
      <c r="B687" t="str">
        <f ca="1"/>
        <v/>
      </c>
      <c r="C687" t="str">
        <f ca="1"/>
        <v/>
      </c>
      <c r="D687" t="str">
        <f ca="1"/>
        <v/>
      </c>
      <c r="E687" t="str">
        <f ca="1"/>
        <v/>
      </c>
      <c r="F687" t="str">
        <f ca="1"/>
        <v/>
      </c>
      <c r="G687" t="str">
        <f ca="1"/>
        <v/>
      </c>
      <c r="H687" s="17" t="str">
        <f ca="1"/>
        <v/>
      </c>
    </row>
    <row r="688" spans="2:8" x14ac:dyDescent="0.35">
      <c r="B688" t="str">
        <f ca="1"/>
        <v/>
      </c>
      <c r="C688" t="str">
        <f ca="1"/>
        <v/>
      </c>
      <c r="D688" t="str">
        <f ca="1"/>
        <v/>
      </c>
      <c r="E688" t="str">
        <f ca="1"/>
        <v/>
      </c>
      <c r="F688" t="str">
        <f ca="1"/>
        <v/>
      </c>
      <c r="G688" t="str">
        <f ca="1"/>
        <v/>
      </c>
      <c r="H688" s="17" t="str">
        <f ca="1"/>
        <v/>
      </c>
    </row>
    <row r="689" spans="2:8" x14ac:dyDescent="0.35">
      <c r="B689" t="str">
        <f ca="1"/>
        <v/>
      </c>
      <c r="C689" t="str">
        <f ca="1"/>
        <v/>
      </c>
      <c r="D689" t="str">
        <f ca="1"/>
        <v/>
      </c>
      <c r="E689" t="str">
        <f ca="1"/>
        <v/>
      </c>
      <c r="F689" t="str">
        <f ca="1"/>
        <v/>
      </c>
      <c r="G689" t="str">
        <f ca="1"/>
        <v/>
      </c>
      <c r="H689" s="17" t="str">
        <f ca="1"/>
        <v/>
      </c>
    </row>
    <row r="690" spans="2:8" x14ac:dyDescent="0.35">
      <c r="B690" t="str">
        <f ca="1"/>
        <v/>
      </c>
      <c r="C690" t="str">
        <f ca="1"/>
        <v/>
      </c>
      <c r="D690" t="str">
        <f ca="1"/>
        <v/>
      </c>
      <c r="E690" t="str">
        <f ca="1"/>
        <v/>
      </c>
      <c r="F690" t="str">
        <f ca="1"/>
        <v/>
      </c>
      <c r="G690" t="str">
        <f ca="1"/>
        <v/>
      </c>
      <c r="H690" s="17" t="str">
        <f ca="1"/>
        <v/>
      </c>
    </row>
    <row r="691" spans="2:8" x14ac:dyDescent="0.35">
      <c r="B691" t="str">
        <f ca="1"/>
        <v/>
      </c>
      <c r="C691" t="str">
        <f ca="1"/>
        <v/>
      </c>
      <c r="D691" t="str">
        <f ca="1"/>
        <v/>
      </c>
      <c r="E691" t="str">
        <f ca="1"/>
        <v/>
      </c>
      <c r="F691" t="str">
        <f ca="1"/>
        <v/>
      </c>
      <c r="G691" t="str">
        <f ca="1"/>
        <v/>
      </c>
      <c r="H691" s="17" t="str">
        <f ca="1"/>
        <v/>
      </c>
    </row>
    <row r="692" spans="2:8" x14ac:dyDescent="0.35">
      <c r="B692" t="str">
        <f ca="1"/>
        <v/>
      </c>
      <c r="C692" t="str">
        <f ca="1"/>
        <v/>
      </c>
      <c r="D692" t="str">
        <f ca="1"/>
        <v/>
      </c>
      <c r="E692" t="str">
        <f ca="1"/>
        <v/>
      </c>
      <c r="F692" t="str">
        <f ca="1"/>
        <v/>
      </c>
      <c r="G692" t="str">
        <f ca="1"/>
        <v/>
      </c>
      <c r="H692" s="17" t="str">
        <f ca="1"/>
        <v/>
      </c>
    </row>
    <row r="693" spans="2:8" x14ac:dyDescent="0.35">
      <c r="B693" t="str">
        <f ca="1"/>
        <v/>
      </c>
      <c r="C693" t="str">
        <f ca="1"/>
        <v/>
      </c>
      <c r="D693" t="str">
        <f ca="1"/>
        <v/>
      </c>
      <c r="E693" t="str">
        <f ca="1"/>
        <v/>
      </c>
      <c r="F693" t="str">
        <f ca="1"/>
        <v/>
      </c>
      <c r="G693" t="str">
        <f ca="1"/>
        <v/>
      </c>
      <c r="H693" s="17" t="str">
        <f ca="1"/>
        <v/>
      </c>
    </row>
    <row r="694" spans="2:8" x14ac:dyDescent="0.35">
      <c r="B694" t="str">
        <f ca="1"/>
        <v/>
      </c>
      <c r="C694" t="str">
        <f ca="1"/>
        <v/>
      </c>
      <c r="D694" t="str">
        <f ca="1"/>
        <v/>
      </c>
      <c r="E694" t="str">
        <f ca="1"/>
        <v/>
      </c>
      <c r="F694" t="str">
        <f ca="1"/>
        <v/>
      </c>
      <c r="G694" t="str">
        <f ca="1"/>
        <v/>
      </c>
      <c r="H694" s="17" t="str">
        <f ca="1"/>
        <v/>
      </c>
    </row>
    <row r="695" spans="2:8" x14ac:dyDescent="0.35">
      <c r="B695" t="str">
        <f ca="1"/>
        <v/>
      </c>
      <c r="C695" t="str">
        <f ca="1"/>
        <v/>
      </c>
      <c r="D695" t="str">
        <f ca="1"/>
        <v/>
      </c>
      <c r="E695" t="str">
        <f ca="1"/>
        <v/>
      </c>
      <c r="F695" t="str">
        <f ca="1"/>
        <v/>
      </c>
      <c r="G695" t="str">
        <f ca="1"/>
        <v/>
      </c>
      <c r="H695" s="17" t="str">
        <f ca="1"/>
        <v/>
      </c>
    </row>
    <row r="696" spans="2:8" x14ac:dyDescent="0.35">
      <c r="B696" t="str">
        <f ca="1"/>
        <v/>
      </c>
      <c r="C696" t="str">
        <f ca="1"/>
        <v/>
      </c>
      <c r="D696" t="str">
        <f ca="1"/>
        <v/>
      </c>
      <c r="E696" t="str">
        <f ca="1"/>
        <v/>
      </c>
      <c r="F696" t="str">
        <f ca="1"/>
        <v/>
      </c>
      <c r="G696" t="str">
        <f ca="1"/>
        <v/>
      </c>
      <c r="H696" s="17" t="str">
        <f ca="1"/>
        <v/>
      </c>
    </row>
    <row r="697" spans="2:8" x14ac:dyDescent="0.35">
      <c r="B697" t="str">
        <f ca="1"/>
        <v/>
      </c>
      <c r="C697" t="str">
        <f ca="1"/>
        <v/>
      </c>
      <c r="D697" t="str">
        <f ca="1"/>
        <v/>
      </c>
      <c r="E697" t="str">
        <f ca="1"/>
        <v/>
      </c>
      <c r="F697" t="str">
        <f ca="1"/>
        <v/>
      </c>
      <c r="G697" t="str">
        <f ca="1"/>
        <v/>
      </c>
      <c r="H697" s="17" t="str">
        <f ca="1"/>
        <v/>
      </c>
    </row>
    <row r="698" spans="2:8" x14ac:dyDescent="0.35">
      <c r="B698" t="str">
        <f ca="1"/>
        <v/>
      </c>
      <c r="C698" t="str">
        <f ca="1"/>
        <v/>
      </c>
      <c r="D698" t="str">
        <f ca="1"/>
        <v/>
      </c>
      <c r="E698" t="str">
        <f ca="1"/>
        <v/>
      </c>
      <c r="F698" t="str">
        <f ca="1"/>
        <v/>
      </c>
      <c r="G698" t="str">
        <f ca="1"/>
        <v/>
      </c>
      <c r="H698" s="17" t="str">
        <f ca="1"/>
        <v/>
      </c>
    </row>
    <row r="699" spans="2:8" x14ac:dyDescent="0.35">
      <c r="B699" t="str">
        <f ca="1"/>
        <v/>
      </c>
      <c r="C699" t="str">
        <f ca="1"/>
        <v/>
      </c>
      <c r="D699" t="str">
        <f ca="1"/>
        <v/>
      </c>
      <c r="E699" t="str">
        <f ca="1"/>
        <v/>
      </c>
      <c r="F699" t="str">
        <f ca="1"/>
        <v/>
      </c>
      <c r="G699" t="str">
        <f ca="1"/>
        <v/>
      </c>
      <c r="H699" s="17" t="str">
        <f ca="1"/>
        <v/>
      </c>
    </row>
    <row r="700" spans="2:8" x14ac:dyDescent="0.35">
      <c r="B700" t="str">
        <f ca="1"/>
        <v/>
      </c>
      <c r="C700" t="str">
        <f ca="1"/>
        <v/>
      </c>
      <c r="D700" t="str">
        <f ca="1"/>
        <v/>
      </c>
      <c r="E700" t="str">
        <f ca="1"/>
        <v/>
      </c>
      <c r="F700" t="str">
        <f ca="1"/>
        <v/>
      </c>
      <c r="G700" t="str">
        <f ca="1"/>
        <v/>
      </c>
      <c r="H700" s="17" t="str">
        <f ca="1"/>
        <v/>
      </c>
    </row>
    <row r="701" spans="2:8" x14ac:dyDescent="0.35">
      <c r="B701" t="str">
        <f ca="1"/>
        <v/>
      </c>
      <c r="C701" t="str">
        <f ca="1"/>
        <v/>
      </c>
      <c r="D701" t="str">
        <f ca="1"/>
        <v/>
      </c>
      <c r="E701" t="str">
        <f ca="1"/>
        <v/>
      </c>
      <c r="F701" t="str">
        <f ca="1"/>
        <v/>
      </c>
      <c r="G701" t="str">
        <f ca="1"/>
        <v/>
      </c>
      <c r="H701" s="17" t="str">
        <f ca="1"/>
        <v/>
      </c>
    </row>
    <row r="702" spans="2:8" x14ac:dyDescent="0.35">
      <c r="B702" t="str">
        <f ca="1"/>
        <v/>
      </c>
      <c r="C702" t="str">
        <f ca="1"/>
        <v/>
      </c>
      <c r="D702" t="str">
        <f ca="1"/>
        <v/>
      </c>
      <c r="E702" t="str">
        <f ca="1"/>
        <v/>
      </c>
      <c r="F702" t="str">
        <f ca="1"/>
        <v/>
      </c>
      <c r="G702" t="str">
        <f ca="1"/>
        <v/>
      </c>
      <c r="H702" s="17" t="str">
        <f ca="1"/>
        <v/>
      </c>
    </row>
    <row r="703" spans="2:8" x14ac:dyDescent="0.35">
      <c r="B703" t="str">
        <f ca="1"/>
        <v/>
      </c>
      <c r="C703" t="str">
        <f ca="1"/>
        <v/>
      </c>
      <c r="D703" t="str">
        <f ca="1"/>
        <v/>
      </c>
      <c r="E703" t="str">
        <f ca="1"/>
        <v/>
      </c>
      <c r="F703" t="str">
        <f ca="1"/>
        <v/>
      </c>
      <c r="G703" t="str">
        <f ca="1"/>
        <v/>
      </c>
      <c r="H703" s="17" t="str">
        <f ca="1"/>
        <v/>
      </c>
    </row>
    <row r="704" spans="2:8" x14ac:dyDescent="0.35">
      <c r="B704" t="str">
        <f ca="1"/>
        <v/>
      </c>
      <c r="C704" t="str">
        <f ca="1"/>
        <v/>
      </c>
      <c r="D704" t="str">
        <f ca="1"/>
        <v/>
      </c>
      <c r="E704" t="str">
        <f ca="1"/>
        <v/>
      </c>
      <c r="F704" t="str">
        <f ca="1"/>
        <v/>
      </c>
      <c r="G704" t="str">
        <f ca="1"/>
        <v/>
      </c>
      <c r="H704" s="17" t="str">
        <f ca="1"/>
        <v/>
      </c>
    </row>
    <row r="705" spans="2:8" x14ac:dyDescent="0.35">
      <c r="B705" t="str">
        <f ca="1"/>
        <v/>
      </c>
      <c r="C705" t="str">
        <f ca="1"/>
        <v/>
      </c>
      <c r="D705" t="str">
        <f ca="1"/>
        <v/>
      </c>
      <c r="E705" t="str">
        <f ca="1"/>
        <v/>
      </c>
      <c r="F705" t="str">
        <f ca="1"/>
        <v/>
      </c>
      <c r="G705" t="str">
        <f ca="1"/>
        <v/>
      </c>
      <c r="H705" s="17" t="str">
        <f ca="1"/>
        <v/>
      </c>
    </row>
    <row r="706" spans="2:8" x14ac:dyDescent="0.35">
      <c r="B706" t="str">
        <f ca="1"/>
        <v/>
      </c>
      <c r="C706" t="str">
        <f ca="1"/>
        <v/>
      </c>
      <c r="D706" t="str">
        <f ca="1"/>
        <v/>
      </c>
      <c r="E706" t="str">
        <f ca="1"/>
        <v/>
      </c>
      <c r="F706" t="str">
        <f ca="1"/>
        <v/>
      </c>
      <c r="G706" t="str">
        <f ca="1"/>
        <v/>
      </c>
      <c r="H706" s="17" t="str">
        <f ca="1"/>
        <v/>
      </c>
    </row>
    <row r="707" spans="2:8" x14ac:dyDescent="0.35">
      <c r="B707" t="str">
        <f ca="1"/>
        <v/>
      </c>
      <c r="C707" t="str">
        <f ca="1"/>
        <v/>
      </c>
      <c r="D707" t="str">
        <f ca="1"/>
        <v/>
      </c>
      <c r="E707" t="str">
        <f ca="1"/>
        <v/>
      </c>
      <c r="F707" t="str">
        <f ca="1"/>
        <v/>
      </c>
      <c r="G707" t="str">
        <f ca="1"/>
        <v/>
      </c>
      <c r="H707" s="17" t="str">
        <f ca="1"/>
        <v/>
      </c>
    </row>
    <row r="708" spans="2:8" x14ac:dyDescent="0.35">
      <c r="B708" t="str">
        <f ca="1"/>
        <v/>
      </c>
      <c r="C708" t="str">
        <f ca="1"/>
        <v/>
      </c>
      <c r="D708" t="str">
        <f ca="1"/>
        <v/>
      </c>
      <c r="E708" t="str">
        <f ca="1"/>
        <v/>
      </c>
      <c r="F708" t="str">
        <f ca="1"/>
        <v/>
      </c>
      <c r="G708" t="str">
        <f ca="1"/>
        <v/>
      </c>
      <c r="H708" s="17" t="str">
        <f ca="1"/>
        <v/>
      </c>
    </row>
    <row r="709" spans="2:8" x14ac:dyDescent="0.35">
      <c r="B709" t="str">
        <f ca="1"/>
        <v/>
      </c>
      <c r="C709" t="str">
        <f ca="1"/>
        <v/>
      </c>
      <c r="D709" t="str">
        <f ca="1"/>
        <v/>
      </c>
      <c r="E709" t="str">
        <f ca="1"/>
        <v/>
      </c>
      <c r="F709" t="str">
        <f ca="1"/>
        <v/>
      </c>
      <c r="G709" t="str">
        <f ca="1"/>
        <v/>
      </c>
      <c r="H709" s="17" t="str">
        <f ca="1"/>
        <v/>
      </c>
    </row>
    <row r="710" spans="2:8" x14ac:dyDescent="0.35">
      <c r="B710" t="str">
        <f ca="1"/>
        <v/>
      </c>
      <c r="C710" t="str">
        <f ca="1"/>
        <v/>
      </c>
      <c r="D710" t="str">
        <f ca="1"/>
        <v/>
      </c>
      <c r="E710" t="str">
        <f ca="1"/>
        <v/>
      </c>
      <c r="F710" t="str">
        <f ca="1"/>
        <v/>
      </c>
      <c r="G710" t="str">
        <f ca="1"/>
        <v/>
      </c>
      <c r="H710" s="17" t="str">
        <f ca="1"/>
        <v/>
      </c>
    </row>
    <row r="711" spans="2:8" x14ac:dyDescent="0.35">
      <c r="B711" t="str">
        <f ca="1"/>
        <v/>
      </c>
      <c r="C711" t="str">
        <f ca="1"/>
        <v/>
      </c>
      <c r="D711" t="str">
        <f ca="1"/>
        <v/>
      </c>
      <c r="E711" t="str">
        <f ca="1"/>
        <v/>
      </c>
      <c r="F711" t="str">
        <f ca="1"/>
        <v/>
      </c>
      <c r="G711" t="str">
        <f ca="1"/>
        <v/>
      </c>
      <c r="H711" s="17" t="str">
        <f ca="1"/>
        <v/>
      </c>
    </row>
    <row r="712" spans="2:8" x14ac:dyDescent="0.35">
      <c r="B712" t="str">
        <f ca="1"/>
        <v/>
      </c>
      <c r="C712" t="str">
        <f ca="1"/>
        <v/>
      </c>
      <c r="D712" t="str">
        <f ca="1"/>
        <v/>
      </c>
      <c r="E712" t="str">
        <f ca="1"/>
        <v/>
      </c>
      <c r="F712" t="str">
        <f ca="1"/>
        <v/>
      </c>
      <c r="G712" t="str">
        <f ca="1"/>
        <v/>
      </c>
      <c r="H712" s="17" t="str">
        <f ca="1"/>
        <v/>
      </c>
    </row>
    <row r="713" spans="2:8" x14ac:dyDescent="0.35">
      <c r="B713" t="str">
        <f ca="1"/>
        <v/>
      </c>
      <c r="C713" t="str">
        <f ca="1"/>
        <v/>
      </c>
      <c r="D713" t="str">
        <f ca="1"/>
        <v/>
      </c>
      <c r="E713" t="str">
        <f ca="1"/>
        <v/>
      </c>
      <c r="F713" t="str">
        <f ca="1"/>
        <v/>
      </c>
      <c r="G713" t="str">
        <f ca="1"/>
        <v/>
      </c>
      <c r="H713" s="17" t="str">
        <f ca="1"/>
        <v/>
      </c>
    </row>
    <row r="714" spans="2:8" x14ac:dyDescent="0.35">
      <c r="B714" t="str">
        <f ca="1"/>
        <v/>
      </c>
      <c r="C714" t="str">
        <f ca="1"/>
        <v/>
      </c>
      <c r="D714" t="str">
        <f ca="1"/>
        <v/>
      </c>
      <c r="E714" t="str">
        <f ca="1"/>
        <v/>
      </c>
      <c r="F714" t="str">
        <f ca="1"/>
        <v/>
      </c>
      <c r="G714" t="str">
        <f ca="1"/>
        <v/>
      </c>
      <c r="H714" s="17" t="str">
        <f ca="1"/>
        <v/>
      </c>
    </row>
    <row r="715" spans="2:8" x14ac:dyDescent="0.35">
      <c r="B715" t="str">
        <f ca="1"/>
        <v/>
      </c>
      <c r="C715" t="str">
        <f ca="1"/>
        <v/>
      </c>
      <c r="D715" t="str">
        <f ca="1"/>
        <v/>
      </c>
      <c r="E715" t="str">
        <f ca="1"/>
        <v/>
      </c>
      <c r="F715" t="str">
        <f ca="1"/>
        <v/>
      </c>
      <c r="G715" t="str">
        <f ca="1"/>
        <v/>
      </c>
      <c r="H715" s="17" t="str">
        <f ca="1"/>
        <v/>
      </c>
    </row>
    <row r="716" spans="2:8" x14ac:dyDescent="0.35">
      <c r="B716" t="str">
        <f ca="1"/>
        <v/>
      </c>
      <c r="C716" t="str">
        <f ca="1"/>
        <v/>
      </c>
      <c r="D716" t="str">
        <f ca="1"/>
        <v/>
      </c>
      <c r="E716" t="str">
        <f ca="1"/>
        <v/>
      </c>
      <c r="F716" t="str">
        <f ca="1"/>
        <v/>
      </c>
      <c r="G716" t="str">
        <f ca="1"/>
        <v/>
      </c>
      <c r="H716" s="17" t="str">
        <f ca="1"/>
        <v/>
      </c>
    </row>
    <row r="717" spans="2:8" x14ac:dyDescent="0.35">
      <c r="B717" t="str">
        <f ca="1"/>
        <v/>
      </c>
      <c r="C717" t="str">
        <f ca="1"/>
        <v/>
      </c>
      <c r="D717" t="str">
        <f ca="1"/>
        <v/>
      </c>
      <c r="E717" t="str">
        <f ca="1"/>
        <v/>
      </c>
      <c r="F717" t="str">
        <f ca="1"/>
        <v/>
      </c>
      <c r="G717" t="str">
        <f ca="1"/>
        <v/>
      </c>
      <c r="H717" s="17" t="str">
        <f ca="1"/>
        <v/>
      </c>
    </row>
    <row r="718" spans="2:8" x14ac:dyDescent="0.35">
      <c r="B718" t="str">
        <f ca="1"/>
        <v/>
      </c>
      <c r="C718" t="str">
        <f ca="1"/>
        <v/>
      </c>
      <c r="D718" t="str">
        <f ca="1"/>
        <v/>
      </c>
      <c r="E718" t="str">
        <f ca="1"/>
        <v/>
      </c>
      <c r="F718" t="str">
        <f ca="1"/>
        <v/>
      </c>
      <c r="G718" t="str">
        <f ca="1"/>
        <v/>
      </c>
      <c r="H718" s="17" t="str">
        <f ca="1"/>
        <v/>
      </c>
    </row>
    <row r="719" spans="2:8" x14ac:dyDescent="0.35">
      <c r="B719" t="str">
        <f ca="1"/>
        <v/>
      </c>
      <c r="C719" t="str">
        <f ca="1"/>
        <v/>
      </c>
      <c r="D719" t="str">
        <f ca="1"/>
        <v/>
      </c>
      <c r="E719" t="str">
        <f ca="1"/>
        <v/>
      </c>
      <c r="F719" t="str">
        <f ca="1"/>
        <v/>
      </c>
      <c r="G719" t="str">
        <f ca="1"/>
        <v/>
      </c>
      <c r="H719" s="17" t="str">
        <f ca="1"/>
        <v/>
      </c>
    </row>
    <row r="720" spans="2:8" x14ac:dyDescent="0.35">
      <c r="B720" t="str">
        <f ca="1"/>
        <v/>
      </c>
      <c r="C720" t="str">
        <f ca="1"/>
        <v/>
      </c>
      <c r="D720" t="str">
        <f ca="1"/>
        <v/>
      </c>
      <c r="E720" t="str">
        <f ca="1"/>
        <v/>
      </c>
      <c r="F720" t="str">
        <f ca="1"/>
        <v/>
      </c>
      <c r="G720" t="str">
        <f ca="1"/>
        <v/>
      </c>
      <c r="H720" s="17" t="str">
        <f ca="1"/>
        <v/>
      </c>
    </row>
    <row r="721" spans="2:8" x14ac:dyDescent="0.35">
      <c r="B721" t="str">
        <f ca="1"/>
        <v/>
      </c>
      <c r="C721" t="str">
        <f ca="1"/>
        <v/>
      </c>
      <c r="D721" t="str">
        <f ca="1"/>
        <v/>
      </c>
      <c r="E721" t="str">
        <f ca="1"/>
        <v/>
      </c>
      <c r="F721" t="str">
        <f ca="1"/>
        <v/>
      </c>
      <c r="G721" t="str">
        <f ca="1"/>
        <v/>
      </c>
      <c r="H721" s="17" t="str">
        <f ca="1"/>
        <v/>
      </c>
    </row>
    <row r="722" spans="2:8" x14ac:dyDescent="0.35">
      <c r="B722" t="str">
        <f ca="1"/>
        <v/>
      </c>
      <c r="C722" t="str">
        <f ca="1"/>
        <v/>
      </c>
      <c r="D722" t="str">
        <f ca="1"/>
        <v/>
      </c>
      <c r="E722" t="str">
        <f ca="1"/>
        <v/>
      </c>
      <c r="F722" t="str">
        <f ca="1"/>
        <v/>
      </c>
      <c r="G722" t="str">
        <f ca="1"/>
        <v/>
      </c>
      <c r="H722" s="17" t="str">
        <f ca="1"/>
        <v/>
      </c>
    </row>
    <row r="723" spans="2:8" x14ac:dyDescent="0.35">
      <c r="B723" t="str">
        <f ca="1"/>
        <v/>
      </c>
      <c r="C723" t="str">
        <f ca="1"/>
        <v/>
      </c>
      <c r="D723" t="str">
        <f ca="1"/>
        <v/>
      </c>
      <c r="E723" t="str">
        <f ca="1"/>
        <v/>
      </c>
      <c r="F723" t="str">
        <f ca="1"/>
        <v/>
      </c>
      <c r="G723" t="str">
        <f ca="1"/>
        <v/>
      </c>
      <c r="H723" s="17" t="str">
        <f ca="1"/>
        <v/>
      </c>
    </row>
    <row r="724" spans="2:8" x14ac:dyDescent="0.35">
      <c r="B724" t="str">
        <f ca="1"/>
        <v/>
      </c>
      <c r="C724" t="str">
        <f ca="1"/>
        <v/>
      </c>
      <c r="D724" t="str">
        <f ca="1"/>
        <v/>
      </c>
      <c r="E724" t="str">
        <f ca="1"/>
        <v/>
      </c>
      <c r="F724" t="str">
        <f ca="1"/>
        <v/>
      </c>
      <c r="G724" t="str">
        <f ca="1"/>
        <v/>
      </c>
      <c r="H724" s="17" t="str">
        <f ca="1"/>
        <v/>
      </c>
    </row>
    <row r="725" spans="2:8" x14ac:dyDescent="0.35">
      <c r="B725" t="str">
        <f ca="1"/>
        <v/>
      </c>
      <c r="C725" t="str">
        <f ca="1"/>
        <v/>
      </c>
      <c r="D725" t="str">
        <f ca="1"/>
        <v/>
      </c>
      <c r="E725" t="str">
        <f ca="1"/>
        <v/>
      </c>
      <c r="F725" t="str">
        <f ca="1"/>
        <v/>
      </c>
      <c r="G725" t="str">
        <f ca="1"/>
        <v/>
      </c>
      <c r="H725" s="17" t="str">
        <f ca="1"/>
        <v/>
      </c>
    </row>
    <row r="726" spans="2:8" x14ac:dyDescent="0.35">
      <c r="B726" t="str">
        <f ca="1"/>
        <v/>
      </c>
      <c r="C726" t="str">
        <f ca="1"/>
        <v/>
      </c>
      <c r="D726" t="str">
        <f ca="1"/>
        <v/>
      </c>
      <c r="E726" t="str">
        <f ca="1"/>
        <v/>
      </c>
      <c r="F726" t="str">
        <f ca="1"/>
        <v/>
      </c>
      <c r="G726" t="str">
        <f ca="1"/>
        <v/>
      </c>
      <c r="H726" s="17" t="str">
        <f ca="1"/>
        <v/>
      </c>
    </row>
    <row r="727" spans="2:8" x14ac:dyDescent="0.35">
      <c r="B727" t="str">
        <f ca="1"/>
        <v/>
      </c>
      <c r="C727" t="str">
        <f ca="1"/>
        <v/>
      </c>
      <c r="D727" t="str">
        <f ca="1"/>
        <v/>
      </c>
      <c r="E727" t="str">
        <f ca="1"/>
        <v/>
      </c>
      <c r="F727" t="str">
        <f ca="1"/>
        <v/>
      </c>
      <c r="G727" t="str">
        <f ca="1"/>
        <v/>
      </c>
      <c r="H727" s="17" t="str">
        <f ca="1"/>
        <v/>
      </c>
    </row>
    <row r="728" spans="2:8" x14ac:dyDescent="0.35">
      <c r="B728" t="str">
        <f ca="1"/>
        <v/>
      </c>
      <c r="C728" t="str">
        <f ca="1"/>
        <v/>
      </c>
      <c r="D728" t="str">
        <f ca="1"/>
        <v/>
      </c>
      <c r="E728" t="str">
        <f ca="1"/>
        <v/>
      </c>
      <c r="F728" t="str">
        <f ca="1"/>
        <v/>
      </c>
      <c r="G728" t="str">
        <f ca="1"/>
        <v/>
      </c>
      <c r="H728" s="17" t="str">
        <f ca="1"/>
        <v/>
      </c>
    </row>
    <row r="729" spans="2:8" x14ac:dyDescent="0.35">
      <c r="B729" t="str">
        <f ca="1"/>
        <v/>
      </c>
      <c r="C729" t="str">
        <f ca="1"/>
        <v/>
      </c>
      <c r="D729" t="str">
        <f ca="1"/>
        <v/>
      </c>
      <c r="E729" t="str">
        <f ca="1"/>
        <v/>
      </c>
      <c r="F729" t="str">
        <f ca="1"/>
        <v/>
      </c>
      <c r="G729" t="str">
        <f ca="1"/>
        <v/>
      </c>
      <c r="H729" s="17" t="str">
        <f ca="1"/>
        <v/>
      </c>
    </row>
    <row r="730" spans="2:8" x14ac:dyDescent="0.35">
      <c r="B730" t="str">
        <f ca="1"/>
        <v/>
      </c>
      <c r="C730" t="str">
        <f ca="1"/>
        <v/>
      </c>
      <c r="D730" t="str">
        <f ca="1"/>
        <v/>
      </c>
      <c r="E730" t="str">
        <f ca="1"/>
        <v/>
      </c>
      <c r="F730" t="str">
        <f ca="1"/>
        <v/>
      </c>
      <c r="G730" t="str">
        <f ca="1"/>
        <v/>
      </c>
      <c r="H730" s="17" t="str">
        <f ca="1"/>
        <v/>
      </c>
    </row>
    <row r="731" spans="2:8" x14ac:dyDescent="0.35">
      <c r="B731" t="str">
        <f ca="1"/>
        <v/>
      </c>
      <c r="C731" t="str">
        <f ca="1"/>
        <v/>
      </c>
      <c r="D731" t="str">
        <f ca="1"/>
        <v/>
      </c>
      <c r="E731" t="str">
        <f ca="1"/>
        <v/>
      </c>
      <c r="F731" t="str">
        <f ca="1"/>
        <v/>
      </c>
      <c r="G731" t="str">
        <f ca="1"/>
        <v/>
      </c>
      <c r="H731" s="17" t="str">
        <f ca="1"/>
        <v/>
      </c>
    </row>
    <row r="732" spans="2:8" x14ac:dyDescent="0.35">
      <c r="B732" t="str">
        <f ca="1"/>
        <v/>
      </c>
      <c r="C732" t="str">
        <f ca="1"/>
        <v/>
      </c>
      <c r="D732" t="str">
        <f ca="1"/>
        <v/>
      </c>
      <c r="E732" t="str">
        <f ca="1"/>
        <v/>
      </c>
      <c r="F732" t="str">
        <f ca="1"/>
        <v/>
      </c>
      <c r="G732" t="str">
        <f ca="1"/>
        <v/>
      </c>
      <c r="H732" s="17" t="str">
        <f ca="1"/>
        <v/>
      </c>
    </row>
    <row r="733" spans="2:8" x14ac:dyDescent="0.35">
      <c r="B733" t="str">
        <f ca="1"/>
        <v/>
      </c>
      <c r="C733" t="str">
        <f ca="1"/>
        <v/>
      </c>
      <c r="D733" t="str">
        <f ca="1"/>
        <v/>
      </c>
      <c r="E733" t="str">
        <f ca="1"/>
        <v/>
      </c>
      <c r="F733" t="str">
        <f ca="1"/>
        <v/>
      </c>
      <c r="G733" t="str">
        <f ca="1"/>
        <v/>
      </c>
      <c r="H733" s="17" t="str">
        <f ca="1"/>
        <v/>
      </c>
    </row>
    <row r="734" spans="2:8" x14ac:dyDescent="0.35">
      <c r="B734" t="str">
        <f ca="1"/>
        <v/>
      </c>
      <c r="C734" t="str">
        <f ca="1"/>
        <v/>
      </c>
      <c r="D734" t="str">
        <f ca="1"/>
        <v/>
      </c>
      <c r="E734" t="str">
        <f ca="1"/>
        <v/>
      </c>
      <c r="F734" t="str">
        <f ca="1"/>
        <v/>
      </c>
      <c r="G734" t="str">
        <f ca="1"/>
        <v/>
      </c>
      <c r="H734" s="17" t="str">
        <f ca="1"/>
        <v/>
      </c>
    </row>
    <row r="735" spans="2:8" x14ac:dyDescent="0.35">
      <c r="B735" t="str">
        <f ca="1"/>
        <v/>
      </c>
      <c r="C735" t="str">
        <f ca="1"/>
        <v/>
      </c>
      <c r="D735" t="str">
        <f ca="1"/>
        <v/>
      </c>
      <c r="E735" t="str">
        <f ca="1"/>
        <v/>
      </c>
      <c r="F735" t="str">
        <f ca="1"/>
        <v/>
      </c>
      <c r="G735" t="str">
        <f ca="1"/>
        <v/>
      </c>
      <c r="H735" s="17" t="str">
        <f ca="1"/>
        <v/>
      </c>
    </row>
    <row r="736" spans="2:8" x14ac:dyDescent="0.35">
      <c r="B736" t="str">
        <f ca="1"/>
        <v/>
      </c>
      <c r="C736" t="str">
        <f ca="1"/>
        <v/>
      </c>
      <c r="D736" t="str">
        <f ca="1"/>
        <v/>
      </c>
      <c r="E736" t="str">
        <f ca="1"/>
        <v/>
      </c>
      <c r="F736" t="str">
        <f ca="1"/>
        <v/>
      </c>
      <c r="G736" t="str">
        <f ca="1"/>
        <v/>
      </c>
      <c r="H736" s="17" t="str">
        <f ca="1"/>
        <v/>
      </c>
    </row>
    <row r="737" spans="2:8" x14ac:dyDescent="0.35">
      <c r="B737" t="str">
        <f ca="1"/>
        <v/>
      </c>
      <c r="C737" t="str">
        <f ca="1"/>
        <v/>
      </c>
      <c r="D737" t="str">
        <f ca="1"/>
        <v/>
      </c>
      <c r="E737" t="str">
        <f ca="1"/>
        <v/>
      </c>
      <c r="F737" t="str">
        <f ca="1"/>
        <v/>
      </c>
      <c r="G737" t="str">
        <f ca="1"/>
        <v/>
      </c>
      <c r="H737" s="17" t="str">
        <f ca="1"/>
        <v/>
      </c>
    </row>
    <row r="738" spans="2:8" x14ac:dyDescent="0.35">
      <c r="B738" t="str">
        <f ca="1"/>
        <v/>
      </c>
      <c r="C738" t="str">
        <f ca="1"/>
        <v/>
      </c>
      <c r="D738" t="str">
        <f ca="1"/>
        <v/>
      </c>
      <c r="E738" t="str">
        <f ca="1"/>
        <v/>
      </c>
      <c r="F738" t="str">
        <f ca="1"/>
        <v/>
      </c>
      <c r="G738" t="str">
        <f ca="1"/>
        <v/>
      </c>
      <c r="H738" s="17" t="str">
        <f ca="1"/>
        <v/>
      </c>
    </row>
    <row r="739" spans="2:8" x14ac:dyDescent="0.35">
      <c r="B739" t="str">
        <f ca="1"/>
        <v/>
      </c>
      <c r="C739" t="str">
        <f ca="1"/>
        <v/>
      </c>
      <c r="D739" t="str">
        <f ca="1"/>
        <v/>
      </c>
      <c r="E739" t="str">
        <f ca="1"/>
        <v/>
      </c>
      <c r="F739" t="str">
        <f ca="1"/>
        <v/>
      </c>
      <c r="G739" t="str">
        <f ca="1"/>
        <v/>
      </c>
      <c r="H739" s="17" t="str">
        <f ca="1"/>
        <v/>
      </c>
    </row>
    <row r="740" spans="2:8" x14ac:dyDescent="0.35">
      <c r="B740" t="str">
        <f ca="1"/>
        <v/>
      </c>
      <c r="C740" t="str">
        <f ca="1"/>
        <v/>
      </c>
      <c r="D740" t="str">
        <f ca="1"/>
        <v/>
      </c>
      <c r="E740" t="str">
        <f ca="1"/>
        <v/>
      </c>
      <c r="F740" t="str">
        <f ca="1"/>
        <v/>
      </c>
      <c r="G740" t="str">
        <f ca="1"/>
        <v/>
      </c>
      <c r="H740" s="17" t="str">
        <f ca="1"/>
        <v/>
      </c>
    </row>
    <row r="741" spans="2:8" x14ac:dyDescent="0.35">
      <c r="B741" t="str">
        <f ca="1"/>
        <v/>
      </c>
      <c r="C741" t="str">
        <f ca="1"/>
        <v/>
      </c>
      <c r="D741" t="str">
        <f ca="1"/>
        <v/>
      </c>
      <c r="E741" t="str">
        <f ca="1"/>
        <v/>
      </c>
      <c r="F741" t="str">
        <f ca="1"/>
        <v/>
      </c>
      <c r="G741" t="str">
        <f ca="1"/>
        <v/>
      </c>
      <c r="H741" s="17" t="str">
        <f ca="1"/>
        <v/>
      </c>
    </row>
    <row r="742" spans="2:8" x14ac:dyDescent="0.35">
      <c r="B742" t="str">
        <f ca="1"/>
        <v/>
      </c>
      <c r="C742" t="str">
        <f ca="1"/>
        <v/>
      </c>
      <c r="D742" t="str">
        <f ca="1"/>
        <v/>
      </c>
      <c r="E742" t="str">
        <f ca="1"/>
        <v/>
      </c>
      <c r="F742" t="str">
        <f ca="1"/>
        <v/>
      </c>
      <c r="G742" t="str">
        <f ca="1"/>
        <v/>
      </c>
      <c r="H742" s="17" t="str">
        <f ca="1"/>
        <v/>
      </c>
    </row>
    <row r="743" spans="2:8" x14ac:dyDescent="0.35">
      <c r="B743" t="str">
        <f ca="1"/>
        <v/>
      </c>
      <c r="C743" t="str">
        <f ca="1"/>
        <v/>
      </c>
      <c r="D743" t="str">
        <f ca="1"/>
        <v/>
      </c>
      <c r="E743" t="str">
        <f ca="1"/>
        <v/>
      </c>
      <c r="F743" t="str">
        <f ca="1"/>
        <v/>
      </c>
      <c r="G743" t="str">
        <f ca="1"/>
        <v/>
      </c>
      <c r="H743" s="17" t="str">
        <f ca="1"/>
        <v/>
      </c>
    </row>
    <row r="744" spans="2:8" x14ac:dyDescent="0.35">
      <c r="B744" t="str">
        <f ca="1"/>
        <v/>
      </c>
      <c r="C744" t="str">
        <f ca="1"/>
        <v/>
      </c>
      <c r="D744" t="str">
        <f ca="1"/>
        <v/>
      </c>
      <c r="E744" t="str">
        <f ca="1"/>
        <v/>
      </c>
      <c r="F744" t="str">
        <f ca="1"/>
        <v/>
      </c>
      <c r="G744" t="str">
        <f ca="1"/>
        <v/>
      </c>
      <c r="H744" s="17" t="str">
        <f ca="1"/>
        <v/>
      </c>
    </row>
    <row r="745" spans="2:8" x14ac:dyDescent="0.35">
      <c r="B745" t="str">
        <f ca="1"/>
        <v/>
      </c>
      <c r="C745" t="str">
        <f ca="1"/>
        <v/>
      </c>
      <c r="D745" t="str">
        <f ca="1"/>
        <v/>
      </c>
      <c r="E745" t="str">
        <f ca="1"/>
        <v/>
      </c>
      <c r="F745" t="str">
        <f ca="1"/>
        <v/>
      </c>
      <c r="G745" t="str">
        <f ca="1"/>
        <v/>
      </c>
      <c r="H745" s="17" t="str">
        <f ca="1"/>
        <v/>
      </c>
    </row>
    <row r="746" spans="2:8" x14ac:dyDescent="0.35">
      <c r="B746" t="str">
        <f ca="1"/>
        <v/>
      </c>
      <c r="C746" t="str">
        <f ca="1"/>
        <v/>
      </c>
      <c r="D746" t="str">
        <f ca="1"/>
        <v/>
      </c>
      <c r="E746" t="str">
        <f ca="1"/>
        <v/>
      </c>
      <c r="F746" t="str">
        <f ca="1"/>
        <v/>
      </c>
      <c r="G746" t="str">
        <f ca="1"/>
        <v/>
      </c>
      <c r="H746" s="17" t="str">
        <f ca="1"/>
        <v/>
      </c>
    </row>
    <row r="747" spans="2:8" x14ac:dyDescent="0.35">
      <c r="B747" t="str">
        <f ca="1"/>
        <v/>
      </c>
      <c r="C747" t="str">
        <f ca="1"/>
        <v/>
      </c>
      <c r="D747" t="str">
        <f ca="1"/>
        <v/>
      </c>
      <c r="E747" t="str">
        <f ca="1"/>
        <v/>
      </c>
      <c r="F747" t="str">
        <f ca="1"/>
        <v/>
      </c>
      <c r="G747" t="str">
        <f ca="1"/>
        <v/>
      </c>
      <c r="H747" s="17" t="str">
        <f ca="1"/>
        <v/>
      </c>
    </row>
    <row r="748" spans="2:8" x14ac:dyDescent="0.35">
      <c r="B748" t="str">
        <f ca="1"/>
        <v/>
      </c>
      <c r="C748" t="str">
        <f ca="1"/>
        <v/>
      </c>
      <c r="D748" t="str">
        <f ca="1"/>
        <v/>
      </c>
      <c r="E748" t="str">
        <f ca="1"/>
        <v/>
      </c>
      <c r="F748" t="str">
        <f ca="1"/>
        <v/>
      </c>
      <c r="G748" t="str">
        <f ca="1"/>
        <v/>
      </c>
      <c r="H748" s="17" t="str">
        <f ca="1"/>
        <v/>
      </c>
    </row>
    <row r="749" spans="2:8" x14ac:dyDescent="0.35">
      <c r="B749" t="str">
        <f ca="1"/>
        <v/>
      </c>
      <c r="C749" t="str">
        <f ca="1"/>
        <v/>
      </c>
      <c r="D749" t="str">
        <f ca="1"/>
        <v/>
      </c>
      <c r="E749" t="str">
        <f ca="1"/>
        <v/>
      </c>
      <c r="F749" t="str">
        <f ca="1"/>
        <v/>
      </c>
      <c r="G749" t="str">
        <f ca="1"/>
        <v/>
      </c>
      <c r="H749" s="17" t="str">
        <f ca="1"/>
        <v/>
      </c>
    </row>
    <row r="750" spans="2:8" x14ac:dyDescent="0.35">
      <c r="B750" t="str">
        <f ca="1"/>
        <v/>
      </c>
      <c r="C750" t="str">
        <f ca="1"/>
        <v/>
      </c>
      <c r="D750" t="str">
        <f ca="1"/>
        <v/>
      </c>
      <c r="E750" t="str">
        <f ca="1"/>
        <v/>
      </c>
      <c r="F750" t="str">
        <f ca="1"/>
        <v/>
      </c>
      <c r="G750" t="str">
        <f ca="1"/>
        <v/>
      </c>
      <c r="H750" s="17" t="str">
        <f ca="1"/>
        <v/>
      </c>
    </row>
    <row r="751" spans="2:8" x14ac:dyDescent="0.35">
      <c r="B751" t="str">
        <f ca="1"/>
        <v/>
      </c>
      <c r="C751" t="str">
        <f ca="1"/>
        <v/>
      </c>
      <c r="D751" t="str">
        <f ca="1"/>
        <v/>
      </c>
      <c r="E751" t="str">
        <f ca="1"/>
        <v/>
      </c>
      <c r="F751" t="str">
        <f ca="1"/>
        <v/>
      </c>
      <c r="G751" t="str">
        <f ca="1"/>
        <v/>
      </c>
      <c r="H751" s="17" t="str">
        <f ca="1"/>
        <v/>
      </c>
    </row>
    <row r="752" spans="2:8" x14ac:dyDescent="0.35">
      <c r="B752" t="str">
        <f ca="1"/>
        <v/>
      </c>
      <c r="C752" t="str">
        <f ca="1"/>
        <v/>
      </c>
      <c r="D752" t="str">
        <f ca="1"/>
        <v/>
      </c>
      <c r="E752" t="str">
        <f ca="1"/>
        <v/>
      </c>
      <c r="F752" t="str">
        <f ca="1"/>
        <v/>
      </c>
      <c r="G752" t="str">
        <f ca="1"/>
        <v/>
      </c>
      <c r="H752" s="17" t="str">
        <f ca="1"/>
        <v/>
      </c>
    </row>
    <row r="753" spans="2:8" x14ac:dyDescent="0.35">
      <c r="B753" t="str">
        <f ca="1"/>
        <v/>
      </c>
      <c r="C753" t="str">
        <f ca="1"/>
        <v/>
      </c>
      <c r="D753" t="str">
        <f ca="1"/>
        <v/>
      </c>
      <c r="E753" t="str">
        <f ca="1"/>
        <v/>
      </c>
      <c r="F753" t="str">
        <f ca="1"/>
        <v/>
      </c>
      <c r="G753" t="str">
        <f ca="1"/>
        <v/>
      </c>
      <c r="H753" s="17" t="str">
        <f ca="1"/>
        <v/>
      </c>
    </row>
    <row r="754" spans="2:8" x14ac:dyDescent="0.35">
      <c r="B754" t="str">
        <f ca="1"/>
        <v/>
      </c>
      <c r="C754" t="str">
        <f ca="1"/>
        <v/>
      </c>
      <c r="D754" t="str">
        <f ca="1"/>
        <v/>
      </c>
      <c r="E754" t="str">
        <f ca="1"/>
        <v/>
      </c>
      <c r="F754" t="str">
        <f ca="1"/>
        <v/>
      </c>
      <c r="G754" t="str">
        <f ca="1"/>
        <v/>
      </c>
      <c r="H754" s="17" t="str">
        <f ca="1"/>
        <v/>
      </c>
    </row>
    <row r="755" spans="2:8" x14ac:dyDescent="0.35">
      <c r="B755" t="str">
        <f ca="1"/>
        <v/>
      </c>
      <c r="C755" t="str">
        <f ca="1"/>
        <v/>
      </c>
      <c r="D755" t="str">
        <f ca="1"/>
        <v/>
      </c>
      <c r="E755" t="str">
        <f ca="1"/>
        <v/>
      </c>
      <c r="F755" t="str">
        <f ca="1"/>
        <v/>
      </c>
      <c r="G755" t="str">
        <f ca="1"/>
        <v/>
      </c>
      <c r="H755" s="17" t="str">
        <f ca="1"/>
        <v/>
      </c>
    </row>
    <row r="756" spans="2:8" x14ac:dyDescent="0.35">
      <c r="B756" t="str">
        <f ca="1"/>
        <v/>
      </c>
      <c r="C756" t="str">
        <f ca="1"/>
        <v/>
      </c>
      <c r="D756" t="str">
        <f ca="1"/>
        <v/>
      </c>
      <c r="E756" t="str">
        <f ca="1"/>
        <v/>
      </c>
      <c r="F756" t="str">
        <f ca="1"/>
        <v/>
      </c>
      <c r="G756" t="str">
        <f ca="1"/>
        <v/>
      </c>
      <c r="H756" s="17" t="str">
        <f ca="1"/>
        <v/>
      </c>
    </row>
    <row r="757" spans="2:8" x14ac:dyDescent="0.35">
      <c r="B757" t="str">
        <f ca="1"/>
        <v/>
      </c>
      <c r="C757" t="str">
        <f ca="1"/>
        <v/>
      </c>
      <c r="D757" t="str">
        <f ca="1"/>
        <v/>
      </c>
      <c r="E757" t="str">
        <f ca="1"/>
        <v/>
      </c>
      <c r="F757" t="str">
        <f ca="1"/>
        <v/>
      </c>
      <c r="G757" t="str">
        <f ca="1"/>
        <v/>
      </c>
      <c r="H757" s="17" t="str">
        <f ca="1"/>
        <v/>
      </c>
    </row>
    <row r="758" spans="2:8" x14ac:dyDescent="0.35">
      <c r="B758" t="str">
        <f ca="1"/>
        <v/>
      </c>
      <c r="C758" t="str">
        <f ca="1"/>
        <v/>
      </c>
      <c r="D758" t="str">
        <f ca="1"/>
        <v/>
      </c>
      <c r="E758" t="str">
        <f ca="1"/>
        <v/>
      </c>
      <c r="F758" t="str">
        <f ca="1"/>
        <v/>
      </c>
      <c r="G758" t="str">
        <f ca="1"/>
        <v/>
      </c>
      <c r="H758" s="17" t="str">
        <f ca="1"/>
        <v/>
      </c>
    </row>
    <row r="759" spans="2:8" x14ac:dyDescent="0.35">
      <c r="B759" t="str">
        <f ca="1"/>
        <v/>
      </c>
      <c r="C759" t="str">
        <f ca="1"/>
        <v/>
      </c>
      <c r="D759" t="str">
        <f ca="1"/>
        <v/>
      </c>
      <c r="E759" t="str">
        <f ca="1"/>
        <v/>
      </c>
      <c r="F759" t="str">
        <f ca="1"/>
        <v/>
      </c>
      <c r="G759" t="str">
        <f ca="1"/>
        <v/>
      </c>
      <c r="H759" s="17" t="str">
        <f ca="1"/>
        <v/>
      </c>
    </row>
    <row r="760" spans="2:8" x14ac:dyDescent="0.35">
      <c r="B760" t="str">
        <f ca="1"/>
        <v/>
      </c>
      <c r="C760" t="str">
        <f ca="1"/>
        <v/>
      </c>
      <c r="D760" t="str">
        <f ca="1"/>
        <v/>
      </c>
      <c r="E760" t="str">
        <f ca="1"/>
        <v/>
      </c>
      <c r="F760" t="str">
        <f ca="1"/>
        <v/>
      </c>
      <c r="G760" t="str">
        <f ca="1"/>
        <v/>
      </c>
      <c r="H760" s="17" t="str">
        <f ca="1"/>
        <v/>
      </c>
    </row>
    <row r="761" spans="2:8" x14ac:dyDescent="0.35">
      <c r="B761" t="str">
        <f ca="1"/>
        <v/>
      </c>
      <c r="C761" t="str">
        <f ca="1"/>
        <v/>
      </c>
      <c r="D761" t="str">
        <f ca="1"/>
        <v/>
      </c>
      <c r="E761" t="str">
        <f ca="1"/>
        <v/>
      </c>
      <c r="F761" t="str">
        <f ca="1"/>
        <v/>
      </c>
      <c r="G761" t="str">
        <f ca="1"/>
        <v/>
      </c>
      <c r="H761" s="17" t="str">
        <f ca="1"/>
        <v/>
      </c>
    </row>
    <row r="762" spans="2:8" x14ac:dyDescent="0.35">
      <c r="B762" t="str">
        <f ca="1"/>
        <v/>
      </c>
      <c r="C762" t="str">
        <f ca="1"/>
        <v/>
      </c>
      <c r="D762" t="str">
        <f ca="1"/>
        <v/>
      </c>
      <c r="E762" t="str">
        <f ca="1"/>
        <v/>
      </c>
      <c r="F762" t="str">
        <f ca="1"/>
        <v/>
      </c>
      <c r="G762" t="str">
        <f ca="1"/>
        <v/>
      </c>
      <c r="H762" s="17" t="str">
        <f ca="1"/>
        <v/>
      </c>
    </row>
    <row r="763" spans="2:8" x14ac:dyDescent="0.35">
      <c r="B763" t="str">
        <f ca="1"/>
        <v/>
      </c>
      <c r="C763" t="str">
        <f ca="1"/>
        <v/>
      </c>
      <c r="D763" t="str">
        <f ca="1"/>
        <v/>
      </c>
      <c r="E763" t="str">
        <f ca="1"/>
        <v/>
      </c>
      <c r="F763" t="str">
        <f ca="1"/>
        <v/>
      </c>
      <c r="G763" t="str">
        <f ca="1"/>
        <v/>
      </c>
      <c r="H763" s="17" t="str">
        <f ca="1"/>
        <v/>
      </c>
    </row>
    <row r="764" spans="2:8" x14ac:dyDescent="0.35">
      <c r="B764" t="str">
        <f ca="1"/>
        <v/>
      </c>
      <c r="C764" t="str">
        <f ca="1"/>
        <v/>
      </c>
      <c r="D764" t="str">
        <f ca="1"/>
        <v/>
      </c>
      <c r="E764" t="str">
        <f ca="1"/>
        <v/>
      </c>
      <c r="F764" t="str">
        <f ca="1"/>
        <v/>
      </c>
      <c r="G764" t="str">
        <f ca="1"/>
        <v/>
      </c>
      <c r="H764" s="17" t="str">
        <f ca="1"/>
        <v/>
      </c>
    </row>
    <row r="765" spans="2:8" x14ac:dyDescent="0.35">
      <c r="B765" t="str">
        <f ca="1"/>
        <v/>
      </c>
      <c r="C765" t="str">
        <f ca="1"/>
        <v/>
      </c>
      <c r="D765" t="str">
        <f ca="1"/>
        <v/>
      </c>
      <c r="E765" t="str">
        <f ca="1"/>
        <v/>
      </c>
      <c r="F765" t="str">
        <f ca="1"/>
        <v/>
      </c>
      <c r="G765" t="str">
        <f ca="1"/>
        <v/>
      </c>
      <c r="H765" s="17" t="str">
        <f ca="1"/>
        <v/>
      </c>
    </row>
    <row r="766" spans="2:8" x14ac:dyDescent="0.35">
      <c r="B766" t="str">
        <f ca="1"/>
        <v/>
      </c>
      <c r="C766" t="str">
        <f ca="1"/>
        <v/>
      </c>
      <c r="D766" t="str">
        <f ca="1"/>
        <v/>
      </c>
      <c r="E766" t="str">
        <f ca="1"/>
        <v/>
      </c>
      <c r="F766" t="str">
        <f ca="1"/>
        <v/>
      </c>
      <c r="G766" t="str">
        <f ca="1"/>
        <v/>
      </c>
      <c r="H766" s="17" t="str">
        <f ca="1"/>
        <v/>
      </c>
    </row>
    <row r="767" spans="2:8" x14ac:dyDescent="0.35">
      <c r="B767" t="str">
        <f ca="1"/>
        <v/>
      </c>
      <c r="C767" t="str">
        <f ca="1"/>
        <v/>
      </c>
      <c r="D767" t="str">
        <f ca="1"/>
        <v/>
      </c>
      <c r="E767" t="str">
        <f ca="1"/>
        <v/>
      </c>
      <c r="F767" t="str">
        <f ca="1"/>
        <v/>
      </c>
      <c r="G767" t="str">
        <f ca="1"/>
        <v/>
      </c>
      <c r="H767" s="17" t="str">
        <f ca="1"/>
        <v/>
      </c>
    </row>
    <row r="768" spans="2:8" x14ac:dyDescent="0.35">
      <c r="B768" t="str">
        <f ca="1"/>
        <v/>
      </c>
      <c r="C768" t="str">
        <f ca="1"/>
        <v/>
      </c>
      <c r="D768" t="str">
        <f ca="1"/>
        <v/>
      </c>
      <c r="E768" t="str">
        <f ca="1"/>
        <v/>
      </c>
      <c r="F768" t="str">
        <f ca="1"/>
        <v/>
      </c>
      <c r="G768" t="str">
        <f ca="1"/>
        <v/>
      </c>
      <c r="H768" s="17" t="str">
        <f ca="1"/>
        <v/>
      </c>
    </row>
    <row r="769" spans="2:8" x14ac:dyDescent="0.35">
      <c r="B769" t="str">
        <f ca="1"/>
        <v/>
      </c>
      <c r="C769" t="str">
        <f ca="1"/>
        <v/>
      </c>
      <c r="D769" t="str">
        <f ca="1"/>
        <v/>
      </c>
      <c r="E769" t="str">
        <f ca="1"/>
        <v/>
      </c>
      <c r="F769" t="str">
        <f ca="1"/>
        <v/>
      </c>
      <c r="G769" t="str">
        <f ca="1"/>
        <v/>
      </c>
      <c r="H769" s="17" t="str">
        <f ca="1"/>
        <v/>
      </c>
    </row>
    <row r="770" spans="2:8" x14ac:dyDescent="0.35">
      <c r="B770" t="str">
        <f ca="1"/>
        <v/>
      </c>
      <c r="C770" t="str">
        <f ca="1"/>
        <v/>
      </c>
      <c r="D770" t="str">
        <f ca="1"/>
        <v/>
      </c>
      <c r="E770" t="str">
        <f ca="1"/>
        <v/>
      </c>
      <c r="F770" t="str">
        <f ca="1"/>
        <v/>
      </c>
      <c r="G770" t="str">
        <f ca="1"/>
        <v/>
      </c>
      <c r="H770" s="17" t="str">
        <f ca="1"/>
        <v/>
      </c>
    </row>
    <row r="771" spans="2:8" x14ac:dyDescent="0.35">
      <c r="B771" t="str">
        <f ca="1"/>
        <v/>
      </c>
      <c r="C771" t="str">
        <f ca="1"/>
        <v/>
      </c>
      <c r="D771" t="str">
        <f ca="1"/>
        <v/>
      </c>
      <c r="E771" t="str">
        <f ca="1"/>
        <v/>
      </c>
      <c r="F771" t="str">
        <f ca="1"/>
        <v/>
      </c>
      <c r="G771" t="str">
        <f ca="1"/>
        <v/>
      </c>
      <c r="H771" s="17" t="str">
        <f ca="1"/>
        <v/>
      </c>
    </row>
    <row r="772" spans="2:8" x14ac:dyDescent="0.35">
      <c r="B772" t="str">
        <f ca="1"/>
        <v/>
      </c>
      <c r="C772" t="str">
        <f ca="1"/>
        <v/>
      </c>
      <c r="D772" t="str">
        <f ca="1"/>
        <v/>
      </c>
      <c r="E772" t="str">
        <f ca="1"/>
        <v/>
      </c>
      <c r="F772" t="str">
        <f ca="1"/>
        <v/>
      </c>
      <c r="G772" t="str">
        <f ca="1"/>
        <v/>
      </c>
      <c r="H772" s="17" t="str">
        <f ca="1"/>
        <v/>
      </c>
    </row>
    <row r="773" spans="2:8" x14ac:dyDescent="0.35">
      <c r="B773" t="str">
        <f ca="1"/>
        <v/>
      </c>
      <c r="C773" t="str">
        <f ca="1"/>
        <v/>
      </c>
      <c r="D773" t="str">
        <f ca="1"/>
        <v/>
      </c>
      <c r="E773" t="str">
        <f ca="1"/>
        <v/>
      </c>
      <c r="F773" t="str">
        <f ca="1"/>
        <v/>
      </c>
      <c r="G773" t="str">
        <f ca="1"/>
        <v/>
      </c>
      <c r="H773" s="17" t="str">
        <f ca="1"/>
        <v/>
      </c>
    </row>
    <row r="774" spans="2:8" x14ac:dyDescent="0.35">
      <c r="B774" t="str">
        <f ca="1"/>
        <v/>
      </c>
      <c r="C774" t="str">
        <f ca="1"/>
        <v/>
      </c>
      <c r="D774" t="str">
        <f ca="1"/>
        <v/>
      </c>
      <c r="E774" t="str">
        <f ca="1"/>
        <v/>
      </c>
      <c r="F774" t="str">
        <f ca="1"/>
        <v/>
      </c>
      <c r="G774" t="str">
        <f ca="1"/>
        <v/>
      </c>
      <c r="H774" s="17" t="str">
        <f ca="1"/>
        <v/>
      </c>
    </row>
    <row r="775" spans="2:8" x14ac:dyDescent="0.35">
      <c r="B775" t="str">
        <f ca="1"/>
        <v/>
      </c>
      <c r="C775" t="str">
        <f ca="1"/>
        <v/>
      </c>
      <c r="D775" t="str">
        <f ca="1"/>
        <v/>
      </c>
      <c r="E775" t="str">
        <f ca="1"/>
        <v/>
      </c>
      <c r="F775" t="str">
        <f ca="1"/>
        <v/>
      </c>
      <c r="G775" t="str">
        <f ca="1"/>
        <v/>
      </c>
      <c r="H775" s="17" t="str">
        <f ca="1"/>
        <v/>
      </c>
    </row>
    <row r="776" spans="2:8" x14ac:dyDescent="0.35">
      <c r="B776" t="str">
        <f ca="1"/>
        <v/>
      </c>
      <c r="C776" t="str">
        <f ca="1"/>
        <v/>
      </c>
      <c r="D776" t="str">
        <f ca="1"/>
        <v/>
      </c>
      <c r="E776" t="str">
        <f ca="1"/>
        <v/>
      </c>
      <c r="F776" t="str">
        <f ca="1"/>
        <v/>
      </c>
      <c r="G776" t="str">
        <f ca="1"/>
        <v/>
      </c>
      <c r="H776" s="17" t="str">
        <f ca="1"/>
        <v/>
      </c>
    </row>
    <row r="777" spans="2:8" x14ac:dyDescent="0.35">
      <c r="B777" t="str">
        <f ca="1"/>
        <v/>
      </c>
      <c r="C777" t="str">
        <f ca="1"/>
        <v/>
      </c>
      <c r="D777" t="str">
        <f ca="1"/>
        <v/>
      </c>
      <c r="E777" t="str">
        <f ca="1"/>
        <v/>
      </c>
      <c r="F777" t="str">
        <f ca="1"/>
        <v/>
      </c>
      <c r="G777" t="str">
        <f ca="1"/>
        <v/>
      </c>
      <c r="H777" s="17" t="str">
        <f ca="1"/>
        <v/>
      </c>
    </row>
    <row r="778" spans="2:8" x14ac:dyDescent="0.35">
      <c r="B778" t="str">
        <f ca="1"/>
        <v/>
      </c>
      <c r="C778" t="str">
        <f ca="1"/>
        <v/>
      </c>
      <c r="D778" t="str">
        <f ca="1"/>
        <v/>
      </c>
      <c r="E778" t="str">
        <f ca="1"/>
        <v/>
      </c>
      <c r="F778" t="str">
        <f ca="1"/>
        <v/>
      </c>
      <c r="G778" t="str">
        <f ca="1"/>
        <v/>
      </c>
      <c r="H778" s="17" t="str">
        <f ca="1"/>
        <v/>
      </c>
    </row>
    <row r="779" spans="2:8" x14ac:dyDescent="0.35">
      <c r="B779" t="str">
        <f ca="1"/>
        <v/>
      </c>
      <c r="C779" t="str">
        <f ca="1"/>
        <v/>
      </c>
      <c r="D779" t="str">
        <f ca="1"/>
        <v/>
      </c>
      <c r="E779" t="str">
        <f ca="1"/>
        <v/>
      </c>
      <c r="F779" t="str">
        <f ca="1"/>
        <v/>
      </c>
      <c r="G779" t="str">
        <f ca="1"/>
        <v/>
      </c>
      <c r="H779" s="17" t="str">
        <f ca="1"/>
        <v/>
      </c>
    </row>
    <row r="780" spans="2:8" x14ac:dyDescent="0.35">
      <c r="B780" t="str">
        <f ca="1"/>
        <v/>
      </c>
      <c r="C780" t="str">
        <f ca="1"/>
        <v/>
      </c>
      <c r="D780" t="str">
        <f ca="1"/>
        <v/>
      </c>
      <c r="E780" t="str">
        <f ca="1"/>
        <v/>
      </c>
      <c r="F780" t="str">
        <f ca="1"/>
        <v/>
      </c>
      <c r="G780" t="str">
        <f ca="1"/>
        <v/>
      </c>
      <c r="H780" s="17" t="str">
        <f ca="1"/>
        <v/>
      </c>
    </row>
    <row r="781" spans="2:8" x14ac:dyDescent="0.35">
      <c r="B781" t="str">
        <f ca="1"/>
        <v/>
      </c>
      <c r="C781" t="str">
        <f ca="1"/>
        <v/>
      </c>
      <c r="D781" t="str">
        <f ca="1"/>
        <v/>
      </c>
      <c r="E781" t="str">
        <f ca="1"/>
        <v/>
      </c>
      <c r="F781" t="str">
        <f ca="1"/>
        <v/>
      </c>
      <c r="G781" t="str">
        <f ca="1"/>
        <v/>
      </c>
      <c r="H781" s="17" t="str">
        <f ca="1"/>
        <v/>
      </c>
    </row>
    <row r="782" spans="2:8" x14ac:dyDescent="0.35">
      <c r="B782" t="str">
        <f ca="1"/>
        <v/>
      </c>
      <c r="C782" t="str">
        <f ca="1"/>
        <v/>
      </c>
      <c r="D782" t="str">
        <f ca="1"/>
        <v/>
      </c>
      <c r="E782" t="str">
        <f ca="1"/>
        <v/>
      </c>
      <c r="F782" t="str">
        <f ca="1"/>
        <v/>
      </c>
      <c r="G782" t="str">
        <f ca="1"/>
        <v/>
      </c>
      <c r="H782" s="17" t="str">
        <f ca="1"/>
        <v/>
      </c>
    </row>
    <row r="783" spans="2:8" x14ac:dyDescent="0.35">
      <c r="B783" t="str">
        <f ca="1"/>
        <v/>
      </c>
      <c r="C783" t="str">
        <f ca="1"/>
        <v/>
      </c>
      <c r="D783" t="str">
        <f ca="1"/>
        <v/>
      </c>
      <c r="E783" t="str">
        <f ca="1"/>
        <v/>
      </c>
      <c r="F783" t="str">
        <f ca="1"/>
        <v/>
      </c>
      <c r="G783" t="str">
        <f ca="1"/>
        <v/>
      </c>
      <c r="H783" s="17" t="str">
        <f ca="1"/>
        <v/>
      </c>
    </row>
    <row r="784" spans="2:8" x14ac:dyDescent="0.35">
      <c r="B784" t="str">
        <f ca="1"/>
        <v/>
      </c>
      <c r="C784" t="str">
        <f ca="1"/>
        <v/>
      </c>
      <c r="D784" t="str">
        <f ca="1"/>
        <v/>
      </c>
      <c r="E784" t="str">
        <f ca="1"/>
        <v/>
      </c>
      <c r="F784" t="str">
        <f ca="1"/>
        <v/>
      </c>
      <c r="G784" t="str">
        <f ca="1"/>
        <v/>
      </c>
      <c r="H784" s="17" t="str">
        <f ca="1"/>
        <v/>
      </c>
    </row>
    <row r="785" spans="2:8" x14ac:dyDescent="0.35">
      <c r="B785" t="str">
        <f ca="1"/>
        <v/>
      </c>
      <c r="C785" t="str">
        <f ca="1"/>
        <v/>
      </c>
      <c r="D785" t="str">
        <f ca="1"/>
        <v/>
      </c>
      <c r="E785" t="str">
        <f ca="1"/>
        <v/>
      </c>
      <c r="F785" t="str">
        <f ca="1"/>
        <v/>
      </c>
      <c r="G785" t="str">
        <f ca="1"/>
        <v/>
      </c>
      <c r="H785" s="17" t="str">
        <f ca="1"/>
        <v/>
      </c>
    </row>
    <row r="786" spans="2:8" x14ac:dyDescent="0.35">
      <c r="B786" t="str">
        <f ca="1"/>
        <v/>
      </c>
      <c r="C786" t="str">
        <f ca="1"/>
        <v/>
      </c>
      <c r="D786" t="str">
        <f ca="1"/>
        <v/>
      </c>
      <c r="E786" t="str">
        <f ca="1"/>
        <v/>
      </c>
      <c r="F786" t="str">
        <f ca="1"/>
        <v/>
      </c>
      <c r="G786" t="str">
        <f ca="1"/>
        <v/>
      </c>
      <c r="H786" s="17" t="str">
        <f ca="1"/>
        <v/>
      </c>
    </row>
    <row r="787" spans="2:8" x14ac:dyDescent="0.35">
      <c r="B787" t="str">
        <f ca="1"/>
        <v/>
      </c>
      <c r="C787" t="str">
        <f ca="1"/>
        <v/>
      </c>
      <c r="D787" t="str">
        <f ca="1"/>
        <v/>
      </c>
      <c r="E787" t="str">
        <f ca="1"/>
        <v/>
      </c>
      <c r="F787" t="str">
        <f ca="1"/>
        <v/>
      </c>
      <c r="G787" t="str">
        <f ca="1"/>
        <v/>
      </c>
      <c r="H787" s="17" t="str">
        <f ca="1"/>
        <v/>
      </c>
    </row>
    <row r="788" spans="2:8" x14ac:dyDescent="0.35">
      <c r="B788" t="str">
        <f ca="1"/>
        <v/>
      </c>
      <c r="C788" t="str">
        <f ca="1"/>
        <v/>
      </c>
      <c r="D788" t="str">
        <f ca="1"/>
        <v/>
      </c>
      <c r="E788" t="str">
        <f ca="1"/>
        <v/>
      </c>
      <c r="F788" t="str">
        <f ca="1"/>
        <v/>
      </c>
      <c r="G788" t="str">
        <f ca="1"/>
        <v/>
      </c>
      <c r="H788" s="17" t="str">
        <f ca="1"/>
        <v/>
      </c>
    </row>
    <row r="789" spans="2:8" x14ac:dyDescent="0.35">
      <c r="B789" t="str">
        <f ca="1"/>
        <v/>
      </c>
      <c r="C789" t="str">
        <f ca="1"/>
        <v/>
      </c>
      <c r="D789" t="str">
        <f ca="1"/>
        <v/>
      </c>
      <c r="E789" t="str">
        <f ca="1"/>
        <v/>
      </c>
      <c r="F789" t="str">
        <f ca="1"/>
        <v/>
      </c>
      <c r="G789" t="str">
        <f ca="1"/>
        <v/>
      </c>
      <c r="H789" s="17" t="str">
        <f ca="1"/>
        <v/>
      </c>
    </row>
    <row r="790" spans="2:8" x14ac:dyDescent="0.35">
      <c r="B790" t="str">
        <f ca="1"/>
        <v/>
      </c>
      <c r="C790" t="str">
        <f ca="1"/>
        <v/>
      </c>
      <c r="D790" t="str">
        <f ca="1"/>
        <v/>
      </c>
      <c r="E790" t="str">
        <f ca="1"/>
        <v/>
      </c>
      <c r="F790" t="str">
        <f ca="1"/>
        <v/>
      </c>
      <c r="G790" t="str">
        <f ca="1"/>
        <v/>
      </c>
      <c r="H790" s="17" t="str">
        <f ca="1"/>
        <v/>
      </c>
    </row>
    <row r="791" spans="2:8" x14ac:dyDescent="0.35">
      <c r="B791" t="str">
        <f ca="1"/>
        <v/>
      </c>
      <c r="C791" t="str">
        <f ca="1"/>
        <v/>
      </c>
      <c r="D791" t="str">
        <f ca="1"/>
        <v/>
      </c>
      <c r="E791" t="str">
        <f ca="1"/>
        <v/>
      </c>
      <c r="F791" t="str">
        <f ca="1"/>
        <v/>
      </c>
      <c r="G791" t="str">
        <f ca="1"/>
        <v/>
      </c>
      <c r="H791" s="17" t="str">
        <f ca="1"/>
        <v/>
      </c>
    </row>
    <row r="792" spans="2:8" x14ac:dyDescent="0.35">
      <c r="B792" t="str">
        <f ca="1"/>
        <v/>
      </c>
      <c r="C792" t="str">
        <f ca="1"/>
        <v/>
      </c>
      <c r="D792" t="str">
        <f ca="1"/>
        <v/>
      </c>
      <c r="E792" t="str">
        <f ca="1"/>
        <v/>
      </c>
      <c r="F792" t="str">
        <f ca="1"/>
        <v/>
      </c>
      <c r="G792" t="str">
        <f ca="1"/>
        <v/>
      </c>
      <c r="H792" s="17" t="str">
        <f ca="1"/>
        <v/>
      </c>
    </row>
    <row r="793" spans="2:8" x14ac:dyDescent="0.35">
      <c r="B793" t="str">
        <f ca="1"/>
        <v/>
      </c>
      <c r="C793" t="str">
        <f ca="1"/>
        <v/>
      </c>
      <c r="D793" t="str">
        <f ca="1"/>
        <v/>
      </c>
      <c r="E793" t="str">
        <f ca="1"/>
        <v/>
      </c>
      <c r="F793" t="str">
        <f ca="1"/>
        <v/>
      </c>
      <c r="G793" t="str">
        <f ca="1"/>
        <v/>
      </c>
      <c r="H793" s="17" t="str">
        <f ca="1"/>
        <v/>
      </c>
    </row>
    <row r="794" spans="2:8" x14ac:dyDescent="0.35">
      <c r="B794" t="str">
        <f ca="1"/>
        <v/>
      </c>
      <c r="C794" t="str">
        <f ca="1"/>
        <v/>
      </c>
      <c r="D794" t="str">
        <f ca="1"/>
        <v/>
      </c>
      <c r="E794" t="str">
        <f ca="1"/>
        <v/>
      </c>
      <c r="F794" t="str">
        <f ca="1"/>
        <v/>
      </c>
      <c r="G794" t="str">
        <f ca="1"/>
        <v/>
      </c>
      <c r="H794" s="17" t="str">
        <f ca="1"/>
        <v/>
      </c>
    </row>
    <row r="795" spans="2:8" x14ac:dyDescent="0.35">
      <c r="B795" t="str">
        <f ca="1"/>
        <v/>
      </c>
      <c r="C795" t="str">
        <f ca="1"/>
        <v/>
      </c>
      <c r="D795" t="str">
        <f ca="1"/>
        <v/>
      </c>
      <c r="E795" t="str">
        <f ca="1"/>
        <v/>
      </c>
      <c r="F795" t="str">
        <f ca="1"/>
        <v/>
      </c>
      <c r="G795" t="str">
        <f ca="1"/>
        <v/>
      </c>
      <c r="H795" s="17" t="str">
        <f ca="1"/>
        <v/>
      </c>
    </row>
    <row r="796" spans="2:8" x14ac:dyDescent="0.35">
      <c r="B796" t="str">
        <f ca="1"/>
        <v/>
      </c>
      <c r="C796" t="str">
        <f ca="1"/>
        <v/>
      </c>
      <c r="D796" t="str">
        <f ca="1"/>
        <v/>
      </c>
      <c r="E796" t="str">
        <f ca="1"/>
        <v/>
      </c>
      <c r="F796" t="str">
        <f ca="1"/>
        <v/>
      </c>
      <c r="G796" t="str">
        <f ca="1"/>
        <v/>
      </c>
      <c r="H796" s="17" t="str">
        <f ca="1"/>
        <v/>
      </c>
    </row>
    <row r="797" spans="2:8" x14ac:dyDescent="0.35">
      <c r="B797" t="str">
        <f ca="1"/>
        <v/>
      </c>
      <c r="C797" t="str">
        <f ca="1"/>
        <v/>
      </c>
      <c r="D797" t="str">
        <f ca="1"/>
        <v/>
      </c>
      <c r="E797" t="str">
        <f ca="1"/>
        <v/>
      </c>
      <c r="F797" t="str">
        <f ca="1"/>
        <v/>
      </c>
      <c r="G797" t="str">
        <f ca="1"/>
        <v/>
      </c>
      <c r="H797" s="17" t="str">
        <f ca="1"/>
        <v/>
      </c>
    </row>
    <row r="798" spans="2:8" x14ac:dyDescent="0.35">
      <c r="B798" t="str">
        <f ca="1"/>
        <v/>
      </c>
      <c r="C798" t="str">
        <f ca="1"/>
        <v/>
      </c>
      <c r="D798" t="str">
        <f ca="1"/>
        <v/>
      </c>
      <c r="E798" t="str">
        <f ca="1"/>
        <v/>
      </c>
      <c r="F798" t="str">
        <f ca="1"/>
        <v/>
      </c>
      <c r="G798" t="str">
        <f ca="1"/>
        <v/>
      </c>
      <c r="H798" s="17" t="str">
        <f ca="1"/>
        <v/>
      </c>
    </row>
    <row r="799" spans="2:8" x14ac:dyDescent="0.35">
      <c r="B799" t="str">
        <f ca="1"/>
        <v/>
      </c>
      <c r="C799" t="str">
        <f ca="1"/>
        <v/>
      </c>
      <c r="D799" t="str">
        <f ca="1"/>
        <v/>
      </c>
      <c r="E799" t="str">
        <f ca="1"/>
        <v/>
      </c>
      <c r="F799" t="str">
        <f ca="1"/>
        <v/>
      </c>
      <c r="G799" t="str">
        <f ca="1"/>
        <v/>
      </c>
      <c r="H799" s="17" t="str">
        <f ca="1"/>
        <v/>
      </c>
    </row>
    <row r="800" spans="2:8" x14ac:dyDescent="0.35">
      <c r="B800" t="str">
        <f ca="1"/>
        <v/>
      </c>
      <c r="C800" t="str">
        <f ca="1"/>
        <v/>
      </c>
      <c r="D800" t="str">
        <f ca="1"/>
        <v/>
      </c>
      <c r="E800" t="str">
        <f ca="1"/>
        <v/>
      </c>
      <c r="F800" t="str">
        <f ca="1"/>
        <v/>
      </c>
      <c r="G800" t="str">
        <f ca="1"/>
        <v/>
      </c>
      <c r="H800" s="17" t="str">
        <f ca="1"/>
        <v/>
      </c>
    </row>
    <row r="801" spans="2:8" x14ac:dyDescent="0.35">
      <c r="B801" t="str">
        <f ca="1"/>
        <v/>
      </c>
      <c r="C801" t="str">
        <f ca="1"/>
        <v/>
      </c>
      <c r="D801" t="str">
        <f ca="1"/>
        <v/>
      </c>
      <c r="E801" t="str">
        <f ca="1"/>
        <v/>
      </c>
      <c r="F801" t="str">
        <f ca="1"/>
        <v/>
      </c>
      <c r="G801" t="str">
        <f ca="1"/>
        <v/>
      </c>
      <c r="H801" s="17" t="str">
        <f ca="1"/>
        <v/>
      </c>
    </row>
    <row r="802" spans="2:8" x14ac:dyDescent="0.35">
      <c r="B802" t="str">
        <f ca="1"/>
        <v/>
      </c>
      <c r="C802" t="str">
        <f ca="1"/>
        <v/>
      </c>
      <c r="D802" t="str">
        <f ca="1"/>
        <v/>
      </c>
      <c r="E802" t="str">
        <f ca="1"/>
        <v/>
      </c>
      <c r="F802" t="str">
        <f ca="1"/>
        <v/>
      </c>
      <c r="G802" t="str">
        <f ca="1"/>
        <v/>
      </c>
      <c r="H802" s="17" t="str">
        <f ca="1"/>
        <v/>
      </c>
    </row>
    <row r="803" spans="2:8" x14ac:dyDescent="0.35">
      <c r="B803" t="str">
        <f ca="1"/>
        <v/>
      </c>
      <c r="C803" t="str">
        <f ca="1"/>
        <v/>
      </c>
      <c r="D803" t="str">
        <f ca="1"/>
        <v/>
      </c>
      <c r="E803" t="str">
        <f ca="1"/>
        <v/>
      </c>
      <c r="F803" t="str">
        <f ca="1"/>
        <v/>
      </c>
      <c r="G803" t="str">
        <f ca="1"/>
        <v/>
      </c>
      <c r="H803" s="17" t="str">
        <f ca="1"/>
        <v/>
      </c>
    </row>
    <row r="804" spans="2:8" x14ac:dyDescent="0.35">
      <c r="B804" t="str">
        <f ca="1"/>
        <v/>
      </c>
      <c r="C804" t="str">
        <f ca="1"/>
        <v/>
      </c>
      <c r="D804" t="str">
        <f ca="1"/>
        <v/>
      </c>
      <c r="E804" t="str">
        <f ca="1"/>
        <v/>
      </c>
      <c r="F804" t="str">
        <f ca="1"/>
        <v/>
      </c>
      <c r="G804" t="str">
        <f ca="1"/>
        <v/>
      </c>
      <c r="H804" s="17" t="str">
        <f ca="1"/>
        <v/>
      </c>
    </row>
    <row r="805" spans="2:8" x14ac:dyDescent="0.35">
      <c r="B805" t="str">
        <f ca="1"/>
        <v/>
      </c>
      <c r="C805" t="str">
        <f ca="1"/>
        <v/>
      </c>
      <c r="D805" t="str">
        <f ca="1"/>
        <v/>
      </c>
      <c r="E805" t="str">
        <f ca="1"/>
        <v/>
      </c>
      <c r="F805" t="str">
        <f ca="1"/>
        <v/>
      </c>
      <c r="G805" t="str">
        <f ca="1"/>
        <v/>
      </c>
      <c r="H805" s="17" t="str">
        <f ca="1"/>
        <v/>
      </c>
    </row>
    <row r="806" spans="2:8" x14ac:dyDescent="0.35">
      <c r="B806" t="str">
        <f ca="1"/>
        <v/>
      </c>
      <c r="C806" t="str">
        <f ca="1"/>
        <v/>
      </c>
      <c r="D806" t="str">
        <f ca="1"/>
        <v/>
      </c>
      <c r="E806" t="str">
        <f ca="1"/>
        <v/>
      </c>
      <c r="F806" t="str">
        <f ca="1"/>
        <v/>
      </c>
      <c r="G806" t="str">
        <f ca="1"/>
        <v/>
      </c>
      <c r="H806" s="17" t="str">
        <f ca="1"/>
        <v/>
      </c>
    </row>
    <row r="807" spans="2:8" x14ac:dyDescent="0.35">
      <c r="B807" t="str">
        <f ca="1"/>
        <v/>
      </c>
      <c r="C807" t="str">
        <f ca="1"/>
        <v/>
      </c>
      <c r="D807" t="str">
        <f ca="1"/>
        <v/>
      </c>
      <c r="E807" t="str">
        <f ca="1"/>
        <v/>
      </c>
      <c r="F807" t="str">
        <f ca="1"/>
        <v/>
      </c>
      <c r="G807" t="str">
        <f ca="1"/>
        <v/>
      </c>
      <c r="H807" s="17" t="str">
        <f ca="1"/>
        <v/>
      </c>
    </row>
    <row r="808" spans="2:8" x14ac:dyDescent="0.35">
      <c r="B808" t="str">
        <f ca="1"/>
        <v/>
      </c>
      <c r="C808" t="str">
        <f ca="1"/>
        <v/>
      </c>
      <c r="D808" t="str">
        <f ca="1"/>
        <v/>
      </c>
      <c r="E808" t="str">
        <f ca="1"/>
        <v/>
      </c>
      <c r="F808" t="str">
        <f ca="1"/>
        <v/>
      </c>
      <c r="G808" t="str">
        <f ca="1"/>
        <v/>
      </c>
      <c r="H808" s="17" t="str">
        <f ca="1"/>
        <v/>
      </c>
    </row>
    <row r="809" spans="2:8" x14ac:dyDescent="0.35">
      <c r="B809" t="str">
        <f ca="1"/>
        <v/>
      </c>
      <c r="C809" t="str">
        <f ca="1"/>
        <v/>
      </c>
      <c r="D809" t="str">
        <f ca="1"/>
        <v/>
      </c>
      <c r="E809" t="str">
        <f ca="1"/>
        <v/>
      </c>
      <c r="F809" t="str">
        <f ca="1"/>
        <v/>
      </c>
      <c r="G809" t="str">
        <f ca="1"/>
        <v/>
      </c>
      <c r="H809" s="17" t="str">
        <f ca="1"/>
        <v/>
      </c>
    </row>
    <row r="810" spans="2:8" x14ac:dyDescent="0.35">
      <c r="B810" t="str">
        <f ca="1"/>
        <v/>
      </c>
      <c r="C810" t="str">
        <f ca="1"/>
        <v/>
      </c>
      <c r="D810" t="str">
        <f ca="1"/>
        <v/>
      </c>
      <c r="E810" t="str">
        <f ca="1"/>
        <v/>
      </c>
      <c r="F810" t="str">
        <f ca="1"/>
        <v/>
      </c>
      <c r="G810" t="str">
        <f ca="1"/>
        <v/>
      </c>
      <c r="H810" s="17" t="str">
        <f ca="1"/>
        <v/>
      </c>
    </row>
    <row r="811" spans="2:8" x14ac:dyDescent="0.35">
      <c r="B811" t="str">
        <f ca="1"/>
        <v/>
      </c>
      <c r="C811" t="str">
        <f ca="1"/>
        <v/>
      </c>
      <c r="D811" t="str">
        <f ca="1"/>
        <v/>
      </c>
      <c r="E811" t="str">
        <f ca="1"/>
        <v/>
      </c>
      <c r="F811" t="str">
        <f ca="1"/>
        <v/>
      </c>
      <c r="G811" t="str">
        <f ca="1"/>
        <v/>
      </c>
      <c r="H811" s="17" t="str">
        <f ca="1"/>
        <v/>
      </c>
    </row>
    <row r="812" spans="2:8" x14ac:dyDescent="0.35">
      <c r="B812" t="str">
        <f ca="1"/>
        <v/>
      </c>
      <c r="C812" t="str">
        <f ca="1"/>
        <v/>
      </c>
      <c r="D812" t="str">
        <f ca="1"/>
        <v/>
      </c>
      <c r="E812" t="str">
        <f ca="1"/>
        <v/>
      </c>
      <c r="F812" t="str">
        <f ca="1"/>
        <v/>
      </c>
      <c r="G812" t="str">
        <f ca="1"/>
        <v/>
      </c>
      <c r="H812" s="17" t="str">
        <f ca="1"/>
        <v/>
      </c>
    </row>
    <row r="813" spans="2:8" x14ac:dyDescent="0.35">
      <c r="B813" t="str">
        <f ca="1"/>
        <v/>
      </c>
      <c r="C813" t="str">
        <f ca="1"/>
        <v/>
      </c>
      <c r="D813" t="str">
        <f ca="1"/>
        <v/>
      </c>
      <c r="E813" t="str">
        <f ca="1"/>
        <v/>
      </c>
      <c r="F813" t="str">
        <f ca="1"/>
        <v/>
      </c>
      <c r="G813" t="str">
        <f ca="1"/>
        <v/>
      </c>
      <c r="H813" s="17" t="str">
        <f ca="1"/>
        <v/>
      </c>
    </row>
    <row r="814" spans="2:8" x14ac:dyDescent="0.35">
      <c r="B814" t="str">
        <f ca="1"/>
        <v/>
      </c>
      <c r="C814" t="str">
        <f ca="1"/>
        <v/>
      </c>
      <c r="D814" t="str">
        <f ca="1"/>
        <v/>
      </c>
      <c r="E814" t="str">
        <f ca="1"/>
        <v/>
      </c>
      <c r="F814" t="str">
        <f ca="1"/>
        <v/>
      </c>
      <c r="G814" t="str">
        <f ca="1"/>
        <v/>
      </c>
      <c r="H814" s="17" t="str">
        <f ca="1"/>
        <v/>
      </c>
    </row>
    <row r="815" spans="2:8" x14ac:dyDescent="0.35">
      <c r="B815" t="str">
        <f ca="1"/>
        <v/>
      </c>
      <c r="C815" t="str">
        <f ca="1"/>
        <v/>
      </c>
      <c r="D815" t="str">
        <f ca="1"/>
        <v/>
      </c>
      <c r="E815" t="str">
        <f ca="1"/>
        <v/>
      </c>
      <c r="F815" t="str">
        <f ca="1"/>
        <v/>
      </c>
      <c r="G815" t="str">
        <f ca="1"/>
        <v/>
      </c>
      <c r="H815" s="17" t="str">
        <f ca="1"/>
        <v/>
      </c>
    </row>
    <row r="816" spans="2:8" x14ac:dyDescent="0.35">
      <c r="B816" t="str">
        <f ca="1"/>
        <v/>
      </c>
      <c r="C816" t="str">
        <f ca="1"/>
        <v/>
      </c>
      <c r="D816" t="str">
        <f ca="1"/>
        <v/>
      </c>
      <c r="E816" t="str">
        <f ca="1"/>
        <v/>
      </c>
      <c r="F816" t="str">
        <f ca="1"/>
        <v/>
      </c>
      <c r="G816" t="str">
        <f ca="1"/>
        <v/>
      </c>
      <c r="H816" s="17" t="str">
        <f ca="1"/>
        <v/>
      </c>
    </row>
    <row r="817" spans="2:8" x14ac:dyDescent="0.35">
      <c r="B817" t="str">
        <f ca="1"/>
        <v/>
      </c>
      <c r="C817" t="str">
        <f ca="1"/>
        <v/>
      </c>
      <c r="D817" t="str">
        <f ca="1"/>
        <v/>
      </c>
      <c r="E817" t="str">
        <f ca="1"/>
        <v/>
      </c>
      <c r="F817" t="str">
        <f ca="1"/>
        <v/>
      </c>
      <c r="G817" t="str">
        <f ca="1"/>
        <v/>
      </c>
      <c r="H817" s="17" t="str">
        <f ca="1"/>
        <v/>
      </c>
    </row>
    <row r="818" spans="2:8" x14ac:dyDescent="0.35">
      <c r="B818" t="str">
        <f ca="1"/>
        <v/>
      </c>
      <c r="C818" t="str">
        <f ca="1"/>
        <v/>
      </c>
      <c r="D818" t="str">
        <f ca="1"/>
        <v/>
      </c>
      <c r="E818" t="str">
        <f ca="1"/>
        <v/>
      </c>
      <c r="F818" t="str">
        <f ca="1"/>
        <v/>
      </c>
      <c r="G818" t="str">
        <f ca="1"/>
        <v/>
      </c>
      <c r="H818" s="17" t="str">
        <f ca="1"/>
        <v/>
      </c>
    </row>
    <row r="819" spans="2:8" x14ac:dyDescent="0.35">
      <c r="B819" t="str">
        <f ca="1"/>
        <v/>
      </c>
      <c r="C819" t="str">
        <f ca="1"/>
        <v/>
      </c>
      <c r="D819" t="str">
        <f ca="1"/>
        <v/>
      </c>
      <c r="E819" t="str">
        <f ca="1"/>
        <v/>
      </c>
      <c r="F819" t="str">
        <f ca="1"/>
        <v/>
      </c>
      <c r="G819" t="str">
        <f ca="1"/>
        <v/>
      </c>
      <c r="H819" s="17" t="str">
        <f ca="1"/>
        <v/>
      </c>
    </row>
    <row r="820" spans="2:8" x14ac:dyDescent="0.35">
      <c r="B820" t="str">
        <f ca="1"/>
        <v/>
      </c>
      <c r="C820" t="str">
        <f ca="1"/>
        <v/>
      </c>
      <c r="D820" t="str">
        <f ca="1"/>
        <v/>
      </c>
      <c r="E820" t="str">
        <f ca="1"/>
        <v/>
      </c>
      <c r="F820" t="str">
        <f ca="1"/>
        <v/>
      </c>
      <c r="G820" t="str">
        <f ca="1"/>
        <v/>
      </c>
      <c r="H820" s="17" t="str">
        <f ca="1"/>
        <v/>
      </c>
    </row>
    <row r="821" spans="2:8" x14ac:dyDescent="0.35">
      <c r="B821" t="str">
        <f ca="1"/>
        <v/>
      </c>
      <c r="C821" t="str">
        <f ca="1"/>
        <v/>
      </c>
      <c r="D821" t="str">
        <f ca="1"/>
        <v/>
      </c>
      <c r="E821" t="str">
        <f ca="1"/>
        <v/>
      </c>
      <c r="F821" t="str">
        <f ca="1"/>
        <v/>
      </c>
      <c r="G821" t="str">
        <f ca="1"/>
        <v/>
      </c>
      <c r="H821" s="17" t="str">
        <f ca="1"/>
        <v/>
      </c>
    </row>
    <row r="822" spans="2:8" x14ac:dyDescent="0.35">
      <c r="B822" t="str">
        <f ca="1"/>
        <v/>
      </c>
      <c r="C822" t="str">
        <f ca="1"/>
        <v/>
      </c>
      <c r="D822" t="str">
        <f ca="1"/>
        <v/>
      </c>
      <c r="E822" t="str">
        <f ca="1"/>
        <v/>
      </c>
      <c r="F822" t="str">
        <f ca="1"/>
        <v/>
      </c>
      <c r="G822" t="str">
        <f ca="1"/>
        <v/>
      </c>
      <c r="H822" s="17" t="str">
        <f ca="1"/>
        <v/>
      </c>
    </row>
    <row r="823" spans="2:8" x14ac:dyDescent="0.35">
      <c r="B823" t="str">
        <f ca="1"/>
        <v/>
      </c>
      <c r="C823" t="str">
        <f ca="1"/>
        <v/>
      </c>
      <c r="D823" t="str">
        <f ca="1"/>
        <v/>
      </c>
      <c r="E823" t="str">
        <f ca="1"/>
        <v/>
      </c>
      <c r="F823" t="str">
        <f ca="1"/>
        <v/>
      </c>
      <c r="G823" t="str">
        <f ca="1"/>
        <v/>
      </c>
      <c r="H823" s="17" t="str">
        <f ca="1"/>
        <v/>
      </c>
    </row>
    <row r="824" spans="2:8" x14ac:dyDescent="0.35">
      <c r="B824" t="str">
        <f ca="1"/>
        <v/>
      </c>
      <c r="C824" t="str">
        <f ca="1"/>
        <v/>
      </c>
      <c r="D824" t="str">
        <f ca="1"/>
        <v/>
      </c>
      <c r="E824" t="str">
        <f ca="1"/>
        <v/>
      </c>
      <c r="F824" t="str">
        <f ca="1"/>
        <v/>
      </c>
      <c r="G824" t="str">
        <f ca="1"/>
        <v/>
      </c>
      <c r="H824" s="17" t="str">
        <f ca="1"/>
        <v/>
      </c>
    </row>
    <row r="825" spans="2:8" x14ac:dyDescent="0.35">
      <c r="B825" t="str">
        <f ca="1"/>
        <v/>
      </c>
      <c r="C825" t="str">
        <f ca="1"/>
        <v/>
      </c>
      <c r="D825" t="str">
        <f ca="1"/>
        <v/>
      </c>
      <c r="E825" t="str">
        <f ca="1"/>
        <v/>
      </c>
      <c r="F825" t="str">
        <f ca="1"/>
        <v/>
      </c>
      <c r="G825" t="str">
        <f ca="1"/>
        <v/>
      </c>
      <c r="H825" s="17" t="str">
        <f ca="1"/>
        <v/>
      </c>
    </row>
    <row r="826" spans="2:8" x14ac:dyDescent="0.35">
      <c r="B826" t="str">
        <f ca="1"/>
        <v/>
      </c>
      <c r="C826" t="str">
        <f ca="1"/>
        <v/>
      </c>
      <c r="D826" t="str">
        <f ca="1"/>
        <v/>
      </c>
      <c r="E826" t="str">
        <f ca="1"/>
        <v/>
      </c>
      <c r="F826" t="str">
        <f ca="1"/>
        <v/>
      </c>
      <c r="G826" t="str">
        <f ca="1"/>
        <v/>
      </c>
      <c r="H826" s="17" t="str">
        <f ca="1"/>
        <v/>
      </c>
    </row>
    <row r="827" spans="2:8" x14ac:dyDescent="0.35">
      <c r="B827" t="str">
        <f ca="1"/>
        <v/>
      </c>
      <c r="C827" t="str">
        <f ca="1"/>
        <v/>
      </c>
      <c r="D827" t="str">
        <f ca="1"/>
        <v/>
      </c>
      <c r="E827" t="str">
        <f ca="1"/>
        <v/>
      </c>
      <c r="F827" t="str">
        <f ca="1"/>
        <v/>
      </c>
      <c r="G827" t="str">
        <f ca="1"/>
        <v/>
      </c>
      <c r="H827" s="17" t="str">
        <f ca="1"/>
        <v/>
      </c>
    </row>
    <row r="828" spans="2:8" x14ac:dyDescent="0.35">
      <c r="B828" t="str">
        <f ca="1"/>
        <v/>
      </c>
      <c r="C828" t="str">
        <f ca="1"/>
        <v/>
      </c>
      <c r="D828" t="str">
        <f ca="1"/>
        <v/>
      </c>
      <c r="E828" t="str">
        <f ca="1"/>
        <v/>
      </c>
      <c r="F828" t="str">
        <f ca="1"/>
        <v/>
      </c>
      <c r="G828" t="str">
        <f ca="1"/>
        <v/>
      </c>
      <c r="H828" s="17" t="str">
        <f ca="1"/>
        <v/>
      </c>
    </row>
    <row r="829" spans="2:8" x14ac:dyDescent="0.35">
      <c r="B829" t="str">
        <f ca="1"/>
        <v/>
      </c>
      <c r="C829" t="str">
        <f ca="1"/>
        <v/>
      </c>
      <c r="D829" t="str">
        <f ca="1"/>
        <v/>
      </c>
      <c r="E829" t="str">
        <f ca="1"/>
        <v/>
      </c>
      <c r="F829" t="str">
        <f ca="1"/>
        <v/>
      </c>
      <c r="G829" t="str">
        <f ca="1"/>
        <v/>
      </c>
      <c r="H829" s="17" t="str">
        <f ca="1"/>
        <v/>
      </c>
    </row>
    <row r="830" spans="2:8" x14ac:dyDescent="0.35">
      <c r="B830" t="str">
        <f ca="1"/>
        <v/>
      </c>
      <c r="C830" t="str">
        <f ca="1"/>
        <v/>
      </c>
      <c r="D830" t="str">
        <f ca="1"/>
        <v/>
      </c>
      <c r="E830" t="str">
        <f ca="1"/>
        <v/>
      </c>
      <c r="F830" t="str">
        <f ca="1"/>
        <v/>
      </c>
      <c r="G830" t="str">
        <f ca="1"/>
        <v/>
      </c>
      <c r="H830" s="17" t="str">
        <f ca="1"/>
        <v/>
      </c>
    </row>
    <row r="831" spans="2:8" x14ac:dyDescent="0.35">
      <c r="B831" t="str">
        <f ca="1"/>
        <v/>
      </c>
      <c r="C831" t="str">
        <f ca="1"/>
        <v/>
      </c>
      <c r="D831" t="str">
        <f ca="1"/>
        <v/>
      </c>
      <c r="E831" t="str">
        <f ca="1"/>
        <v/>
      </c>
      <c r="F831" t="str">
        <f ca="1"/>
        <v/>
      </c>
      <c r="G831" t="str">
        <f ca="1"/>
        <v/>
      </c>
      <c r="H831" s="17" t="str">
        <f ca="1"/>
        <v/>
      </c>
    </row>
    <row r="832" spans="2:8" x14ac:dyDescent="0.35">
      <c r="B832" t="str">
        <f ca="1"/>
        <v/>
      </c>
      <c r="C832" t="str">
        <f ca="1"/>
        <v/>
      </c>
      <c r="D832" t="str">
        <f ca="1"/>
        <v/>
      </c>
      <c r="E832" t="str">
        <f ca="1"/>
        <v/>
      </c>
      <c r="F832" t="str">
        <f ca="1"/>
        <v/>
      </c>
      <c r="G832" t="str">
        <f ca="1"/>
        <v/>
      </c>
      <c r="H832" s="17" t="str">
        <f ca="1"/>
        <v/>
      </c>
    </row>
    <row r="833" spans="2:8" x14ac:dyDescent="0.35">
      <c r="B833" t="str">
        <f ca="1"/>
        <v/>
      </c>
      <c r="C833" t="str">
        <f ca="1"/>
        <v/>
      </c>
      <c r="D833" t="str">
        <f ca="1"/>
        <v/>
      </c>
      <c r="E833" t="str">
        <f ca="1"/>
        <v/>
      </c>
      <c r="F833" t="str">
        <f ca="1"/>
        <v/>
      </c>
      <c r="G833" t="str">
        <f ca="1"/>
        <v/>
      </c>
      <c r="H833" s="17" t="str">
        <f ca="1"/>
        <v/>
      </c>
    </row>
    <row r="834" spans="2:8" x14ac:dyDescent="0.35">
      <c r="B834" t="str">
        <f ca="1"/>
        <v/>
      </c>
      <c r="C834" t="str">
        <f ca="1"/>
        <v/>
      </c>
      <c r="D834" t="str">
        <f ca="1"/>
        <v/>
      </c>
      <c r="E834" t="str">
        <f ca="1"/>
        <v/>
      </c>
      <c r="F834" t="str">
        <f ca="1"/>
        <v/>
      </c>
      <c r="G834" t="str">
        <f ca="1"/>
        <v/>
      </c>
      <c r="H834" s="17" t="str">
        <f ca="1"/>
        <v/>
      </c>
    </row>
    <row r="835" spans="2:8" x14ac:dyDescent="0.35">
      <c r="B835" t="str">
        <f ca="1"/>
        <v/>
      </c>
      <c r="C835" t="str">
        <f ca="1"/>
        <v/>
      </c>
      <c r="D835" t="str">
        <f ca="1"/>
        <v/>
      </c>
      <c r="E835" t="str">
        <f ca="1"/>
        <v/>
      </c>
      <c r="F835" t="str">
        <f ca="1"/>
        <v/>
      </c>
      <c r="G835" t="str">
        <f ca="1"/>
        <v/>
      </c>
      <c r="H835" s="17" t="str">
        <f ca="1"/>
        <v/>
      </c>
    </row>
    <row r="836" spans="2:8" x14ac:dyDescent="0.35">
      <c r="B836" t="str">
        <f ca="1"/>
        <v/>
      </c>
      <c r="C836" t="str">
        <f ca="1"/>
        <v/>
      </c>
      <c r="D836" t="str">
        <f ca="1"/>
        <v/>
      </c>
      <c r="E836" t="str">
        <f ca="1"/>
        <v/>
      </c>
      <c r="F836" t="str">
        <f ca="1"/>
        <v/>
      </c>
      <c r="G836" t="str">
        <f ca="1"/>
        <v/>
      </c>
      <c r="H836" s="17" t="str">
        <f ca="1"/>
        <v/>
      </c>
    </row>
    <row r="837" spans="2:8" x14ac:dyDescent="0.35">
      <c r="B837" t="str">
        <f ca="1"/>
        <v/>
      </c>
      <c r="C837" t="str">
        <f ca="1"/>
        <v/>
      </c>
      <c r="D837" t="str">
        <f ca="1"/>
        <v/>
      </c>
      <c r="E837" t="str">
        <f ca="1"/>
        <v/>
      </c>
      <c r="F837" t="str">
        <f ca="1"/>
        <v/>
      </c>
      <c r="G837" t="str">
        <f ca="1"/>
        <v/>
      </c>
      <c r="H837" s="17" t="str">
        <f ca="1"/>
        <v/>
      </c>
    </row>
    <row r="838" spans="2:8" x14ac:dyDescent="0.35">
      <c r="B838" t="str">
        <f ca="1"/>
        <v/>
      </c>
      <c r="C838" t="str">
        <f ca="1"/>
        <v/>
      </c>
      <c r="D838" t="str">
        <f ca="1"/>
        <v/>
      </c>
      <c r="E838" t="str">
        <f ca="1"/>
        <v/>
      </c>
      <c r="F838" t="str">
        <f ca="1"/>
        <v/>
      </c>
      <c r="G838" t="str">
        <f ca="1"/>
        <v/>
      </c>
      <c r="H838" s="17" t="str">
        <f ca="1"/>
        <v/>
      </c>
    </row>
    <row r="839" spans="2:8" x14ac:dyDescent="0.35">
      <c r="B839" t="str">
        <f ca="1"/>
        <v/>
      </c>
      <c r="C839" t="str">
        <f ca="1"/>
        <v/>
      </c>
      <c r="D839" t="str">
        <f ca="1"/>
        <v/>
      </c>
      <c r="E839" t="str">
        <f ca="1"/>
        <v/>
      </c>
      <c r="F839" t="str">
        <f ca="1"/>
        <v/>
      </c>
      <c r="G839" t="str">
        <f ca="1"/>
        <v/>
      </c>
      <c r="H839" s="17" t="str">
        <f ca="1"/>
        <v/>
      </c>
    </row>
    <row r="840" spans="2:8" x14ac:dyDescent="0.35">
      <c r="B840" t="str">
        <f ca="1"/>
        <v/>
      </c>
      <c r="C840" t="str">
        <f ca="1"/>
        <v/>
      </c>
      <c r="D840" t="str">
        <f ca="1"/>
        <v/>
      </c>
      <c r="E840" t="str">
        <f ca="1"/>
        <v/>
      </c>
      <c r="F840" t="str">
        <f ca="1"/>
        <v/>
      </c>
      <c r="G840" t="str">
        <f ca="1"/>
        <v/>
      </c>
      <c r="H840" s="17" t="str">
        <f ca="1"/>
        <v/>
      </c>
    </row>
    <row r="841" spans="2:8" x14ac:dyDescent="0.35">
      <c r="B841" t="str">
        <f ca="1"/>
        <v/>
      </c>
      <c r="C841" t="str">
        <f ca="1"/>
        <v/>
      </c>
      <c r="D841" t="str">
        <f ca="1"/>
        <v/>
      </c>
      <c r="E841" t="str">
        <f ca="1"/>
        <v/>
      </c>
      <c r="F841" t="str">
        <f ca="1"/>
        <v/>
      </c>
      <c r="G841" t="str">
        <f ca="1"/>
        <v/>
      </c>
      <c r="H841" s="17" t="str">
        <f ca="1"/>
        <v/>
      </c>
    </row>
    <row r="842" spans="2:8" x14ac:dyDescent="0.35">
      <c r="B842" t="str">
        <f ca="1"/>
        <v/>
      </c>
      <c r="C842" t="str">
        <f ca="1"/>
        <v/>
      </c>
      <c r="D842" t="str">
        <f ca="1"/>
        <v/>
      </c>
      <c r="E842" t="str">
        <f ca="1"/>
        <v/>
      </c>
      <c r="F842" t="str">
        <f ca="1"/>
        <v/>
      </c>
      <c r="G842" t="str">
        <f ca="1"/>
        <v/>
      </c>
      <c r="H842" s="17" t="str">
        <f ca="1"/>
        <v/>
      </c>
    </row>
    <row r="843" spans="2:8" x14ac:dyDescent="0.35">
      <c r="B843" t="str">
        <f ca="1"/>
        <v/>
      </c>
      <c r="C843" t="str">
        <f ca="1"/>
        <v/>
      </c>
      <c r="D843" t="str">
        <f ca="1"/>
        <v/>
      </c>
      <c r="E843" t="str">
        <f ca="1"/>
        <v/>
      </c>
      <c r="F843" t="str">
        <f ca="1"/>
        <v/>
      </c>
      <c r="G843" t="str">
        <f ca="1"/>
        <v/>
      </c>
      <c r="H843" s="17" t="str">
        <f ca="1"/>
        <v/>
      </c>
    </row>
    <row r="844" spans="2:8" x14ac:dyDescent="0.35">
      <c r="B844" t="str">
        <f ca="1"/>
        <v/>
      </c>
      <c r="C844" t="str">
        <f ca="1"/>
        <v/>
      </c>
      <c r="D844" t="str">
        <f ca="1"/>
        <v/>
      </c>
      <c r="E844" t="str">
        <f ca="1"/>
        <v/>
      </c>
      <c r="F844" t="str">
        <f ca="1"/>
        <v/>
      </c>
      <c r="G844" t="str">
        <f ca="1"/>
        <v/>
      </c>
      <c r="H844" s="17" t="str">
        <f ca="1"/>
        <v/>
      </c>
    </row>
    <row r="845" spans="2:8" x14ac:dyDescent="0.35">
      <c r="B845" t="str">
        <f ca="1"/>
        <v/>
      </c>
      <c r="C845" t="str">
        <f ca="1"/>
        <v/>
      </c>
      <c r="D845" t="str">
        <f ca="1"/>
        <v/>
      </c>
      <c r="E845" t="str">
        <f ca="1"/>
        <v/>
      </c>
      <c r="F845" t="str">
        <f ca="1"/>
        <v/>
      </c>
      <c r="G845" t="str">
        <f ca="1"/>
        <v/>
      </c>
      <c r="H845" s="17" t="str">
        <f ca="1"/>
        <v/>
      </c>
    </row>
    <row r="846" spans="2:8" x14ac:dyDescent="0.35">
      <c r="B846" t="str">
        <f ca="1"/>
        <v/>
      </c>
      <c r="C846" t="str">
        <f ca="1"/>
        <v/>
      </c>
      <c r="D846" t="str">
        <f ca="1"/>
        <v/>
      </c>
      <c r="E846" t="str">
        <f ca="1"/>
        <v/>
      </c>
      <c r="F846" t="str">
        <f ca="1"/>
        <v/>
      </c>
      <c r="G846" t="str">
        <f ca="1"/>
        <v/>
      </c>
      <c r="H846" s="17" t="str">
        <f ca="1"/>
        <v/>
      </c>
    </row>
    <row r="847" spans="2:8" x14ac:dyDescent="0.35">
      <c r="B847" t="str">
        <f ca="1"/>
        <v/>
      </c>
      <c r="C847" t="str">
        <f ca="1"/>
        <v/>
      </c>
      <c r="D847" t="str">
        <f ca="1"/>
        <v/>
      </c>
      <c r="E847" t="str">
        <f ca="1"/>
        <v/>
      </c>
      <c r="F847" t="str">
        <f ca="1"/>
        <v/>
      </c>
      <c r="G847" t="str">
        <f ca="1"/>
        <v/>
      </c>
      <c r="H847" s="17" t="str">
        <f ca="1"/>
        <v/>
      </c>
    </row>
    <row r="848" spans="2:8" x14ac:dyDescent="0.35">
      <c r="B848" t="str">
        <f ca="1"/>
        <v/>
      </c>
      <c r="C848" t="str">
        <f ca="1"/>
        <v/>
      </c>
      <c r="D848" t="str">
        <f ca="1"/>
        <v/>
      </c>
      <c r="E848" t="str">
        <f ca="1"/>
        <v/>
      </c>
      <c r="F848" t="str">
        <f ca="1"/>
        <v/>
      </c>
      <c r="G848" t="str">
        <f ca="1"/>
        <v/>
      </c>
      <c r="H848" s="17" t="str">
        <f ca="1"/>
        <v/>
      </c>
    </row>
    <row r="849" spans="2:8" x14ac:dyDescent="0.35">
      <c r="B849" t="str">
        <f ca="1"/>
        <v/>
      </c>
      <c r="C849" t="str">
        <f ca="1"/>
        <v/>
      </c>
      <c r="D849" t="str">
        <f ca="1"/>
        <v/>
      </c>
      <c r="E849" t="str">
        <f ca="1"/>
        <v/>
      </c>
      <c r="F849" t="str">
        <f ca="1"/>
        <v/>
      </c>
      <c r="G849" t="str">
        <f ca="1"/>
        <v/>
      </c>
      <c r="H849" s="17" t="str">
        <f ca="1"/>
        <v/>
      </c>
    </row>
    <row r="850" spans="2:8" x14ac:dyDescent="0.35">
      <c r="B850" t="str">
        <f ca="1"/>
        <v/>
      </c>
      <c r="C850" t="str">
        <f ca="1"/>
        <v/>
      </c>
      <c r="D850" t="str">
        <f ca="1"/>
        <v/>
      </c>
      <c r="E850" t="str">
        <f ca="1"/>
        <v/>
      </c>
      <c r="F850" t="str">
        <f ca="1"/>
        <v/>
      </c>
      <c r="G850" t="str">
        <f ca="1"/>
        <v/>
      </c>
      <c r="H850" s="17" t="str">
        <f ca="1"/>
        <v/>
      </c>
    </row>
    <row r="851" spans="2:8" x14ac:dyDescent="0.35">
      <c r="B851" t="str">
        <f ca="1"/>
        <v/>
      </c>
      <c r="C851" t="str">
        <f ca="1"/>
        <v/>
      </c>
      <c r="D851" t="str">
        <f ca="1"/>
        <v/>
      </c>
      <c r="E851" t="str">
        <f ca="1"/>
        <v/>
      </c>
      <c r="F851" t="str">
        <f ca="1"/>
        <v/>
      </c>
      <c r="G851" t="str">
        <f ca="1"/>
        <v/>
      </c>
      <c r="H851" s="17" t="str">
        <f ca="1"/>
        <v/>
      </c>
    </row>
    <row r="852" spans="2:8" x14ac:dyDescent="0.35">
      <c r="B852" t="str">
        <f ca="1"/>
        <v/>
      </c>
      <c r="C852" t="str">
        <f ca="1"/>
        <v/>
      </c>
      <c r="D852" t="str">
        <f ca="1"/>
        <v/>
      </c>
      <c r="E852" t="str">
        <f ca="1"/>
        <v/>
      </c>
      <c r="F852" t="str">
        <f ca="1"/>
        <v/>
      </c>
      <c r="G852" t="str">
        <f ca="1"/>
        <v/>
      </c>
      <c r="H852" s="17" t="str">
        <f ca="1"/>
        <v/>
      </c>
    </row>
    <row r="853" spans="2:8" x14ac:dyDescent="0.35">
      <c r="B853" t="str">
        <f ca="1"/>
        <v/>
      </c>
      <c r="C853" t="str">
        <f ca="1"/>
        <v/>
      </c>
      <c r="D853" t="str">
        <f ca="1"/>
        <v/>
      </c>
      <c r="E853" t="str">
        <f ca="1"/>
        <v/>
      </c>
      <c r="F853" t="str">
        <f ca="1"/>
        <v/>
      </c>
      <c r="G853" t="str">
        <f ca="1"/>
        <v/>
      </c>
      <c r="H853" s="17" t="str">
        <f ca="1"/>
        <v/>
      </c>
    </row>
    <row r="854" spans="2:8" x14ac:dyDescent="0.35">
      <c r="B854" t="str">
        <f ca="1"/>
        <v/>
      </c>
      <c r="C854" t="str">
        <f ca="1"/>
        <v/>
      </c>
      <c r="D854" t="str">
        <f ca="1"/>
        <v/>
      </c>
      <c r="E854" t="str">
        <f ca="1"/>
        <v/>
      </c>
      <c r="F854" t="str">
        <f ca="1"/>
        <v/>
      </c>
      <c r="G854" t="str">
        <f ca="1"/>
        <v/>
      </c>
      <c r="H854" s="17" t="str">
        <f ca="1"/>
        <v/>
      </c>
    </row>
    <row r="855" spans="2:8" x14ac:dyDescent="0.35">
      <c r="B855" t="str">
        <f ca="1"/>
        <v/>
      </c>
      <c r="C855" t="str">
        <f ca="1"/>
        <v/>
      </c>
      <c r="D855" t="str">
        <f ca="1"/>
        <v/>
      </c>
      <c r="E855" t="str">
        <f ca="1"/>
        <v/>
      </c>
      <c r="F855" t="str">
        <f ca="1"/>
        <v/>
      </c>
      <c r="G855" t="str">
        <f ca="1"/>
        <v/>
      </c>
      <c r="H855" s="17" t="str">
        <f ca="1"/>
        <v/>
      </c>
    </row>
    <row r="856" spans="2:8" x14ac:dyDescent="0.35">
      <c r="B856" t="str">
        <f ca="1"/>
        <v/>
      </c>
      <c r="C856" t="str">
        <f ca="1"/>
        <v/>
      </c>
      <c r="D856" t="str">
        <f ca="1"/>
        <v/>
      </c>
      <c r="E856" t="str">
        <f ca="1"/>
        <v/>
      </c>
      <c r="F856" t="str">
        <f ca="1"/>
        <v/>
      </c>
      <c r="G856" t="str">
        <f ca="1"/>
        <v/>
      </c>
      <c r="H856" s="17" t="str">
        <f ca="1"/>
        <v/>
      </c>
    </row>
    <row r="857" spans="2:8" x14ac:dyDescent="0.35">
      <c r="B857" t="str">
        <f ca="1"/>
        <v/>
      </c>
      <c r="C857" t="str">
        <f ca="1"/>
        <v/>
      </c>
      <c r="D857" t="str">
        <f ca="1"/>
        <v/>
      </c>
      <c r="E857" t="str">
        <f ca="1"/>
        <v/>
      </c>
      <c r="F857" t="str">
        <f ca="1"/>
        <v/>
      </c>
      <c r="G857" t="str">
        <f ca="1"/>
        <v/>
      </c>
      <c r="H857" s="17" t="str">
        <f ca="1"/>
        <v/>
      </c>
    </row>
    <row r="858" spans="2:8" x14ac:dyDescent="0.35">
      <c r="B858" t="str">
        <f ca="1"/>
        <v/>
      </c>
      <c r="C858" t="str">
        <f ca="1"/>
        <v/>
      </c>
      <c r="D858" t="str">
        <f ca="1"/>
        <v/>
      </c>
      <c r="E858" t="str">
        <f ca="1"/>
        <v/>
      </c>
      <c r="F858" t="str">
        <f ca="1"/>
        <v/>
      </c>
      <c r="G858" t="str">
        <f ca="1"/>
        <v/>
      </c>
      <c r="H858" s="17" t="str">
        <f ca="1"/>
        <v/>
      </c>
    </row>
    <row r="859" spans="2:8" x14ac:dyDescent="0.35">
      <c r="B859" t="str">
        <f ca="1"/>
        <v/>
      </c>
      <c r="C859" t="str">
        <f ca="1"/>
        <v/>
      </c>
      <c r="D859" t="str">
        <f ca="1"/>
        <v/>
      </c>
      <c r="E859" t="str">
        <f ca="1"/>
        <v/>
      </c>
      <c r="F859" t="str">
        <f ca="1"/>
        <v/>
      </c>
      <c r="G859" t="str">
        <f ca="1"/>
        <v/>
      </c>
      <c r="H859" s="17" t="str">
        <f ca="1"/>
        <v/>
      </c>
    </row>
    <row r="860" spans="2:8" x14ac:dyDescent="0.35">
      <c r="B860" t="str">
        <f ca="1"/>
        <v/>
      </c>
      <c r="C860" t="str">
        <f ca="1"/>
        <v/>
      </c>
      <c r="D860" t="str">
        <f ca="1"/>
        <v/>
      </c>
      <c r="E860" t="str">
        <f ca="1"/>
        <v/>
      </c>
      <c r="F860" t="str">
        <f ca="1"/>
        <v/>
      </c>
      <c r="G860" t="str">
        <f ca="1"/>
        <v/>
      </c>
      <c r="H860" s="17" t="str">
        <f ca="1"/>
        <v/>
      </c>
    </row>
    <row r="861" spans="2:8" x14ac:dyDescent="0.35">
      <c r="B861" t="str">
        <f ca="1"/>
        <v/>
      </c>
      <c r="C861" t="str">
        <f ca="1"/>
        <v/>
      </c>
      <c r="D861" t="str">
        <f ca="1"/>
        <v/>
      </c>
      <c r="E861" t="str">
        <f ca="1"/>
        <v/>
      </c>
      <c r="F861" t="str">
        <f ca="1"/>
        <v/>
      </c>
      <c r="G861" t="str">
        <f ca="1"/>
        <v/>
      </c>
      <c r="H861" s="17" t="str">
        <f ca="1"/>
        <v/>
      </c>
    </row>
    <row r="862" spans="2:8" x14ac:dyDescent="0.35">
      <c r="B862" t="str">
        <f ca="1"/>
        <v/>
      </c>
      <c r="C862" t="str">
        <f ca="1"/>
        <v/>
      </c>
      <c r="D862" t="str">
        <f ca="1"/>
        <v/>
      </c>
      <c r="E862" t="str">
        <f ca="1"/>
        <v/>
      </c>
      <c r="F862" t="str">
        <f ca="1"/>
        <v/>
      </c>
      <c r="G862" t="str">
        <f ca="1"/>
        <v/>
      </c>
      <c r="H862" s="17" t="str">
        <f ca="1"/>
        <v/>
      </c>
    </row>
    <row r="863" spans="2:8" x14ac:dyDescent="0.35">
      <c r="B863" t="str">
        <f ca="1"/>
        <v/>
      </c>
      <c r="C863" t="str">
        <f ca="1"/>
        <v/>
      </c>
      <c r="D863" t="str">
        <f ca="1"/>
        <v/>
      </c>
      <c r="E863" t="str">
        <f ca="1"/>
        <v/>
      </c>
      <c r="F863" t="str">
        <f ca="1"/>
        <v/>
      </c>
      <c r="G863" t="str">
        <f ca="1"/>
        <v/>
      </c>
      <c r="H863" s="17" t="str">
        <f ca="1"/>
        <v/>
      </c>
    </row>
    <row r="864" spans="2:8" x14ac:dyDescent="0.35">
      <c r="B864" t="str">
        <f ca="1"/>
        <v/>
      </c>
      <c r="C864" t="str">
        <f ca="1"/>
        <v/>
      </c>
      <c r="D864" t="str">
        <f ca="1"/>
        <v/>
      </c>
      <c r="E864" t="str">
        <f ca="1"/>
        <v/>
      </c>
      <c r="F864" t="str">
        <f ca="1"/>
        <v/>
      </c>
      <c r="G864" t="str">
        <f ca="1"/>
        <v/>
      </c>
      <c r="H864" s="17" t="str">
        <f ca="1"/>
        <v/>
      </c>
    </row>
    <row r="865" spans="2:8" x14ac:dyDescent="0.35">
      <c r="B865" t="str">
        <f ca="1"/>
        <v/>
      </c>
      <c r="C865" t="str">
        <f ca="1"/>
        <v/>
      </c>
      <c r="D865" t="str">
        <f ca="1"/>
        <v/>
      </c>
      <c r="E865" t="str">
        <f ca="1"/>
        <v/>
      </c>
      <c r="F865" t="str">
        <f ca="1"/>
        <v/>
      </c>
      <c r="G865" t="str">
        <f ca="1"/>
        <v/>
      </c>
      <c r="H865" s="17" t="str">
        <f ca="1"/>
        <v/>
      </c>
    </row>
    <row r="866" spans="2:8" x14ac:dyDescent="0.35">
      <c r="B866" t="str">
        <f ca="1"/>
        <v/>
      </c>
      <c r="C866" t="str">
        <f ca="1"/>
        <v/>
      </c>
      <c r="D866" t="str">
        <f ca="1"/>
        <v/>
      </c>
      <c r="E866" t="str">
        <f ca="1"/>
        <v/>
      </c>
      <c r="F866" t="str">
        <f ca="1"/>
        <v/>
      </c>
      <c r="G866" t="str">
        <f ca="1"/>
        <v/>
      </c>
      <c r="H866" s="17" t="str">
        <f ca="1"/>
        <v/>
      </c>
    </row>
    <row r="867" spans="2:8" x14ac:dyDescent="0.35">
      <c r="B867" t="str">
        <f ca="1"/>
        <v/>
      </c>
      <c r="C867" t="str">
        <f ca="1"/>
        <v/>
      </c>
      <c r="D867" t="str">
        <f ca="1"/>
        <v/>
      </c>
      <c r="E867" t="str">
        <f ca="1"/>
        <v/>
      </c>
      <c r="F867" t="str">
        <f ca="1"/>
        <v/>
      </c>
      <c r="G867" t="str">
        <f ca="1"/>
        <v/>
      </c>
      <c r="H867" s="17" t="str">
        <f ca="1"/>
        <v/>
      </c>
    </row>
    <row r="868" spans="2:8" x14ac:dyDescent="0.35">
      <c r="B868" t="str">
        <f ca="1"/>
        <v/>
      </c>
      <c r="C868" t="str">
        <f ca="1"/>
        <v/>
      </c>
      <c r="D868" t="str">
        <f ca="1"/>
        <v/>
      </c>
      <c r="E868" t="str">
        <f ca="1"/>
        <v/>
      </c>
      <c r="F868" t="str">
        <f ca="1"/>
        <v/>
      </c>
      <c r="G868" t="str">
        <f ca="1"/>
        <v/>
      </c>
      <c r="H868" s="17" t="str">
        <f ca="1"/>
        <v/>
      </c>
    </row>
    <row r="869" spans="2:8" x14ac:dyDescent="0.35">
      <c r="B869" t="str">
        <f ca="1"/>
        <v/>
      </c>
      <c r="C869" t="str">
        <f ca="1"/>
        <v/>
      </c>
      <c r="D869" t="str">
        <f ca="1"/>
        <v/>
      </c>
      <c r="E869" t="str">
        <f ca="1"/>
        <v/>
      </c>
      <c r="F869" t="str">
        <f ca="1"/>
        <v/>
      </c>
      <c r="G869" t="str">
        <f ca="1"/>
        <v/>
      </c>
      <c r="H869" s="17" t="str">
        <f ca="1"/>
        <v/>
      </c>
    </row>
    <row r="870" spans="2:8" x14ac:dyDescent="0.35">
      <c r="B870" t="str">
        <f ca="1"/>
        <v/>
      </c>
      <c r="C870" t="str">
        <f ca="1"/>
        <v/>
      </c>
      <c r="D870" t="str">
        <f ca="1"/>
        <v/>
      </c>
      <c r="E870" t="str">
        <f ca="1"/>
        <v/>
      </c>
      <c r="F870" t="str">
        <f ca="1"/>
        <v/>
      </c>
      <c r="G870" t="str">
        <f ca="1"/>
        <v/>
      </c>
      <c r="H870" s="17" t="str">
        <f ca="1"/>
        <v/>
      </c>
    </row>
    <row r="871" spans="2:8" x14ac:dyDescent="0.35">
      <c r="B871" t="str">
        <f ca="1"/>
        <v/>
      </c>
      <c r="C871" t="str">
        <f ca="1"/>
        <v/>
      </c>
      <c r="D871" t="str">
        <f ca="1"/>
        <v/>
      </c>
      <c r="E871" t="str">
        <f ca="1"/>
        <v/>
      </c>
      <c r="F871" t="str">
        <f ca="1"/>
        <v/>
      </c>
      <c r="G871" t="str">
        <f ca="1"/>
        <v/>
      </c>
      <c r="H871" s="17" t="str">
        <f ca="1"/>
        <v/>
      </c>
    </row>
    <row r="872" spans="2:8" x14ac:dyDescent="0.35">
      <c r="B872" t="str">
        <f ca="1"/>
        <v/>
      </c>
      <c r="C872" t="str">
        <f ca="1"/>
        <v/>
      </c>
      <c r="D872" t="str">
        <f ca="1"/>
        <v/>
      </c>
      <c r="E872" t="str">
        <f ca="1"/>
        <v/>
      </c>
      <c r="F872" t="str">
        <f ca="1"/>
        <v/>
      </c>
      <c r="G872" t="str">
        <f ca="1"/>
        <v/>
      </c>
      <c r="H872" s="17" t="str">
        <f ca="1"/>
        <v/>
      </c>
    </row>
    <row r="873" spans="2:8" x14ac:dyDescent="0.35">
      <c r="B873" t="str">
        <f ca="1"/>
        <v/>
      </c>
      <c r="C873" t="str">
        <f ca="1"/>
        <v/>
      </c>
      <c r="D873" t="str">
        <f ca="1"/>
        <v/>
      </c>
      <c r="E873" t="str">
        <f ca="1"/>
        <v/>
      </c>
      <c r="F873" t="str">
        <f ca="1"/>
        <v/>
      </c>
      <c r="G873" t="str">
        <f ca="1"/>
        <v/>
      </c>
      <c r="H873" s="17" t="str">
        <f ca="1"/>
        <v/>
      </c>
    </row>
    <row r="874" spans="2:8" x14ac:dyDescent="0.35">
      <c r="B874" t="str">
        <f ca="1"/>
        <v/>
      </c>
      <c r="C874" t="str">
        <f ca="1"/>
        <v/>
      </c>
      <c r="D874" t="str">
        <f ca="1"/>
        <v/>
      </c>
      <c r="E874" t="str">
        <f ca="1"/>
        <v/>
      </c>
      <c r="F874" t="str">
        <f ca="1"/>
        <v/>
      </c>
      <c r="G874" t="str">
        <f ca="1"/>
        <v/>
      </c>
      <c r="H874" s="17" t="str">
        <f ca="1"/>
        <v/>
      </c>
    </row>
    <row r="875" spans="2:8" x14ac:dyDescent="0.35">
      <c r="B875" t="str">
        <f ca="1"/>
        <v/>
      </c>
      <c r="C875" t="str">
        <f ca="1"/>
        <v/>
      </c>
      <c r="D875" t="str">
        <f ca="1"/>
        <v/>
      </c>
      <c r="E875" t="str">
        <f ca="1"/>
        <v/>
      </c>
      <c r="F875" t="str">
        <f ca="1"/>
        <v/>
      </c>
      <c r="G875" t="str">
        <f ca="1"/>
        <v/>
      </c>
      <c r="H875" s="17" t="str">
        <f ca="1"/>
        <v/>
      </c>
    </row>
    <row r="876" spans="2:8" x14ac:dyDescent="0.35">
      <c r="B876" t="str">
        <f ca="1"/>
        <v/>
      </c>
      <c r="C876" t="str">
        <f ca="1"/>
        <v/>
      </c>
      <c r="D876" t="str">
        <f ca="1"/>
        <v/>
      </c>
      <c r="E876" t="str">
        <f ca="1"/>
        <v/>
      </c>
      <c r="F876" t="str">
        <f ca="1"/>
        <v/>
      </c>
      <c r="G876" t="str">
        <f ca="1"/>
        <v/>
      </c>
      <c r="H876" s="17" t="str">
        <f ca="1"/>
        <v/>
      </c>
    </row>
    <row r="877" spans="2:8" x14ac:dyDescent="0.35">
      <c r="B877" t="str">
        <f ca="1"/>
        <v/>
      </c>
      <c r="C877" t="str">
        <f ca="1"/>
        <v/>
      </c>
      <c r="D877" t="str">
        <f ca="1"/>
        <v/>
      </c>
      <c r="E877" t="str">
        <f ca="1"/>
        <v/>
      </c>
      <c r="F877" t="str">
        <f ca="1"/>
        <v/>
      </c>
      <c r="G877" t="str">
        <f ca="1"/>
        <v/>
      </c>
      <c r="H877" s="17" t="str">
        <f ca="1"/>
        <v/>
      </c>
    </row>
    <row r="878" spans="2:8" x14ac:dyDescent="0.35">
      <c r="B878" t="str">
        <f ca="1"/>
        <v/>
      </c>
      <c r="C878" t="str">
        <f ca="1"/>
        <v/>
      </c>
      <c r="D878" t="str">
        <f ca="1"/>
        <v/>
      </c>
      <c r="E878" t="str">
        <f ca="1"/>
        <v/>
      </c>
      <c r="F878" t="str">
        <f ca="1"/>
        <v/>
      </c>
      <c r="G878" t="str">
        <f ca="1"/>
        <v/>
      </c>
      <c r="H878" s="17" t="str">
        <f ca="1"/>
        <v/>
      </c>
    </row>
    <row r="879" spans="2:8" x14ac:dyDescent="0.35">
      <c r="B879" t="str">
        <f ca="1"/>
        <v/>
      </c>
      <c r="C879" t="str">
        <f ca="1"/>
        <v/>
      </c>
      <c r="D879" t="str">
        <f ca="1"/>
        <v/>
      </c>
      <c r="E879" t="str">
        <f ca="1"/>
        <v/>
      </c>
      <c r="F879" t="str">
        <f ca="1"/>
        <v/>
      </c>
      <c r="G879" t="str">
        <f ca="1"/>
        <v/>
      </c>
      <c r="H879" s="17" t="str">
        <f ca="1"/>
        <v/>
      </c>
    </row>
    <row r="880" spans="2:8" x14ac:dyDescent="0.35">
      <c r="B880" t="str">
        <f ca="1"/>
        <v/>
      </c>
      <c r="C880" t="str">
        <f ca="1"/>
        <v/>
      </c>
      <c r="D880" t="str">
        <f ca="1"/>
        <v/>
      </c>
      <c r="E880" t="str">
        <f ca="1"/>
        <v/>
      </c>
      <c r="F880" t="str">
        <f ca="1"/>
        <v/>
      </c>
      <c r="G880" t="str">
        <f ca="1"/>
        <v/>
      </c>
      <c r="H880" s="17" t="str">
        <f ca="1"/>
        <v/>
      </c>
    </row>
    <row r="881" spans="2:8" x14ac:dyDescent="0.35">
      <c r="B881" t="str">
        <f ca="1"/>
        <v/>
      </c>
      <c r="C881" t="str">
        <f ca="1"/>
        <v/>
      </c>
      <c r="D881" t="str">
        <f ca="1"/>
        <v/>
      </c>
      <c r="E881" t="str">
        <f ca="1"/>
        <v/>
      </c>
      <c r="F881" t="str">
        <f ca="1"/>
        <v/>
      </c>
      <c r="G881" t="str">
        <f ca="1"/>
        <v/>
      </c>
      <c r="H881" s="17" t="str">
        <f ca="1"/>
        <v/>
      </c>
    </row>
    <row r="882" spans="2:8" x14ac:dyDescent="0.35">
      <c r="B882" t="str">
        <f ca="1"/>
        <v/>
      </c>
      <c r="C882" t="str">
        <f ca="1"/>
        <v/>
      </c>
      <c r="D882" t="str">
        <f ca="1"/>
        <v/>
      </c>
      <c r="E882" t="str">
        <f ca="1"/>
        <v/>
      </c>
      <c r="F882" t="str">
        <f ca="1"/>
        <v/>
      </c>
      <c r="G882" t="str">
        <f ca="1"/>
        <v/>
      </c>
      <c r="H882" s="17" t="str">
        <f ca="1"/>
        <v/>
      </c>
    </row>
    <row r="883" spans="2:8" x14ac:dyDescent="0.35">
      <c r="B883" t="str">
        <f ca="1"/>
        <v/>
      </c>
      <c r="C883" t="str">
        <f ca="1"/>
        <v/>
      </c>
      <c r="D883" t="str">
        <f ca="1"/>
        <v/>
      </c>
      <c r="E883" t="str">
        <f ca="1"/>
        <v/>
      </c>
      <c r="F883" t="str">
        <f ca="1"/>
        <v/>
      </c>
      <c r="G883" t="str">
        <f ca="1"/>
        <v/>
      </c>
      <c r="H883" s="17" t="str">
        <f ca="1"/>
        <v/>
      </c>
    </row>
    <row r="884" spans="2:8" x14ac:dyDescent="0.35">
      <c r="B884" t="str">
        <f ca="1"/>
        <v/>
      </c>
      <c r="C884" t="str">
        <f ca="1"/>
        <v/>
      </c>
      <c r="D884" t="str">
        <f ca="1"/>
        <v/>
      </c>
      <c r="E884" t="str">
        <f ca="1"/>
        <v/>
      </c>
      <c r="F884" t="str">
        <f ca="1"/>
        <v/>
      </c>
      <c r="G884" t="str">
        <f ca="1"/>
        <v/>
      </c>
      <c r="H884" s="17" t="str">
        <f ca="1"/>
        <v/>
      </c>
    </row>
    <row r="885" spans="2:8" x14ac:dyDescent="0.35">
      <c r="B885" t="str">
        <f ca="1"/>
        <v/>
      </c>
      <c r="C885" t="str">
        <f ca="1"/>
        <v/>
      </c>
      <c r="D885" t="str">
        <f ca="1"/>
        <v/>
      </c>
      <c r="E885" t="str">
        <f ca="1"/>
        <v/>
      </c>
      <c r="F885" t="str">
        <f ca="1"/>
        <v/>
      </c>
      <c r="G885" t="str">
        <f ca="1"/>
        <v/>
      </c>
      <c r="H885" s="17" t="str">
        <f ca="1"/>
        <v/>
      </c>
    </row>
    <row r="886" spans="2:8" x14ac:dyDescent="0.35">
      <c r="B886" t="str">
        <f ca="1"/>
        <v/>
      </c>
      <c r="C886" t="str">
        <f ca="1"/>
        <v/>
      </c>
      <c r="D886" t="str">
        <f ca="1"/>
        <v/>
      </c>
      <c r="E886" t="str">
        <f ca="1"/>
        <v/>
      </c>
      <c r="F886" t="str">
        <f ca="1"/>
        <v/>
      </c>
      <c r="G886" t="str">
        <f ca="1"/>
        <v/>
      </c>
      <c r="H886" s="17" t="str">
        <f ca="1"/>
        <v/>
      </c>
    </row>
    <row r="887" spans="2:8" x14ac:dyDescent="0.35">
      <c r="B887" t="str">
        <f ca="1"/>
        <v/>
      </c>
      <c r="C887" t="str">
        <f ca="1"/>
        <v/>
      </c>
      <c r="D887" t="str">
        <f ca="1"/>
        <v/>
      </c>
      <c r="E887" t="str">
        <f ca="1"/>
        <v/>
      </c>
      <c r="F887" t="str">
        <f ca="1"/>
        <v/>
      </c>
      <c r="G887" t="str">
        <f ca="1"/>
        <v/>
      </c>
      <c r="H887" s="17" t="str">
        <f ca="1"/>
        <v/>
      </c>
    </row>
    <row r="888" spans="2:8" x14ac:dyDescent="0.35">
      <c r="B888" t="str">
        <f ca="1"/>
        <v/>
      </c>
      <c r="C888" t="str">
        <f ca="1"/>
        <v/>
      </c>
      <c r="D888" t="str">
        <f ca="1"/>
        <v/>
      </c>
      <c r="E888" t="str">
        <f ca="1"/>
        <v/>
      </c>
      <c r="F888" t="str">
        <f ca="1"/>
        <v/>
      </c>
      <c r="G888" t="str">
        <f ca="1"/>
        <v/>
      </c>
      <c r="H888" s="17" t="str">
        <f ca="1"/>
        <v/>
      </c>
    </row>
    <row r="889" spans="2:8" x14ac:dyDescent="0.35">
      <c r="B889" t="str">
        <f ca="1"/>
        <v/>
      </c>
      <c r="C889" t="str">
        <f ca="1"/>
        <v/>
      </c>
      <c r="D889" t="str">
        <f ca="1"/>
        <v/>
      </c>
      <c r="E889" t="str">
        <f ca="1"/>
        <v/>
      </c>
      <c r="F889" t="str">
        <f ca="1"/>
        <v/>
      </c>
      <c r="G889" t="str">
        <f ca="1"/>
        <v/>
      </c>
      <c r="H889" s="17" t="str">
        <f ca="1"/>
        <v/>
      </c>
    </row>
    <row r="890" spans="2:8" x14ac:dyDescent="0.35">
      <c r="B890" t="str">
        <f ca="1"/>
        <v/>
      </c>
      <c r="C890" t="str">
        <f ca="1"/>
        <v/>
      </c>
      <c r="D890" t="str">
        <f ca="1"/>
        <v/>
      </c>
      <c r="E890" t="str">
        <f ca="1"/>
        <v/>
      </c>
      <c r="F890" t="str">
        <f ca="1"/>
        <v/>
      </c>
      <c r="G890" t="str">
        <f ca="1"/>
        <v/>
      </c>
      <c r="H890" s="17" t="str">
        <f ca="1"/>
        <v/>
      </c>
    </row>
    <row r="891" spans="2:8" x14ac:dyDescent="0.35">
      <c r="B891" t="str">
        <f ca="1"/>
        <v/>
      </c>
      <c r="C891" t="str">
        <f ca="1"/>
        <v/>
      </c>
      <c r="D891" t="str">
        <f ca="1"/>
        <v/>
      </c>
      <c r="E891" t="str">
        <f ca="1"/>
        <v/>
      </c>
      <c r="F891" t="str">
        <f ca="1"/>
        <v/>
      </c>
      <c r="G891" t="str">
        <f ca="1"/>
        <v/>
      </c>
      <c r="H891" s="17" t="str">
        <f ca="1"/>
        <v/>
      </c>
    </row>
    <row r="892" spans="2:8" x14ac:dyDescent="0.35">
      <c r="B892" t="str">
        <f ca="1"/>
        <v/>
      </c>
      <c r="C892" t="str">
        <f ca="1"/>
        <v/>
      </c>
      <c r="D892" t="str">
        <f ca="1"/>
        <v/>
      </c>
      <c r="E892" t="str">
        <f ca="1"/>
        <v/>
      </c>
      <c r="F892" t="str">
        <f ca="1"/>
        <v/>
      </c>
      <c r="G892" t="str">
        <f ca="1"/>
        <v/>
      </c>
      <c r="H892" s="17" t="str">
        <f ca="1"/>
        <v/>
      </c>
    </row>
    <row r="893" spans="2:8" x14ac:dyDescent="0.35">
      <c r="B893" t="str">
        <f ca="1"/>
        <v/>
      </c>
      <c r="C893" t="str">
        <f ca="1"/>
        <v/>
      </c>
      <c r="D893" t="str">
        <f ca="1"/>
        <v/>
      </c>
      <c r="E893" t="str">
        <f ca="1"/>
        <v/>
      </c>
      <c r="F893" t="str">
        <f ca="1"/>
        <v/>
      </c>
      <c r="G893" t="str">
        <f ca="1"/>
        <v/>
      </c>
      <c r="H893" s="17" t="str">
        <f ca="1"/>
        <v/>
      </c>
    </row>
    <row r="894" spans="2:8" x14ac:dyDescent="0.35">
      <c r="B894" t="str">
        <f ca="1"/>
        <v/>
      </c>
      <c r="C894" t="str">
        <f ca="1"/>
        <v/>
      </c>
      <c r="D894" t="str">
        <f ca="1"/>
        <v/>
      </c>
      <c r="E894" t="str">
        <f ca="1"/>
        <v/>
      </c>
      <c r="F894" t="str">
        <f ca="1"/>
        <v/>
      </c>
      <c r="G894" t="str">
        <f ca="1"/>
        <v/>
      </c>
      <c r="H894" s="17" t="str">
        <f ca="1"/>
        <v/>
      </c>
    </row>
    <row r="895" spans="2:8" x14ac:dyDescent="0.35">
      <c r="B895" t="str">
        <f ca="1"/>
        <v/>
      </c>
      <c r="C895" t="str">
        <f ca="1"/>
        <v/>
      </c>
      <c r="D895" t="str">
        <f ca="1"/>
        <v/>
      </c>
      <c r="E895" t="str">
        <f ca="1"/>
        <v/>
      </c>
      <c r="F895" t="str">
        <f ca="1"/>
        <v/>
      </c>
      <c r="G895" t="str">
        <f ca="1"/>
        <v/>
      </c>
      <c r="H895" s="17" t="str">
        <f ca="1"/>
        <v/>
      </c>
    </row>
    <row r="896" spans="2:8" x14ac:dyDescent="0.35">
      <c r="B896" t="str">
        <f ca="1"/>
        <v/>
      </c>
      <c r="C896" t="str">
        <f ca="1"/>
        <v/>
      </c>
      <c r="D896" t="str">
        <f ca="1"/>
        <v/>
      </c>
      <c r="E896" t="str">
        <f ca="1"/>
        <v/>
      </c>
      <c r="F896" t="str">
        <f ca="1"/>
        <v/>
      </c>
      <c r="G896" t="str">
        <f ca="1"/>
        <v/>
      </c>
      <c r="H896" s="17" t="str">
        <f ca="1"/>
        <v/>
      </c>
    </row>
    <row r="897" spans="2:8" x14ac:dyDescent="0.35">
      <c r="B897" t="str">
        <f ca="1"/>
        <v/>
      </c>
      <c r="C897" t="str">
        <f ca="1"/>
        <v/>
      </c>
      <c r="D897" t="str">
        <f ca="1"/>
        <v/>
      </c>
      <c r="E897" t="str">
        <f ca="1"/>
        <v/>
      </c>
      <c r="F897" t="str">
        <f ca="1"/>
        <v/>
      </c>
      <c r="G897" t="str">
        <f ca="1"/>
        <v/>
      </c>
      <c r="H897" s="17" t="str">
        <f ca="1"/>
        <v/>
      </c>
    </row>
    <row r="898" spans="2:8" x14ac:dyDescent="0.35">
      <c r="B898" t="str">
        <f ca="1"/>
        <v/>
      </c>
      <c r="C898" t="str">
        <f ca="1"/>
        <v/>
      </c>
      <c r="D898" t="str">
        <f ca="1"/>
        <v/>
      </c>
      <c r="E898" t="str">
        <f ca="1"/>
        <v/>
      </c>
      <c r="F898" t="str">
        <f ca="1"/>
        <v/>
      </c>
      <c r="G898" t="str">
        <f ca="1"/>
        <v/>
      </c>
      <c r="H898" s="17" t="str">
        <f ca="1"/>
        <v/>
      </c>
    </row>
    <row r="899" spans="2:8" x14ac:dyDescent="0.35">
      <c r="B899" t="str">
        <f ca="1"/>
        <v/>
      </c>
      <c r="C899" t="str">
        <f ca="1"/>
        <v/>
      </c>
      <c r="D899" t="str">
        <f ca="1"/>
        <v/>
      </c>
      <c r="E899" t="str">
        <f ca="1"/>
        <v/>
      </c>
      <c r="F899" t="str">
        <f ca="1"/>
        <v/>
      </c>
      <c r="G899" t="str">
        <f ca="1"/>
        <v/>
      </c>
      <c r="H899" s="17" t="str">
        <f ca="1"/>
        <v/>
      </c>
    </row>
    <row r="900" spans="2:8" x14ac:dyDescent="0.35">
      <c r="B900" t="str">
        <f ca="1"/>
        <v/>
      </c>
      <c r="C900" t="str">
        <f ca="1"/>
        <v/>
      </c>
      <c r="D900" t="str">
        <f ca="1"/>
        <v/>
      </c>
      <c r="E900" t="str">
        <f ca="1"/>
        <v/>
      </c>
      <c r="F900" t="str">
        <f ca="1"/>
        <v/>
      </c>
      <c r="G900" t="str">
        <f ca="1"/>
        <v/>
      </c>
      <c r="H900" s="17" t="str">
        <f ca="1"/>
        <v/>
      </c>
    </row>
    <row r="901" spans="2:8" x14ac:dyDescent="0.35">
      <c r="B901" t="str">
        <f ca="1"/>
        <v/>
      </c>
      <c r="C901" t="str">
        <f ca="1"/>
        <v/>
      </c>
      <c r="D901" t="str">
        <f ca="1"/>
        <v/>
      </c>
      <c r="E901" t="str">
        <f ca="1"/>
        <v/>
      </c>
      <c r="F901" t="str">
        <f ca="1"/>
        <v/>
      </c>
      <c r="G901" t="str">
        <f ca="1"/>
        <v/>
      </c>
      <c r="H901" s="17" t="str">
        <f ca="1"/>
        <v/>
      </c>
    </row>
    <row r="902" spans="2:8" x14ac:dyDescent="0.35">
      <c r="B902" t="str">
        <f ca="1"/>
        <v/>
      </c>
      <c r="C902" t="str">
        <f ca="1"/>
        <v/>
      </c>
      <c r="D902" t="str">
        <f ca="1"/>
        <v/>
      </c>
      <c r="E902" t="str">
        <f ca="1"/>
        <v/>
      </c>
      <c r="F902" t="str">
        <f ca="1"/>
        <v/>
      </c>
      <c r="G902" t="str">
        <f ca="1"/>
        <v/>
      </c>
      <c r="H902" s="17" t="str">
        <f ca="1"/>
        <v/>
      </c>
    </row>
    <row r="903" spans="2:8" x14ac:dyDescent="0.35">
      <c r="B903" t="str">
        <f ca="1"/>
        <v/>
      </c>
      <c r="C903" t="str">
        <f ca="1"/>
        <v/>
      </c>
      <c r="D903" t="str">
        <f ca="1"/>
        <v/>
      </c>
      <c r="E903" t="str">
        <f ca="1"/>
        <v/>
      </c>
      <c r="F903" t="str">
        <f ca="1"/>
        <v/>
      </c>
      <c r="G903" t="str">
        <f ca="1"/>
        <v/>
      </c>
      <c r="H903" s="17" t="str">
        <f ca="1"/>
        <v/>
      </c>
    </row>
    <row r="904" spans="2:8" x14ac:dyDescent="0.35">
      <c r="B904" t="str">
        <f ca="1"/>
        <v/>
      </c>
      <c r="C904" t="str">
        <f ca="1"/>
        <v/>
      </c>
      <c r="D904" t="str">
        <f ca="1"/>
        <v/>
      </c>
      <c r="E904" t="str">
        <f ca="1"/>
        <v/>
      </c>
      <c r="F904" t="str">
        <f ca="1"/>
        <v/>
      </c>
      <c r="G904" t="str">
        <f ca="1"/>
        <v/>
      </c>
      <c r="H904" s="17" t="str">
        <f ca="1"/>
        <v/>
      </c>
    </row>
    <row r="905" spans="2:8" x14ac:dyDescent="0.35">
      <c r="B905" t="str">
        <f ca="1"/>
        <v/>
      </c>
      <c r="C905" t="str">
        <f ca="1"/>
        <v/>
      </c>
      <c r="D905" t="str">
        <f ca="1"/>
        <v/>
      </c>
      <c r="E905" t="str">
        <f ca="1"/>
        <v/>
      </c>
      <c r="F905" t="str">
        <f ca="1"/>
        <v/>
      </c>
      <c r="G905" t="str">
        <f ca="1"/>
        <v/>
      </c>
      <c r="H905" s="17" t="str">
        <f ca="1"/>
        <v/>
      </c>
    </row>
    <row r="906" spans="2:8" x14ac:dyDescent="0.35">
      <c r="B906" t="str">
        <f ca="1"/>
        <v/>
      </c>
      <c r="C906" t="str">
        <f ca="1"/>
        <v/>
      </c>
      <c r="D906" t="str">
        <f ca="1"/>
        <v/>
      </c>
      <c r="E906" t="str">
        <f ca="1"/>
        <v/>
      </c>
      <c r="F906" t="str">
        <f ca="1"/>
        <v/>
      </c>
      <c r="G906" t="str">
        <f ca="1"/>
        <v/>
      </c>
      <c r="H906" s="17" t="str">
        <f ca="1"/>
        <v/>
      </c>
    </row>
    <row r="907" spans="2:8" x14ac:dyDescent="0.35">
      <c r="B907" t="str">
        <f ca="1"/>
        <v/>
      </c>
      <c r="C907" t="str">
        <f ca="1"/>
        <v/>
      </c>
      <c r="D907" t="str">
        <f ca="1"/>
        <v/>
      </c>
      <c r="E907" t="str">
        <f ca="1"/>
        <v/>
      </c>
      <c r="F907" t="str">
        <f ca="1"/>
        <v/>
      </c>
      <c r="G907" t="str">
        <f ca="1"/>
        <v/>
      </c>
      <c r="H907" s="17" t="str">
        <f ca="1"/>
        <v/>
      </c>
    </row>
    <row r="908" spans="2:8" x14ac:dyDescent="0.35">
      <c r="B908" t="str">
        <f ca="1"/>
        <v/>
      </c>
      <c r="C908" t="str">
        <f ca="1"/>
        <v/>
      </c>
      <c r="D908" t="str">
        <f ca="1"/>
        <v/>
      </c>
      <c r="E908" t="str">
        <f ca="1"/>
        <v/>
      </c>
      <c r="F908" t="str">
        <f ca="1"/>
        <v/>
      </c>
      <c r="G908" t="str">
        <f ca="1"/>
        <v/>
      </c>
      <c r="H908" s="17" t="str">
        <f ca="1"/>
        <v/>
      </c>
    </row>
    <row r="909" spans="2:8" x14ac:dyDescent="0.35">
      <c r="B909" t="str">
        <f ca="1"/>
        <v/>
      </c>
      <c r="C909" t="str">
        <f ca="1"/>
        <v/>
      </c>
      <c r="D909" t="str">
        <f ca="1"/>
        <v/>
      </c>
      <c r="E909" t="str">
        <f ca="1"/>
        <v/>
      </c>
      <c r="F909" t="str">
        <f ca="1"/>
        <v/>
      </c>
      <c r="G909" t="str">
        <f ca="1"/>
        <v/>
      </c>
      <c r="H909" s="17" t="str">
        <f ca="1"/>
        <v/>
      </c>
    </row>
    <row r="910" spans="2:8" x14ac:dyDescent="0.35">
      <c r="B910" t="str">
        <f ca="1"/>
        <v/>
      </c>
      <c r="C910" t="str">
        <f ca="1"/>
        <v/>
      </c>
      <c r="D910" t="str">
        <f ca="1"/>
        <v/>
      </c>
      <c r="E910" t="str">
        <f ca="1"/>
        <v/>
      </c>
      <c r="F910" t="str">
        <f ca="1"/>
        <v/>
      </c>
      <c r="G910" t="str">
        <f ca="1"/>
        <v/>
      </c>
      <c r="H910" s="17" t="str">
        <f ca="1"/>
        <v/>
      </c>
    </row>
    <row r="911" spans="2:8" x14ac:dyDescent="0.35">
      <c r="B911" t="str">
        <f ca="1"/>
        <v/>
      </c>
      <c r="C911" t="str">
        <f ca="1"/>
        <v/>
      </c>
      <c r="D911" t="str">
        <f ca="1"/>
        <v/>
      </c>
      <c r="E911" t="str">
        <f ca="1"/>
        <v/>
      </c>
      <c r="F911" t="str">
        <f ca="1"/>
        <v/>
      </c>
      <c r="G911" t="str">
        <f ca="1"/>
        <v/>
      </c>
      <c r="H911" s="17" t="str">
        <f ca="1"/>
        <v/>
      </c>
    </row>
    <row r="912" spans="2:8" x14ac:dyDescent="0.35">
      <c r="B912" t="str">
        <f ca="1"/>
        <v/>
      </c>
      <c r="C912" t="str">
        <f ca="1"/>
        <v/>
      </c>
      <c r="D912" t="str">
        <f ca="1"/>
        <v/>
      </c>
      <c r="E912" t="str">
        <f ca="1"/>
        <v/>
      </c>
      <c r="F912" t="str">
        <f ca="1"/>
        <v/>
      </c>
      <c r="G912" t="str">
        <f ca="1"/>
        <v/>
      </c>
      <c r="H912" s="17" t="str">
        <f ca="1"/>
        <v/>
      </c>
    </row>
    <row r="913" spans="2:8" x14ac:dyDescent="0.35">
      <c r="B913" t="str">
        <f ca="1"/>
        <v/>
      </c>
      <c r="C913" t="str">
        <f ca="1"/>
        <v/>
      </c>
      <c r="D913" t="str">
        <f ca="1"/>
        <v/>
      </c>
      <c r="E913" t="str">
        <f ca="1"/>
        <v/>
      </c>
      <c r="F913" t="str">
        <f ca="1"/>
        <v/>
      </c>
      <c r="G913" t="str">
        <f ca="1"/>
        <v/>
      </c>
      <c r="H913" s="17" t="str">
        <f ca="1"/>
        <v/>
      </c>
    </row>
    <row r="914" spans="2:8" x14ac:dyDescent="0.35">
      <c r="B914" t="str">
        <f ca="1"/>
        <v/>
      </c>
      <c r="C914" t="str">
        <f ca="1"/>
        <v/>
      </c>
      <c r="D914" t="str">
        <f ca="1"/>
        <v/>
      </c>
      <c r="E914" t="str">
        <f ca="1"/>
        <v/>
      </c>
      <c r="F914" t="str">
        <f ca="1"/>
        <v/>
      </c>
      <c r="G914" t="str">
        <f ca="1"/>
        <v/>
      </c>
      <c r="H914" s="17" t="str">
        <f ca="1"/>
        <v/>
      </c>
    </row>
    <row r="915" spans="2:8" x14ac:dyDescent="0.35">
      <c r="B915" t="str">
        <f ca="1"/>
        <v/>
      </c>
      <c r="C915" t="str">
        <f ca="1"/>
        <v/>
      </c>
      <c r="D915" t="str">
        <f ca="1"/>
        <v/>
      </c>
      <c r="E915" t="str">
        <f ca="1"/>
        <v/>
      </c>
      <c r="F915" t="str">
        <f ca="1"/>
        <v/>
      </c>
      <c r="G915" t="str">
        <f ca="1"/>
        <v/>
      </c>
      <c r="H915" s="17" t="str">
        <f ca="1"/>
        <v/>
      </c>
    </row>
    <row r="916" spans="2:8" x14ac:dyDescent="0.35">
      <c r="B916" t="str">
        <f ca="1"/>
        <v/>
      </c>
      <c r="C916" t="str">
        <f ca="1"/>
        <v/>
      </c>
      <c r="D916" t="str">
        <f ca="1"/>
        <v/>
      </c>
      <c r="E916" t="str">
        <f ca="1"/>
        <v/>
      </c>
      <c r="F916" t="str">
        <f ca="1"/>
        <v/>
      </c>
      <c r="G916" t="str">
        <f ca="1"/>
        <v/>
      </c>
      <c r="H916" s="17" t="str">
        <f ca="1"/>
        <v/>
      </c>
    </row>
    <row r="917" spans="2:8" x14ac:dyDescent="0.35">
      <c r="B917" t="str">
        <f ca="1"/>
        <v/>
      </c>
      <c r="C917" t="str">
        <f ca="1"/>
        <v/>
      </c>
      <c r="D917" t="str">
        <f ca="1"/>
        <v/>
      </c>
      <c r="E917" t="str">
        <f ca="1"/>
        <v/>
      </c>
      <c r="F917" t="str">
        <f ca="1"/>
        <v/>
      </c>
      <c r="G917" t="str">
        <f ca="1"/>
        <v/>
      </c>
      <c r="H917" s="17" t="str">
        <f ca="1"/>
        <v/>
      </c>
    </row>
    <row r="918" spans="2:8" x14ac:dyDescent="0.35">
      <c r="B918" t="str">
        <f ca="1"/>
        <v/>
      </c>
      <c r="C918" t="str">
        <f ca="1"/>
        <v/>
      </c>
      <c r="D918" t="str">
        <f ca="1"/>
        <v/>
      </c>
      <c r="E918" t="str">
        <f ca="1"/>
        <v/>
      </c>
      <c r="F918" t="str">
        <f ca="1"/>
        <v/>
      </c>
      <c r="G918" t="str">
        <f ca="1"/>
        <v/>
      </c>
      <c r="H918" s="17" t="str">
        <f ca="1"/>
        <v/>
      </c>
    </row>
    <row r="919" spans="2:8" x14ac:dyDescent="0.35">
      <c r="B919" t="str">
        <f ca="1"/>
        <v/>
      </c>
      <c r="C919" t="str">
        <f ca="1"/>
        <v/>
      </c>
      <c r="D919" t="str">
        <f ca="1"/>
        <v/>
      </c>
      <c r="E919" t="str">
        <f ca="1"/>
        <v/>
      </c>
      <c r="F919" t="str">
        <f ca="1"/>
        <v/>
      </c>
      <c r="G919" t="str">
        <f ca="1"/>
        <v/>
      </c>
      <c r="H919" s="17" t="str">
        <f ca="1"/>
        <v/>
      </c>
    </row>
    <row r="920" spans="2:8" x14ac:dyDescent="0.35">
      <c r="B920" t="str">
        <f ca="1"/>
        <v/>
      </c>
      <c r="C920" t="str">
        <f ca="1"/>
        <v/>
      </c>
      <c r="D920" t="str">
        <f ca="1"/>
        <v/>
      </c>
      <c r="E920" t="str">
        <f ca="1"/>
        <v/>
      </c>
      <c r="F920" t="str">
        <f ca="1"/>
        <v/>
      </c>
      <c r="G920" t="str">
        <f ca="1"/>
        <v/>
      </c>
      <c r="H920" s="17" t="str">
        <f ca="1"/>
        <v/>
      </c>
    </row>
    <row r="921" spans="2:8" x14ac:dyDescent="0.35">
      <c r="B921" t="str">
        <f ca="1"/>
        <v/>
      </c>
      <c r="C921" t="str">
        <f ca="1"/>
        <v/>
      </c>
      <c r="D921" t="str">
        <f ca="1"/>
        <v/>
      </c>
      <c r="E921" t="str">
        <f ca="1"/>
        <v/>
      </c>
      <c r="F921" t="str">
        <f ca="1"/>
        <v/>
      </c>
      <c r="G921" t="str">
        <f ca="1"/>
        <v/>
      </c>
      <c r="H921" s="17" t="str">
        <f ca="1"/>
        <v/>
      </c>
    </row>
    <row r="922" spans="2:8" x14ac:dyDescent="0.35">
      <c r="B922" t="str">
        <f ca="1"/>
        <v/>
      </c>
      <c r="C922" t="str">
        <f ca="1"/>
        <v/>
      </c>
      <c r="D922" t="str">
        <f ca="1"/>
        <v/>
      </c>
      <c r="E922" t="str">
        <f ca="1"/>
        <v/>
      </c>
      <c r="F922" t="str">
        <f ca="1"/>
        <v/>
      </c>
      <c r="G922" t="str">
        <f ca="1"/>
        <v/>
      </c>
      <c r="H922" s="17" t="str">
        <f ca="1"/>
        <v/>
      </c>
    </row>
    <row r="923" spans="2:8" x14ac:dyDescent="0.35">
      <c r="B923" t="str">
        <f ca="1"/>
        <v/>
      </c>
      <c r="C923" t="str">
        <f ca="1"/>
        <v/>
      </c>
      <c r="D923" t="str">
        <f ca="1"/>
        <v/>
      </c>
      <c r="E923" t="str">
        <f ca="1"/>
        <v/>
      </c>
      <c r="F923" t="str">
        <f ca="1"/>
        <v/>
      </c>
      <c r="G923" t="str">
        <f ca="1"/>
        <v/>
      </c>
      <c r="H923" s="17" t="str">
        <f ca="1"/>
        <v/>
      </c>
    </row>
    <row r="924" spans="2:8" x14ac:dyDescent="0.35">
      <c r="B924" t="str">
        <f ca="1"/>
        <v/>
      </c>
      <c r="C924" t="str">
        <f ca="1"/>
        <v/>
      </c>
      <c r="D924" t="str">
        <f ca="1"/>
        <v/>
      </c>
      <c r="E924" t="str">
        <f ca="1"/>
        <v/>
      </c>
      <c r="F924" t="str">
        <f ca="1"/>
        <v/>
      </c>
      <c r="G924" t="str">
        <f ca="1"/>
        <v/>
      </c>
      <c r="H924" s="17" t="str">
        <f ca="1"/>
        <v/>
      </c>
    </row>
    <row r="925" spans="2:8" x14ac:dyDescent="0.35">
      <c r="B925" t="str">
        <f ca="1"/>
        <v/>
      </c>
      <c r="C925" t="str">
        <f ca="1"/>
        <v/>
      </c>
      <c r="D925" t="str">
        <f ca="1"/>
        <v/>
      </c>
      <c r="E925" t="str">
        <f ca="1"/>
        <v/>
      </c>
      <c r="F925" t="str">
        <f ca="1"/>
        <v/>
      </c>
      <c r="G925" t="str">
        <f ca="1"/>
        <v/>
      </c>
      <c r="H925" s="17" t="str">
        <f ca="1"/>
        <v/>
      </c>
    </row>
    <row r="926" spans="2:8" x14ac:dyDescent="0.35">
      <c r="B926" t="str">
        <f ca="1"/>
        <v/>
      </c>
      <c r="C926" t="str">
        <f ca="1"/>
        <v/>
      </c>
      <c r="D926" t="str">
        <f ca="1"/>
        <v/>
      </c>
      <c r="E926" t="str">
        <f ca="1"/>
        <v/>
      </c>
      <c r="F926" t="str">
        <f ca="1"/>
        <v/>
      </c>
      <c r="G926" t="str">
        <f ca="1"/>
        <v/>
      </c>
      <c r="H926" s="17" t="str">
        <f ca="1"/>
        <v/>
      </c>
    </row>
    <row r="927" spans="2:8" x14ac:dyDescent="0.35">
      <c r="B927" t="str">
        <f ca="1"/>
        <v/>
      </c>
      <c r="C927" t="str">
        <f ca="1"/>
        <v/>
      </c>
      <c r="D927" t="str">
        <f ca="1"/>
        <v/>
      </c>
      <c r="E927" t="str">
        <f ca="1"/>
        <v/>
      </c>
      <c r="F927" t="str">
        <f ca="1"/>
        <v/>
      </c>
      <c r="G927" t="str">
        <f ca="1"/>
        <v/>
      </c>
      <c r="H927" s="17" t="str">
        <f ca="1"/>
        <v/>
      </c>
    </row>
    <row r="928" spans="2:8" x14ac:dyDescent="0.35">
      <c r="B928" t="str">
        <f ca="1"/>
        <v/>
      </c>
      <c r="C928" t="str">
        <f ca="1"/>
        <v/>
      </c>
      <c r="D928" t="str">
        <f ca="1"/>
        <v/>
      </c>
      <c r="E928" t="str">
        <f ca="1"/>
        <v/>
      </c>
      <c r="F928" t="str">
        <f ca="1"/>
        <v/>
      </c>
      <c r="G928" t="str">
        <f ca="1"/>
        <v/>
      </c>
      <c r="H928" s="17" t="str">
        <f ca="1"/>
        <v/>
      </c>
    </row>
    <row r="929" spans="2:8" x14ac:dyDescent="0.35">
      <c r="B929" t="str">
        <f ca="1"/>
        <v/>
      </c>
      <c r="C929" t="str">
        <f ca="1"/>
        <v/>
      </c>
      <c r="D929" t="str">
        <f ca="1"/>
        <v/>
      </c>
      <c r="E929" t="str">
        <f ca="1"/>
        <v/>
      </c>
      <c r="F929" t="str">
        <f ca="1"/>
        <v/>
      </c>
      <c r="G929" t="str">
        <f ca="1"/>
        <v/>
      </c>
      <c r="H929" s="17" t="str">
        <f ca="1"/>
        <v/>
      </c>
    </row>
    <row r="930" spans="2:8" x14ac:dyDescent="0.35">
      <c r="B930" t="str">
        <f ca="1"/>
        <v/>
      </c>
      <c r="C930" t="str">
        <f ca="1"/>
        <v/>
      </c>
      <c r="D930" t="str">
        <f ca="1"/>
        <v/>
      </c>
      <c r="E930" t="str">
        <f ca="1"/>
        <v/>
      </c>
      <c r="F930" t="str">
        <f ca="1"/>
        <v/>
      </c>
      <c r="G930" t="str">
        <f ca="1"/>
        <v/>
      </c>
      <c r="H930" s="17" t="str">
        <f ca="1"/>
        <v/>
      </c>
    </row>
    <row r="931" spans="2:8" x14ac:dyDescent="0.35">
      <c r="B931" t="str">
        <f ca="1"/>
        <v/>
      </c>
      <c r="C931" t="str">
        <f ca="1"/>
        <v/>
      </c>
      <c r="D931" t="str">
        <f ca="1"/>
        <v/>
      </c>
      <c r="E931" t="str">
        <f ca="1"/>
        <v/>
      </c>
      <c r="F931" t="str">
        <f ca="1"/>
        <v/>
      </c>
      <c r="G931" t="str">
        <f ca="1"/>
        <v/>
      </c>
      <c r="H931" s="17" t="str">
        <f ca="1"/>
        <v/>
      </c>
    </row>
    <row r="932" spans="2:8" x14ac:dyDescent="0.35">
      <c r="B932" t="str">
        <f ca="1"/>
        <v/>
      </c>
      <c r="C932" t="str">
        <f ca="1"/>
        <v/>
      </c>
      <c r="D932" t="str">
        <f ca="1"/>
        <v/>
      </c>
      <c r="E932" t="str">
        <f ca="1"/>
        <v/>
      </c>
      <c r="F932" t="str">
        <f ca="1"/>
        <v/>
      </c>
      <c r="G932" t="str">
        <f ca="1"/>
        <v/>
      </c>
      <c r="H932" s="17" t="str">
        <f ca="1"/>
        <v/>
      </c>
    </row>
    <row r="933" spans="2:8" x14ac:dyDescent="0.35">
      <c r="B933" t="str">
        <f ca="1"/>
        <v/>
      </c>
      <c r="C933" t="str">
        <f ca="1"/>
        <v/>
      </c>
      <c r="D933" t="str">
        <f ca="1"/>
        <v/>
      </c>
      <c r="E933" t="str">
        <f ca="1"/>
        <v/>
      </c>
      <c r="F933" t="str">
        <f ca="1"/>
        <v/>
      </c>
      <c r="G933" t="str">
        <f ca="1"/>
        <v/>
      </c>
      <c r="H933" s="17" t="str">
        <f ca="1"/>
        <v/>
      </c>
    </row>
    <row r="934" spans="2:8" x14ac:dyDescent="0.35">
      <c r="B934" t="str">
        <f ca="1"/>
        <v/>
      </c>
      <c r="C934" t="str">
        <f ca="1"/>
        <v/>
      </c>
      <c r="D934" t="str">
        <f ca="1"/>
        <v/>
      </c>
      <c r="E934" t="str">
        <f ca="1"/>
        <v/>
      </c>
      <c r="F934" t="str">
        <f ca="1"/>
        <v/>
      </c>
      <c r="G934" t="str">
        <f ca="1"/>
        <v/>
      </c>
      <c r="H934" s="17" t="str">
        <f ca="1"/>
        <v/>
      </c>
    </row>
    <row r="935" spans="2:8" x14ac:dyDescent="0.35">
      <c r="B935" t="str">
        <f ca="1"/>
        <v/>
      </c>
      <c r="C935" t="str">
        <f ca="1"/>
        <v/>
      </c>
      <c r="D935" t="str">
        <f ca="1"/>
        <v/>
      </c>
      <c r="E935" t="str">
        <f ca="1"/>
        <v/>
      </c>
      <c r="F935" t="str">
        <f ca="1"/>
        <v/>
      </c>
      <c r="G935" t="str">
        <f ca="1"/>
        <v/>
      </c>
      <c r="H935" s="17" t="str">
        <f ca="1"/>
        <v/>
      </c>
    </row>
    <row r="936" spans="2:8" x14ac:dyDescent="0.35">
      <c r="B936" t="str">
        <f ca="1"/>
        <v/>
      </c>
      <c r="C936" t="str">
        <f ca="1"/>
        <v/>
      </c>
      <c r="D936" t="str">
        <f ca="1"/>
        <v/>
      </c>
      <c r="E936" t="str">
        <f ca="1"/>
        <v/>
      </c>
      <c r="F936" t="str">
        <f ca="1"/>
        <v/>
      </c>
      <c r="G936" t="str">
        <f ca="1"/>
        <v/>
      </c>
      <c r="H936" s="17" t="str">
        <f ca="1"/>
        <v/>
      </c>
    </row>
    <row r="937" spans="2:8" x14ac:dyDescent="0.35">
      <c r="B937" t="str">
        <f ca="1"/>
        <v/>
      </c>
      <c r="C937" t="str">
        <f ca="1"/>
        <v/>
      </c>
      <c r="D937" t="str">
        <f ca="1"/>
        <v/>
      </c>
      <c r="E937" t="str">
        <f ca="1"/>
        <v/>
      </c>
      <c r="F937" t="str">
        <f ca="1"/>
        <v/>
      </c>
      <c r="G937" t="str">
        <f ca="1"/>
        <v/>
      </c>
      <c r="H937" s="17" t="str">
        <f ca="1"/>
        <v/>
      </c>
    </row>
    <row r="938" spans="2:8" x14ac:dyDescent="0.35">
      <c r="B938" t="str">
        <f ca="1"/>
        <v/>
      </c>
      <c r="C938" t="str">
        <f ca="1"/>
        <v/>
      </c>
      <c r="D938" t="str">
        <f ca="1"/>
        <v/>
      </c>
      <c r="E938" t="str">
        <f ca="1"/>
        <v/>
      </c>
      <c r="F938" t="str">
        <f ca="1"/>
        <v/>
      </c>
      <c r="G938" t="str">
        <f ca="1"/>
        <v/>
      </c>
      <c r="H938" s="17" t="str">
        <f ca="1"/>
        <v/>
      </c>
    </row>
    <row r="939" spans="2:8" x14ac:dyDescent="0.35">
      <c r="B939" t="str">
        <f ca="1"/>
        <v/>
      </c>
      <c r="C939" t="str">
        <f ca="1"/>
        <v/>
      </c>
      <c r="D939" t="str">
        <f ca="1"/>
        <v/>
      </c>
      <c r="E939" t="str">
        <f ca="1"/>
        <v/>
      </c>
      <c r="F939" t="str">
        <f ca="1"/>
        <v/>
      </c>
      <c r="G939" t="str">
        <f ca="1"/>
        <v/>
      </c>
      <c r="H939" s="17" t="str">
        <f ca="1"/>
        <v/>
      </c>
    </row>
    <row r="940" spans="2:8" x14ac:dyDescent="0.35">
      <c r="B940" t="str">
        <f ca="1"/>
        <v/>
      </c>
      <c r="C940" t="str">
        <f ca="1"/>
        <v/>
      </c>
      <c r="D940" t="str">
        <f ca="1"/>
        <v/>
      </c>
      <c r="E940" t="str">
        <f ca="1"/>
        <v/>
      </c>
      <c r="F940" t="str">
        <f ca="1"/>
        <v/>
      </c>
      <c r="G940" t="str">
        <f ca="1"/>
        <v/>
      </c>
      <c r="H940" s="17" t="str">
        <f ca="1"/>
        <v/>
      </c>
    </row>
    <row r="941" spans="2:8" x14ac:dyDescent="0.35">
      <c r="B941" t="str">
        <f ca="1"/>
        <v/>
      </c>
      <c r="C941" t="str">
        <f ca="1"/>
        <v/>
      </c>
      <c r="D941" t="str">
        <f ca="1"/>
        <v/>
      </c>
      <c r="E941" t="str">
        <f ca="1"/>
        <v/>
      </c>
      <c r="F941" t="str">
        <f ca="1"/>
        <v/>
      </c>
      <c r="G941" t="str">
        <f ca="1"/>
        <v/>
      </c>
      <c r="H941" s="17" t="str">
        <f ca="1"/>
        <v/>
      </c>
    </row>
    <row r="942" spans="2:8" x14ac:dyDescent="0.35">
      <c r="B942" t="str">
        <f ca="1"/>
        <v/>
      </c>
      <c r="C942" t="str">
        <f ca="1"/>
        <v/>
      </c>
      <c r="D942" t="str">
        <f ca="1"/>
        <v/>
      </c>
      <c r="E942" t="str">
        <f ca="1"/>
        <v/>
      </c>
      <c r="F942" t="str">
        <f ca="1"/>
        <v/>
      </c>
      <c r="G942" t="str">
        <f ca="1"/>
        <v/>
      </c>
      <c r="H942" s="17" t="str">
        <f ca="1"/>
        <v/>
      </c>
    </row>
    <row r="943" spans="2:8" x14ac:dyDescent="0.35">
      <c r="B943" t="str">
        <f ca="1"/>
        <v/>
      </c>
      <c r="C943" t="str">
        <f ca="1"/>
        <v/>
      </c>
      <c r="D943" t="str">
        <f ca="1"/>
        <v/>
      </c>
      <c r="E943" t="str">
        <f ca="1"/>
        <v/>
      </c>
      <c r="F943" t="str">
        <f ca="1"/>
        <v/>
      </c>
      <c r="G943" t="str">
        <f ca="1"/>
        <v/>
      </c>
      <c r="H943" s="17" t="str">
        <f ca="1"/>
        <v/>
      </c>
    </row>
    <row r="944" spans="2:8" x14ac:dyDescent="0.35">
      <c r="B944" t="str">
        <f ca="1"/>
        <v/>
      </c>
      <c r="C944" t="str">
        <f ca="1"/>
        <v/>
      </c>
      <c r="D944" t="str">
        <f ca="1"/>
        <v/>
      </c>
      <c r="E944" t="str">
        <f ca="1"/>
        <v/>
      </c>
      <c r="F944" t="str">
        <f ca="1"/>
        <v/>
      </c>
      <c r="G944" t="str">
        <f ca="1"/>
        <v/>
      </c>
      <c r="H944" s="17" t="str">
        <f ca="1"/>
        <v/>
      </c>
    </row>
    <row r="945" spans="2:8" x14ac:dyDescent="0.35">
      <c r="B945" t="str">
        <f ca="1"/>
        <v/>
      </c>
      <c r="C945" t="str">
        <f ca="1"/>
        <v/>
      </c>
      <c r="D945" t="str">
        <f ca="1"/>
        <v/>
      </c>
      <c r="E945" t="str">
        <f ca="1"/>
        <v/>
      </c>
      <c r="F945" t="str">
        <f ca="1"/>
        <v/>
      </c>
      <c r="G945" t="str">
        <f ca="1"/>
        <v/>
      </c>
      <c r="H945" s="17" t="str">
        <f ca="1"/>
        <v/>
      </c>
    </row>
    <row r="946" spans="2:8" x14ac:dyDescent="0.35">
      <c r="B946" t="str">
        <f ca="1"/>
        <v/>
      </c>
      <c r="C946" t="str">
        <f ca="1"/>
        <v/>
      </c>
      <c r="D946" t="str">
        <f ca="1"/>
        <v/>
      </c>
      <c r="E946" t="str">
        <f ca="1"/>
        <v/>
      </c>
      <c r="F946" t="str">
        <f ca="1"/>
        <v/>
      </c>
      <c r="G946" t="str">
        <f ca="1"/>
        <v/>
      </c>
      <c r="H946" s="17" t="str">
        <f ca="1"/>
        <v/>
      </c>
    </row>
    <row r="947" spans="2:8" x14ac:dyDescent="0.35">
      <c r="B947" t="str">
        <f ca="1"/>
        <v/>
      </c>
      <c r="C947" t="str">
        <f ca="1"/>
        <v/>
      </c>
      <c r="D947" t="str">
        <f ca="1"/>
        <v/>
      </c>
      <c r="E947" t="str">
        <f ca="1"/>
        <v/>
      </c>
      <c r="F947" t="str">
        <f ca="1"/>
        <v/>
      </c>
      <c r="G947" t="str">
        <f ca="1"/>
        <v/>
      </c>
      <c r="H947" s="17" t="str">
        <f ca="1"/>
        <v/>
      </c>
    </row>
    <row r="948" spans="2:8" x14ac:dyDescent="0.35">
      <c r="B948" t="str">
        <f ca="1"/>
        <v/>
      </c>
      <c r="C948" t="str">
        <f ca="1"/>
        <v/>
      </c>
      <c r="D948" t="str">
        <f ca="1"/>
        <v/>
      </c>
      <c r="E948" t="str">
        <f ca="1"/>
        <v/>
      </c>
      <c r="F948" t="str">
        <f ca="1"/>
        <v/>
      </c>
      <c r="G948" t="str">
        <f ca="1"/>
        <v/>
      </c>
      <c r="H948" s="17" t="str">
        <f ca="1"/>
        <v/>
      </c>
    </row>
    <row r="949" spans="2:8" x14ac:dyDescent="0.35">
      <c r="B949" t="str">
        <f ca="1"/>
        <v/>
      </c>
      <c r="C949" t="str">
        <f ca="1"/>
        <v/>
      </c>
      <c r="D949" t="str">
        <f ca="1"/>
        <v/>
      </c>
      <c r="E949" t="str">
        <f ca="1"/>
        <v/>
      </c>
      <c r="F949" t="str">
        <f ca="1"/>
        <v/>
      </c>
      <c r="G949" t="str">
        <f ca="1"/>
        <v/>
      </c>
      <c r="H949" s="17" t="str">
        <f ca="1"/>
        <v/>
      </c>
    </row>
    <row r="950" spans="2:8" x14ac:dyDescent="0.35">
      <c r="B950" t="str">
        <f ca="1"/>
        <v/>
      </c>
      <c r="C950" t="str">
        <f ca="1"/>
        <v/>
      </c>
      <c r="D950" t="str">
        <f ca="1"/>
        <v/>
      </c>
      <c r="E950" t="str">
        <f ca="1"/>
        <v/>
      </c>
      <c r="F950" t="str">
        <f ca="1"/>
        <v/>
      </c>
      <c r="G950" t="str">
        <f ca="1"/>
        <v/>
      </c>
      <c r="H950" s="17" t="str">
        <f ca="1"/>
        <v/>
      </c>
    </row>
    <row r="951" spans="2:8" x14ac:dyDescent="0.35">
      <c r="B951" t="str">
        <f ca="1"/>
        <v/>
      </c>
      <c r="C951" t="str">
        <f ca="1"/>
        <v/>
      </c>
      <c r="D951" t="str">
        <f ca="1"/>
        <v/>
      </c>
      <c r="E951" t="str">
        <f ca="1"/>
        <v/>
      </c>
      <c r="F951" t="str">
        <f ca="1"/>
        <v/>
      </c>
      <c r="G951" t="str">
        <f ca="1"/>
        <v/>
      </c>
      <c r="H951" s="17" t="str">
        <f ca="1"/>
        <v/>
      </c>
    </row>
    <row r="952" spans="2:8" x14ac:dyDescent="0.35">
      <c r="B952" t="str">
        <f ca="1"/>
        <v/>
      </c>
      <c r="C952" t="str">
        <f ca="1"/>
        <v/>
      </c>
      <c r="D952" t="str">
        <f ca="1"/>
        <v/>
      </c>
      <c r="E952" t="str">
        <f ca="1"/>
        <v/>
      </c>
      <c r="F952" t="str">
        <f ca="1"/>
        <v/>
      </c>
      <c r="G952" t="str">
        <f ca="1"/>
        <v/>
      </c>
      <c r="H952" s="17" t="str">
        <f ca="1"/>
        <v/>
      </c>
    </row>
    <row r="953" spans="2:8" x14ac:dyDescent="0.35">
      <c r="B953" t="str">
        <f ca="1"/>
        <v/>
      </c>
      <c r="C953" t="str">
        <f ca="1"/>
        <v/>
      </c>
      <c r="D953" t="str">
        <f ca="1"/>
        <v/>
      </c>
      <c r="E953" t="str">
        <f ca="1"/>
        <v/>
      </c>
      <c r="F953" t="str">
        <f ca="1"/>
        <v/>
      </c>
      <c r="G953" t="str">
        <f ca="1"/>
        <v/>
      </c>
      <c r="H953" s="17" t="str">
        <f ca="1"/>
        <v/>
      </c>
    </row>
    <row r="954" spans="2:8" x14ac:dyDescent="0.35">
      <c r="B954" t="str">
        <f ca="1"/>
        <v/>
      </c>
      <c r="C954" t="str">
        <f ca="1"/>
        <v/>
      </c>
      <c r="D954" t="str">
        <f ca="1"/>
        <v/>
      </c>
      <c r="E954" t="str">
        <f ca="1"/>
        <v/>
      </c>
      <c r="F954" t="str">
        <f ca="1"/>
        <v/>
      </c>
      <c r="G954" t="str">
        <f ca="1"/>
        <v/>
      </c>
      <c r="H954" s="17" t="str">
        <f ca="1"/>
        <v/>
      </c>
    </row>
    <row r="955" spans="2:8" x14ac:dyDescent="0.35">
      <c r="B955" t="str">
        <f ca="1"/>
        <v/>
      </c>
      <c r="C955" t="str">
        <f ca="1"/>
        <v/>
      </c>
      <c r="D955" t="str">
        <f ca="1"/>
        <v/>
      </c>
      <c r="E955" t="str">
        <f ca="1"/>
        <v/>
      </c>
      <c r="F955" t="str">
        <f ca="1"/>
        <v/>
      </c>
      <c r="G955" t="str">
        <f ca="1"/>
        <v/>
      </c>
      <c r="H955" s="17" t="str">
        <f ca="1"/>
        <v/>
      </c>
    </row>
    <row r="956" spans="2:8" x14ac:dyDescent="0.35">
      <c r="B956" t="str">
        <f ca="1"/>
        <v/>
      </c>
      <c r="C956" t="str">
        <f ca="1"/>
        <v/>
      </c>
      <c r="D956" t="str">
        <f ca="1"/>
        <v/>
      </c>
      <c r="E956" t="str">
        <f ca="1"/>
        <v/>
      </c>
      <c r="F956" t="str">
        <f ca="1"/>
        <v/>
      </c>
      <c r="G956" t="str">
        <f ca="1"/>
        <v/>
      </c>
      <c r="H956" s="17" t="str">
        <f ca="1"/>
        <v/>
      </c>
    </row>
    <row r="957" spans="2:8" x14ac:dyDescent="0.35">
      <c r="B957" t="str">
        <f ca="1"/>
        <v/>
      </c>
      <c r="C957" t="str">
        <f ca="1"/>
        <v/>
      </c>
      <c r="D957" t="str">
        <f ca="1"/>
        <v/>
      </c>
      <c r="E957" t="str">
        <f ca="1"/>
        <v/>
      </c>
      <c r="F957" t="str">
        <f ca="1"/>
        <v/>
      </c>
      <c r="G957" t="str">
        <f ca="1"/>
        <v/>
      </c>
      <c r="H957" s="17" t="str">
        <f ca="1"/>
        <v/>
      </c>
    </row>
    <row r="958" spans="2:8" x14ac:dyDescent="0.35">
      <c r="B958" t="str">
        <f ca="1"/>
        <v/>
      </c>
      <c r="C958" t="str">
        <f ca="1"/>
        <v/>
      </c>
      <c r="D958" t="str">
        <f ca="1"/>
        <v/>
      </c>
      <c r="E958" t="str">
        <f ca="1"/>
        <v/>
      </c>
      <c r="F958" t="str">
        <f ca="1"/>
        <v/>
      </c>
      <c r="G958" t="str">
        <f ca="1"/>
        <v/>
      </c>
      <c r="H958" s="17" t="str">
        <f ca="1"/>
        <v/>
      </c>
    </row>
    <row r="959" spans="2:8" x14ac:dyDescent="0.35">
      <c r="B959" t="str">
        <f ca="1"/>
        <v/>
      </c>
      <c r="C959" t="str">
        <f ca="1"/>
        <v/>
      </c>
      <c r="D959" t="str">
        <f ca="1"/>
        <v/>
      </c>
      <c r="E959" t="str">
        <f ca="1"/>
        <v/>
      </c>
      <c r="F959" t="str">
        <f ca="1"/>
        <v/>
      </c>
      <c r="G959" t="str">
        <f ca="1"/>
        <v/>
      </c>
      <c r="H959" s="17" t="str">
        <f ca="1"/>
        <v/>
      </c>
    </row>
    <row r="960" spans="2:8" x14ac:dyDescent="0.35">
      <c r="B960" t="str">
        <f ca="1"/>
        <v/>
      </c>
      <c r="C960" t="str">
        <f ca="1"/>
        <v/>
      </c>
      <c r="D960" t="str">
        <f ca="1"/>
        <v/>
      </c>
      <c r="E960" t="str">
        <f ca="1"/>
        <v/>
      </c>
      <c r="F960" t="str">
        <f ca="1"/>
        <v/>
      </c>
      <c r="G960" t="str">
        <f ca="1"/>
        <v/>
      </c>
      <c r="H960" s="17" t="str">
        <f ca="1"/>
        <v/>
      </c>
    </row>
    <row r="961" spans="2:8" x14ac:dyDescent="0.35">
      <c r="B961" t="str">
        <f ca="1"/>
        <v/>
      </c>
      <c r="C961" t="str">
        <f ca="1"/>
        <v/>
      </c>
      <c r="D961" t="str">
        <f ca="1"/>
        <v/>
      </c>
      <c r="E961" t="str">
        <f ca="1"/>
        <v/>
      </c>
      <c r="F961" t="str">
        <f ca="1"/>
        <v/>
      </c>
      <c r="G961" t="str">
        <f ca="1"/>
        <v/>
      </c>
      <c r="H961" s="17" t="str">
        <f ca="1"/>
        <v/>
      </c>
    </row>
    <row r="962" spans="2:8" x14ac:dyDescent="0.35">
      <c r="B962" t="str">
        <f ca="1"/>
        <v/>
      </c>
      <c r="C962" t="str">
        <f ca="1"/>
        <v/>
      </c>
      <c r="D962" t="str">
        <f ca="1"/>
        <v/>
      </c>
      <c r="E962" t="str">
        <f ca="1"/>
        <v/>
      </c>
      <c r="F962" t="str">
        <f ca="1"/>
        <v/>
      </c>
      <c r="G962" t="str">
        <f ca="1"/>
        <v/>
      </c>
      <c r="H962" s="17" t="str">
        <f ca="1"/>
        <v/>
      </c>
    </row>
    <row r="963" spans="2:8" x14ac:dyDescent="0.35">
      <c r="B963" t="str">
        <f ca="1"/>
        <v/>
      </c>
      <c r="C963" t="str">
        <f ca="1"/>
        <v/>
      </c>
      <c r="D963" t="str">
        <f ca="1"/>
        <v/>
      </c>
      <c r="E963" t="str">
        <f ca="1"/>
        <v/>
      </c>
      <c r="F963" t="str">
        <f ca="1"/>
        <v/>
      </c>
      <c r="G963" t="str">
        <f ca="1"/>
        <v/>
      </c>
      <c r="H963" s="17" t="str">
        <f ca="1"/>
        <v/>
      </c>
    </row>
    <row r="964" spans="2:8" x14ac:dyDescent="0.35">
      <c r="B964" t="str">
        <f ca="1"/>
        <v/>
      </c>
      <c r="C964" t="str">
        <f ca="1"/>
        <v/>
      </c>
      <c r="D964" t="str">
        <f ca="1"/>
        <v/>
      </c>
      <c r="E964" t="str">
        <f ca="1"/>
        <v/>
      </c>
      <c r="F964" t="str">
        <f ca="1"/>
        <v/>
      </c>
      <c r="G964" t="str">
        <f ca="1"/>
        <v/>
      </c>
      <c r="H964" s="17" t="str">
        <f ca="1"/>
        <v/>
      </c>
    </row>
    <row r="965" spans="2:8" x14ac:dyDescent="0.35">
      <c r="B965" t="str">
        <f ca="1"/>
        <v/>
      </c>
      <c r="C965" t="str">
        <f ca="1"/>
        <v/>
      </c>
      <c r="D965" t="str">
        <f ca="1"/>
        <v/>
      </c>
      <c r="E965" t="str">
        <f ca="1"/>
        <v/>
      </c>
      <c r="F965" t="str">
        <f ca="1"/>
        <v/>
      </c>
      <c r="G965" t="str">
        <f ca="1"/>
        <v/>
      </c>
      <c r="H965" s="17" t="str">
        <f ca="1"/>
        <v/>
      </c>
    </row>
    <row r="966" spans="2:8" x14ac:dyDescent="0.35">
      <c r="B966" t="str">
        <f ca="1"/>
        <v/>
      </c>
      <c r="C966" t="str">
        <f ca="1"/>
        <v/>
      </c>
      <c r="D966" t="str">
        <f ca="1"/>
        <v/>
      </c>
      <c r="E966" t="str">
        <f ca="1"/>
        <v/>
      </c>
      <c r="F966" t="str">
        <f ca="1"/>
        <v/>
      </c>
      <c r="G966" t="str">
        <f ca="1"/>
        <v/>
      </c>
      <c r="H966" s="17" t="str">
        <f ca="1"/>
        <v/>
      </c>
    </row>
    <row r="967" spans="2:8" x14ac:dyDescent="0.35">
      <c r="B967" t="str">
        <f ca="1"/>
        <v/>
      </c>
      <c r="C967" t="str">
        <f ca="1"/>
        <v/>
      </c>
      <c r="D967" t="str">
        <f ca="1"/>
        <v/>
      </c>
      <c r="E967" t="str">
        <f ca="1"/>
        <v/>
      </c>
      <c r="F967" t="str">
        <f ca="1"/>
        <v/>
      </c>
      <c r="G967" t="str">
        <f ca="1"/>
        <v/>
      </c>
      <c r="H967" s="17" t="str">
        <f ca="1"/>
        <v/>
      </c>
    </row>
    <row r="968" spans="2:8" x14ac:dyDescent="0.35">
      <c r="B968" t="str">
        <f ca="1"/>
        <v/>
      </c>
      <c r="C968" t="str">
        <f ca="1"/>
        <v/>
      </c>
      <c r="D968" t="str">
        <f ca="1"/>
        <v/>
      </c>
      <c r="E968" t="str">
        <f ca="1"/>
        <v/>
      </c>
      <c r="F968" t="str">
        <f ca="1"/>
        <v/>
      </c>
      <c r="G968" t="str">
        <f ca="1"/>
        <v/>
      </c>
      <c r="H968" s="17" t="str">
        <f ca="1"/>
        <v/>
      </c>
    </row>
    <row r="969" spans="2:8" x14ac:dyDescent="0.35">
      <c r="B969" t="str">
        <f ca="1"/>
        <v/>
      </c>
      <c r="C969" t="str">
        <f ca="1"/>
        <v/>
      </c>
      <c r="D969" t="str">
        <f ca="1"/>
        <v/>
      </c>
      <c r="E969" t="str">
        <f ca="1"/>
        <v/>
      </c>
      <c r="F969" t="str">
        <f ca="1"/>
        <v/>
      </c>
      <c r="G969" t="str">
        <f ca="1"/>
        <v/>
      </c>
      <c r="H969" s="17" t="str">
        <f ca="1"/>
        <v/>
      </c>
    </row>
    <row r="970" spans="2:8" x14ac:dyDescent="0.35">
      <c r="B970" t="str">
        <f ca="1"/>
        <v/>
      </c>
      <c r="C970" t="str">
        <f ca="1"/>
        <v/>
      </c>
      <c r="D970" t="str">
        <f ca="1"/>
        <v/>
      </c>
      <c r="E970" t="str">
        <f ca="1"/>
        <v/>
      </c>
      <c r="F970" t="str">
        <f ca="1"/>
        <v/>
      </c>
      <c r="G970" t="str">
        <f ca="1"/>
        <v/>
      </c>
      <c r="H970" s="17" t="str">
        <f ca="1"/>
        <v/>
      </c>
    </row>
    <row r="971" spans="2:8" x14ac:dyDescent="0.35">
      <c r="B971" t="str">
        <f ca="1"/>
        <v/>
      </c>
      <c r="C971" t="str">
        <f ca="1"/>
        <v/>
      </c>
      <c r="D971" t="str">
        <f ca="1"/>
        <v/>
      </c>
      <c r="E971" t="str">
        <f ca="1"/>
        <v/>
      </c>
      <c r="F971" t="str">
        <f ca="1"/>
        <v/>
      </c>
      <c r="G971" t="str">
        <f ca="1"/>
        <v/>
      </c>
      <c r="H971" s="17" t="str">
        <f ca="1"/>
        <v/>
      </c>
    </row>
    <row r="972" spans="2:8" x14ac:dyDescent="0.35">
      <c r="B972" t="str">
        <f ca="1"/>
        <v/>
      </c>
      <c r="C972" t="str">
        <f ca="1"/>
        <v/>
      </c>
      <c r="D972" t="str">
        <f ca="1"/>
        <v/>
      </c>
      <c r="E972" t="str">
        <f ca="1"/>
        <v/>
      </c>
      <c r="F972" t="str">
        <f ca="1"/>
        <v/>
      </c>
      <c r="G972" t="str">
        <f ca="1"/>
        <v/>
      </c>
      <c r="H972" s="17" t="str">
        <f ca="1"/>
        <v/>
      </c>
    </row>
    <row r="973" spans="2:8" x14ac:dyDescent="0.35">
      <c r="B973" t="str">
        <f ca="1"/>
        <v/>
      </c>
      <c r="C973" t="str">
        <f ca="1"/>
        <v/>
      </c>
      <c r="D973" t="str">
        <f ca="1"/>
        <v/>
      </c>
      <c r="E973" t="str">
        <f ca="1"/>
        <v/>
      </c>
      <c r="F973" t="str">
        <f ca="1"/>
        <v/>
      </c>
      <c r="G973" t="str">
        <f ca="1"/>
        <v/>
      </c>
      <c r="H973" s="17" t="str">
        <f ca="1"/>
        <v/>
      </c>
    </row>
    <row r="974" spans="2:8" x14ac:dyDescent="0.35">
      <c r="B974" t="str">
        <f ca="1"/>
        <v/>
      </c>
      <c r="C974" t="str">
        <f ca="1"/>
        <v/>
      </c>
      <c r="D974" t="str">
        <f ca="1"/>
        <v/>
      </c>
      <c r="E974" t="str">
        <f ca="1"/>
        <v/>
      </c>
      <c r="F974" t="str">
        <f ca="1"/>
        <v/>
      </c>
      <c r="G974" t="str">
        <f ca="1"/>
        <v/>
      </c>
      <c r="H974" s="17" t="str">
        <f ca="1"/>
        <v/>
      </c>
    </row>
    <row r="975" spans="2:8" x14ac:dyDescent="0.35">
      <c r="B975" t="str">
        <f ca="1"/>
        <v/>
      </c>
      <c r="C975" t="str">
        <f ca="1"/>
        <v/>
      </c>
      <c r="D975" t="str">
        <f ca="1"/>
        <v/>
      </c>
      <c r="E975" t="str">
        <f ca="1"/>
        <v/>
      </c>
      <c r="F975" t="str">
        <f ca="1"/>
        <v/>
      </c>
      <c r="G975" t="str">
        <f ca="1"/>
        <v/>
      </c>
      <c r="H975" s="17" t="str">
        <f ca="1"/>
        <v/>
      </c>
    </row>
    <row r="976" spans="2:8" x14ac:dyDescent="0.35">
      <c r="B976" t="str">
        <f ca="1"/>
        <v/>
      </c>
      <c r="C976" t="str">
        <f ca="1"/>
        <v/>
      </c>
      <c r="D976" t="str">
        <f ca="1"/>
        <v/>
      </c>
      <c r="E976" t="str">
        <f ca="1"/>
        <v/>
      </c>
      <c r="F976" t="str">
        <f ca="1"/>
        <v/>
      </c>
      <c r="G976" t="str">
        <f ca="1"/>
        <v/>
      </c>
      <c r="H976" s="17" t="str">
        <f ca="1"/>
        <v/>
      </c>
    </row>
    <row r="977" spans="2:8" x14ac:dyDescent="0.35">
      <c r="B977" t="str">
        <f ca="1"/>
        <v/>
      </c>
      <c r="C977" t="str">
        <f ca="1"/>
        <v/>
      </c>
      <c r="D977" t="str">
        <f ca="1"/>
        <v/>
      </c>
      <c r="E977" t="str">
        <f ca="1"/>
        <v/>
      </c>
      <c r="F977" t="str">
        <f ca="1"/>
        <v/>
      </c>
      <c r="G977" t="str">
        <f ca="1"/>
        <v/>
      </c>
      <c r="H977" s="17" t="str">
        <f ca="1"/>
        <v/>
      </c>
    </row>
    <row r="978" spans="2:8" x14ac:dyDescent="0.35">
      <c r="B978" t="str">
        <f ca="1"/>
        <v/>
      </c>
      <c r="C978" t="str">
        <f ca="1"/>
        <v/>
      </c>
      <c r="D978" t="str">
        <f ca="1"/>
        <v/>
      </c>
      <c r="E978" t="str">
        <f ca="1"/>
        <v/>
      </c>
      <c r="F978" t="str">
        <f ca="1"/>
        <v/>
      </c>
      <c r="G978" t="str">
        <f ca="1"/>
        <v/>
      </c>
      <c r="H978" s="17" t="str">
        <f ca="1"/>
        <v/>
      </c>
    </row>
    <row r="979" spans="2:8" x14ac:dyDescent="0.35">
      <c r="B979" t="str">
        <f ca="1"/>
        <v/>
      </c>
      <c r="C979" t="str">
        <f ca="1"/>
        <v/>
      </c>
      <c r="D979" t="str">
        <f ca="1"/>
        <v/>
      </c>
      <c r="E979" t="str">
        <f ca="1"/>
        <v/>
      </c>
      <c r="F979" t="str">
        <f ca="1"/>
        <v/>
      </c>
      <c r="G979" t="str">
        <f ca="1"/>
        <v/>
      </c>
      <c r="H979" s="17" t="str">
        <f ca="1"/>
        <v/>
      </c>
    </row>
    <row r="980" spans="2:8" x14ac:dyDescent="0.35">
      <c r="B980" t="str">
        <f ca="1"/>
        <v/>
      </c>
      <c r="C980" t="str">
        <f ca="1"/>
        <v/>
      </c>
      <c r="D980" t="str">
        <f ca="1"/>
        <v/>
      </c>
      <c r="E980" t="str">
        <f ca="1"/>
        <v/>
      </c>
      <c r="F980" t="str">
        <f ca="1"/>
        <v/>
      </c>
      <c r="G980" t="str">
        <f ca="1"/>
        <v/>
      </c>
      <c r="H980" s="17" t="str">
        <f ca="1"/>
        <v/>
      </c>
    </row>
    <row r="981" spans="2:8" x14ac:dyDescent="0.35">
      <c r="B981" t="str">
        <f ca="1"/>
        <v/>
      </c>
      <c r="C981" t="str">
        <f ca="1"/>
        <v/>
      </c>
      <c r="D981" t="str">
        <f ca="1"/>
        <v/>
      </c>
      <c r="E981" t="str">
        <f ca="1"/>
        <v/>
      </c>
      <c r="F981" t="str">
        <f ca="1"/>
        <v/>
      </c>
      <c r="G981" t="str">
        <f ca="1"/>
        <v/>
      </c>
      <c r="H981" s="17" t="str">
        <f ca="1"/>
        <v/>
      </c>
    </row>
    <row r="982" spans="2:8" x14ac:dyDescent="0.35">
      <c r="B982" t="str">
        <f ca="1"/>
        <v/>
      </c>
      <c r="C982" t="str">
        <f ca="1"/>
        <v/>
      </c>
      <c r="D982" t="str">
        <f ca="1"/>
        <v/>
      </c>
      <c r="E982" t="str">
        <f ca="1"/>
        <v/>
      </c>
      <c r="F982" t="str">
        <f ca="1"/>
        <v/>
      </c>
      <c r="G982" t="str">
        <f ca="1"/>
        <v/>
      </c>
      <c r="H982" s="17" t="str">
        <f ca="1"/>
        <v/>
      </c>
    </row>
    <row r="983" spans="2:8" x14ac:dyDescent="0.35">
      <c r="B983" t="str">
        <f ca="1"/>
        <v/>
      </c>
      <c r="C983" t="str">
        <f ca="1"/>
        <v/>
      </c>
      <c r="D983" t="str">
        <f ca="1"/>
        <v/>
      </c>
      <c r="E983" t="str">
        <f ca="1"/>
        <v/>
      </c>
      <c r="F983" t="str">
        <f ca="1"/>
        <v/>
      </c>
      <c r="G983" t="str">
        <f ca="1"/>
        <v/>
      </c>
      <c r="H983" s="17" t="str">
        <f ca="1"/>
        <v/>
      </c>
    </row>
    <row r="984" spans="2:8" x14ac:dyDescent="0.35">
      <c r="B984" t="str">
        <f ca="1"/>
        <v/>
      </c>
      <c r="C984" t="str">
        <f ca="1"/>
        <v/>
      </c>
      <c r="D984" t="str">
        <f ca="1"/>
        <v/>
      </c>
      <c r="E984" t="str">
        <f ca="1"/>
        <v/>
      </c>
      <c r="F984" t="str">
        <f ca="1"/>
        <v/>
      </c>
      <c r="G984" t="str">
        <f ca="1"/>
        <v/>
      </c>
      <c r="H984" s="17" t="str">
        <f ca="1"/>
        <v/>
      </c>
    </row>
    <row r="985" spans="2:8" x14ac:dyDescent="0.35">
      <c r="B985" t="str">
        <f ca="1"/>
        <v/>
      </c>
      <c r="C985" t="str">
        <f ca="1"/>
        <v/>
      </c>
      <c r="D985" t="str">
        <f ca="1"/>
        <v/>
      </c>
      <c r="E985" t="str">
        <f ca="1"/>
        <v/>
      </c>
      <c r="F985" t="str">
        <f ca="1"/>
        <v/>
      </c>
      <c r="G985" t="str">
        <f ca="1"/>
        <v/>
      </c>
      <c r="H985" s="17" t="str">
        <f ca="1"/>
        <v/>
      </c>
    </row>
    <row r="986" spans="2:8" x14ac:dyDescent="0.35">
      <c r="B986" t="str">
        <f ca="1"/>
        <v/>
      </c>
      <c r="C986" t="str">
        <f ca="1"/>
        <v/>
      </c>
      <c r="D986" t="str">
        <f ca="1"/>
        <v/>
      </c>
      <c r="E986" t="str">
        <f ca="1"/>
        <v/>
      </c>
      <c r="F986" t="str">
        <f ca="1"/>
        <v/>
      </c>
      <c r="G986" t="str">
        <f ca="1"/>
        <v/>
      </c>
      <c r="H986" s="17" t="str">
        <f ca="1"/>
        <v/>
      </c>
    </row>
    <row r="987" spans="2:8" x14ac:dyDescent="0.35">
      <c r="B987" t="str">
        <f ca="1"/>
        <v/>
      </c>
      <c r="C987" t="str">
        <f ca="1"/>
        <v/>
      </c>
      <c r="D987" t="str">
        <f ca="1"/>
        <v/>
      </c>
      <c r="E987" t="str">
        <f ca="1"/>
        <v/>
      </c>
      <c r="F987" t="str">
        <f ca="1"/>
        <v/>
      </c>
      <c r="G987" t="str">
        <f ca="1"/>
        <v/>
      </c>
      <c r="H987" s="17" t="str">
        <f ca="1"/>
        <v/>
      </c>
    </row>
    <row r="988" spans="2:8" x14ac:dyDescent="0.35">
      <c r="B988" t="str">
        <f ca="1"/>
        <v/>
      </c>
      <c r="C988" t="str">
        <f ca="1"/>
        <v/>
      </c>
      <c r="D988" t="str">
        <f ca="1"/>
        <v/>
      </c>
      <c r="E988" t="str">
        <f ca="1"/>
        <v/>
      </c>
      <c r="F988" t="str">
        <f ca="1"/>
        <v/>
      </c>
      <c r="G988" t="str">
        <f ca="1"/>
        <v/>
      </c>
      <c r="H988" s="17" t="str">
        <f ca="1"/>
        <v/>
      </c>
    </row>
    <row r="989" spans="2:8" x14ac:dyDescent="0.35">
      <c r="B989" t="str">
        <f ca="1"/>
        <v/>
      </c>
      <c r="C989" t="str">
        <f ca="1"/>
        <v/>
      </c>
      <c r="D989" t="str">
        <f ca="1"/>
        <v/>
      </c>
      <c r="E989" t="str">
        <f ca="1"/>
        <v/>
      </c>
      <c r="F989" t="str">
        <f ca="1"/>
        <v/>
      </c>
      <c r="G989" t="str">
        <f ca="1"/>
        <v/>
      </c>
      <c r="H989" s="17" t="str">
        <f ca="1"/>
        <v/>
      </c>
    </row>
    <row r="990" spans="2:8" x14ac:dyDescent="0.35">
      <c r="B990" t="str">
        <f ca="1"/>
        <v/>
      </c>
      <c r="C990" t="str">
        <f ca="1"/>
        <v/>
      </c>
      <c r="D990" t="str">
        <f ca="1"/>
        <v/>
      </c>
      <c r="E990" t="str">
        <f ca="1"/>
        <v/>
      </c>
      <c r="F990" t="str">
        <f ca="1"/>
        <v/>
      </c>
      <c r="G990" t="str">
        <f ca="1"/>
        <v/>
      </c>
      <c r="H990" s="17" t="str">
        <f ca="1"/>
        <v/>
      </c>
    </row>
    <row r="991" spans="2:8" x14ac:dyDescent="0.35">
      <c r="B991" t="str">
        <f ca="1"/>
        <v/>
      </c>
      <c r="C991" t="str">
        <f ca="1"/>
        <v/>
      </c>
      <c r="D991" t="str">
        <f ca="1"/>
        <v/>
      </c>
      <c r="E991" t="str">
        <f ca="1"/>
        <v/>
      </c>
      <c r="F991" t="str">
        <f ca="1"/>
        <v/>
      </c>
      <c r="G991" t="str">
        <f ca="1"/>
        <v/>
      </c>
      <c r="H991" s="17" t="str">
        <f ca="1"/>
        <v/>
      </c>
    </row>
    <row r="992" spans="2:8" x14ac:dyDescent="0.35">
      <c r="B992" t="str">
        <f ca="1"/>
        <v/>
      </c>
      <c r="C992" t="str">
        <f ca="1"/>
        <v/>
      </c>
      <c r="D992" t="str">
        <f ca="1"/>
        <v/>
      </c>
      <c r="E992" t="str">
        <f ca="1"/>
        <v/>
      </c>
      <c r="F992" t="str">
        <f ca="1"/>
        <v/>
      </c>
      <c r="G992" t="str">
        <f ca="1"/>
        <v/>
      </c>
      <c r="H992" s="17" t="str">
        <f ca="1"/>
        <v/>
      </c>
    </row>
    <row r="993" spans="2:8" x14ac:dyDescent="0.35">
      <c r="B993" t="str">
        <f ca="1"/>
        <v/>
      </c>
      <c r="C993" t="str">
        <f ca="1"/>
        <v/>
      </c>
      <c r="D993" t="str">
        <f ca="1"/>
        <v/>
      </c>
      <c r="E993" t="str">
        <f ca="1"/>
        <v/>
      </c>
      <c r="F993" t="str">
        <f ca="1"/>
        <v/>
      </c>
      <c r="G993" t="str">
        <f ca="1"/>
        <v/>
      </c>
      <c r="H993" s="17" t="str">
        <f ca="1"/>
        <v/>
      </c>
    </row>
    <row r="994" spans="2:8" x14ac:dyDescent="0.35">
      <c r="B994" t="str">
        <f ca="1"/>
        <v/>
      </c>
      <c r="C994" t="str">
        <f ca="1"/>
        <v/>
      </c>
      <c r="D994" t="str">
        <f ca="1"/>
        <v/>
      </c>
      <c r="E994" t="str">
        <f ca="1"/>
        <v/>
      </c>
      <c r="F994" t="str">
        <f ca="1"/>
        <v/>
      </c>
      <c r="G994" t="str">
        <f ca="1"/>
        <v/>
      </c>
      <c r="H994" s="17" t="str">
        <f ca="1"/>
        <v/>
      </c>
    </row>
    <row r="995" spans="2:8" x14ac:dyDescent="0.35">
      <c r="B995" t="str">
        <f ca="1"/>
        <v/>
      </c>
      <c r="C995" t="str">
        <f ca="1"/>
        <v/>
      </c>
      <c r="D995" t="str">
        <f ca="1"/>
        <v/>
      </c>
      <c r="E995" t="str">
        <f ca="1"/>
        <v/>
      </c>
      <c r="F995" t="str">
        <f ca="1"/>
        <v/>
      </c>
      <c r="G995" t="str">
        <f ca="1"/>
        <v/>
      </c>
      <c r="H995" s="17" t="str">
        <f ca="1"/>
        <v/>
      </c>
    </row>
    <row r="996" spans="2:8" x14ac:dyDescent="0.35">
      <c r="B996" t="str">
        <f ca="1"/>
        <v/>
      </c>
      <c r="C996" t="str">
        <f ca="1"/>
        <v/>
      </c>
      <c r="D996" t="str">
        <f ca="1"/>
        <v/>
      </c>
      <c r="E996" t="str">
        <f ca="1"/>
        <v/>
      </c>
      <c r="F996" t="str">
        <f ca="1"/>
        <v/>
      </c>
      <c r="G996" t="str">
        <f ca="1"/>
        <v/>
      </c>
      <c r="H996" s="17" t="str">
        <f ca="1"/>
        <v/>
      </c>
    </row>
    <row r="997" spans="2:8" x14ac:dyDescent="0.35">
      <c r="B997" t="str">
        <f ca="1"/>
        <v/>
      </c>
      <c r="C997" t="str">
        <f ca="1"/>
        <v/>
      </c>
      <c r="D997" t="str">
        <f ca="1"/>
        <v/>
      </c>
      <c r="E997" t="str">
        <f ca="1"/>
        <v/>
      </c>
      <c r="F997" t="str">
        <f ca="1"/>
        <v/>
      </c>
      <c r="G997" t="str">
        <f ca="1"/>
        <v/>
      </c>
      <c r="H997" s="17" t="str">
        <f ca="1"/>
        <v/>
      </c>
    </row>
    <row r="998" spans="2:8" x14ac:dyDescent="0.35">
      <c r="B998" t="str">
        <f ca="1"/>
        <v/>
      </c>
      <c r="C998" t="str">
        <f ca="1"/>
        <v/>
      </c>
      <c r="D998" t="str">
        <f ca="1"/>
        <v/>
      </c>
      <c r="E998" t="str">
        <f ca="1"/>
        <v/>
      </c>
      <c r="F998" t="str">
        <f ca="1"/>
        <v/>
      </c>
      <c r="G998" t="str">
        <f ca="1"/>
        <v/>
      </c>
      <c r="H998" s="17" t="str">
        <f ca="1"/>
        <v/>
      </c>
    </row>
    <row r="999" spans="2:8" x14ac:dyDescent="0.35">
      <c r="B999" t="str">
        <f ca="1"/>
        <v/>
      </c>
      <c r="C999" t="str">
        <f ca="1"/>
        <v/>
      </c>
      <c r="D999" t="str">
        <f ca="1"/>
        <v/>
      </c>
      <c r="E999" t="str">
        <f ca="1"/>
        <v/>
      </c>
      <c r="F999" t="str">
        <f ca="1"/>
        <v/>
      </c>
      <c r="G999" t="str">
        <f ca="1"/>
        <v/>
      </c>
      <c r="H999" s="17" t="str">
        <f ca="1"/>
        <v/>
      </c>
    </row>
    <row r="1000" spans="2:8" x14ac:dyDescent="0.35">
      <c r="B1000" t="str">
        <f ca="1"/>
        <v/>
      </c>
      <c r="C1000" t="str">
        <f ca="1"/>
        <v/>
      </c>
      <c r="D1000" t="str">
        <f ca="1"/>
        <v/>
      </c>
      <c r="E1000" t="str">
        <f ca="1"/>
        <v/>
      </c>
      <c r="F1000" t="str">
        <f ca="1"/>
        <v/>
      </c>
      <c r="G1000" t="str">
        <f ca="1"/>
        <v/>
      </c>
      <c r="H1000" s="17" t="str">
        <f ca="1"/>
        <v/>
      </c>
    </row>
    <row r="1001" spans="2:8" x14ac:dyDescent="0.35">
      <c r="B1001" t="str">
        <f ca="1"/>
        <v/>
      </c>
      <c r="C1001" t="str">
        <f ca="1"/>
        <v/>
      </c>
      <c r="D1001" t="str">
        <f ca="1"/>
        <v/>
      </c>
      <c r="E1001" t="str">
        <f ca="1"/>
        <v/>
      </c>
      <c r="F1001" t="str">
        <f ca="1"/>
        <v/>
      </c>
      <c r="G1001" t="str">
        <f ca="1"/>
        <v/>
      </c>
      <c r="H1001" s="17" t="str">
        <f ca="1"/>
        <v/>
      </c>
    </row>
    <row r="1002" spans="2:8" x14ac:dyDescent="0.35">
      <c r="B1002" t="str">
        <f ca="1"/>
        <v/>
      </c>
      <c r="C1002" t="str">
        <f ca="1"/>
        <v/>
      </c>
      <c r="D1002" t="str">
        <f ca="1"/>
        <v/>
      </c>
      <c r="E1002" t="str">
        <f ca="1"/>
        <v/>
      </c>
      <c r="F1002" t="str">
        <f ca="1"/>
        <v/>
      </c>
      <c r="G1002" t="str">
        <f ca="1"/>
        <v/>
      </c>
      <c r="H1002" s="17" t="str">
        <f ca="1"/>
        <v/>
      </c>
    </row>
    <row r="1003" spans="2:8" x14ac:dyDescent="0.35">
      <c r="B1003" t="str">
        <f ca="1"/>
        <v/>
      </c>
      <c r="C1003" t="str">
        <f ca="1"/>
        <v/>
      </c>
      <c r="D1003" t="str">
        <f ca="1"/>
        <v/>
      </c>
      <c r="E1003" t="str">
        <f ca="1"/>
        <v/>
      </c>
      <c r="F1003" t="str">
        <f ca="1"/>
        <v/>
      </c>
      <c r="G1003" t="str">
        <f ca="1"/>
        <v/>
      </c>
      <c r="H1003" s="17" t="str">
        <f ca="1"/>
        <v/>
      </c>
    </row>
    <row r="1004" spans="2:8" x14ac:dyDescent="0.35">
      <c r="B1004" t="str">
        <f ca="1"/>
        <v/>
      </c>
      <c r="C1004" t="str">
        <f ca="1"/>
        <v/>
      </c>
      <c r="D1004" t="str">
        <f ca="1"/>
        <v/>
      </c>
      <c r="E1004" t="str">
        <f ca="1"/>
        <v/>
      </c>
      <c r="F1004" t="str">
        <f ca="1"/>
        <v/>
      </c>
      <c r="G1004" t="str">
        <f ca="1"/>
        <v/>
      </c>
      <c r="H1004" s="17" t="str">
        <f ca="1"/>
        <v/>
      </c>
    </row>
    <row r="1005" spans="2:8" x14ac:dyDescent="0.35">
      <c r="B1005" t="str">
        <f ca="1"/>
        <v/>
      </c>
      <c r="C1005" t="str">
        <f ca="1"/>
        <v/>
      </c>
      <c r="D1005" t="str">
        <f ca="1"/>
        <v/>
      </c>
      <c r="E1005" t="str">
        <f ca="1"/>
        <v/>
      </c>
      <c r="F1005" t="str">
        <f ca="1"/>
        <v/>
      </c>
      <c r="G1005" t="str">
        <f ca="1"/>
        <v/>
      </c>
      <c r="H1005" s="17" t="str">
        <f ca="1"/>
        <v/>
      </c>
    </row>
    <row r="1006" spans="2:8" x14ac:dyDescent="0.35">
      <c r="B1006" t="str">
        <f ca="1"/>
        <v/>
      </c>
      <c r="C1006" t="str">
        <f ca="1"/>
        <v/>
      </c>
      <c r="D1006" t="str">
        <f ca="1"/>
        <v/>
      </c>
      <c r="E1006" t="str">
        <f ca="1"/>
        <v/>
      </c>
      <c r="F1006" t="str">
        <f ca="1"/>
        <v/>
      </c>
      <c r="G1006" t="str">
        <f ca="1"/>
        <v/>
      </c>
      <c r="H1006" s="17" t="str">
        <f ca="1"/>
        <v/>
      </c>
    </row>
    <row r="1007" spans="2:8" x14ac:dyDescent="0.35">
      <c r="B1007" t="str">
        <f ca="1"/>
        <v/>
      </c>
      <c r="C1007" t="str">
        <f ca="1"/>
        <v/>
      </c>
      <c r="D1007" t="str">
        <f ca="1"/>
        <v/>
      </c>
      <c r="E1007" t="str">
        <f ca="1"/>
        <v/>
      </c>
      <c r="F1007" t="str">
        <f ca="1"/>
        <v/>
      </c>
      <c r="G1007" t="str">
        <f ca="1"/>
        <v/>
      </c>
      <c r="H1007" s="17" t="str">
        <f ca="1"/>
        <v/>
      </c>
    </row>
    <row r="1008" spans="2:8" x14ac:dyDescent="0.35">
      <c r="B1008" t="str">
        <f ca="1"/>
        <v/>
      </c>
      <c r="C1008" t="str">
        <f ca="1"/>
        <v/>
      </c>
      <c r="D1008" t="str">
        <f ca="1"/>
        <v/>
      </c>
      <c r="E1008" t="str">
        <f ca="1"/>
        <v/>
      </c>
      <c r="F1008" t="str">
        <f ca="1"/>
        <v/>
      </c>
      <c r="G1008" t="str">
        <f ca="1"/>
        <v/>
      </c>
      <c r="H1008" s="17" t="str">
        <f ca="1"/>
        <v/>
      </c>
    </row>
    <row r="1009" spans="2:8" x14ac:dyDescent="0.35">
      <c r="B1009" t="str">
        <f ca="1"/>
        <v/>
      </c>
      <c r="C1009" t="str">
        <f ca="1"/>
        <v/>
      </c>
      <c r="D1009" t="str">
        <f ca="1"/>
        <v/>
      </c>
      <c r="E1009" t="str">
        <f ca="1"/>
        <v/>
      </c>
      <c r="F1009" t="str">
        <f ca="1"/>
        <v/>
      </c>
      <c r="G1009" t="str">
        <f ca="1"/>
        <v/>
      </c>
      <c r="H1009" s="17" t="str">
        <f ca="1"/>
        <v/>
      </c>
    </row>
    <row r="1010" spans="2:8" x14ac:dyDescent="0.35">
      <c r="B1010" t="str">
        <f ca="1"/>
        <v/>
      </c>
      <c r="C1010" t="str">
        <f ca="1"/>
        <v/>
      </c>
      <c r="D1010" t="str">
        <f ca="1"/>
        <v/>
      </c>
      <c r="E1010" t="str">
        <f ca="1"/>
        <v/>
      </c>
      <c r="F1010" t="str">
        <f ca="1"/>
        <v/>
      </c>
      <c r="G1010" t="str">
        <f ca="1"/>
        <v/>
      </c>
      <c r="H1010" s="17" t="str">
        <f ca="1"/>
        <v/>
      </c>
    </row>
    <row r="1011" spans="2:8" x14ac:dyDescent="0.35">
      <c r="B1011" t="str">
        <f ca="1"/>
        <v/>
      </c>
      <c r="C1011" t="str">
        <f ca="1"/>
        <v/>
      </c>
      <c r="D1011" t="str">
        <f ca="1"/>
        <v/>
      </c>
      <c r="E1011" t="str">
        <f ca="1"/>
        <v/>
      </c>
      <c r="F1011" t="str">
        <f ca="1"/>
        <v/>
      </c>
      <c r="G1011" t="str">
        <f ca="1"/>
        <v/>
      </c>
      <c r="H1011" s="17" t="str">
        <f ca="1"/>
        <v/>
      </c>
    </row>
    <row r="1012" spans="2:8" x14ac:dyDescent="0.35">
      <c r="B1012" t="str">
        <f ca="1"/>
        <v/>
      </c>
      <c r="C1012" t="str">
        <f ca="1"/>
        <v/>
      </c>
      <c r="D1012" t="str">
        <f ca="1"/>
        <v/>
      </c>
      <c r="E1012" t="str">
        <f ca="1"/>
        <v/>
      </c>
      <c r="F1012" t="str">
        <f ca="1"/>
        <v/>
      </c>
      <c r="G1012" t="str">
        <f ca="1"/>
        <v/>
      </c>
      <c r="H1012" s="17" t="str">
        <f ca="1"/>
        <v/>
      </c>
    </row>
    <row r="1013" spans="2:8" x14ac:dyDescent="0.35">
      <c r="B1013" t="str">
        <f ca="1"/>
        <v/>
      </c>
      <c r="C1013" t="str">
        <f ca="1"/>
        <v/>
      </c>
      <c r="D1013" t="str">
        <f ca="1"/>
        <v/>
      </c>
      <c r="E1013" t="str">
        <f ca="1"/>
        <v/>
      </c>
      <c r="F1013" t="str">
        <f ca="1"/>
        <v/>
      </c>
      <c r="G1013" t="str">
        <f ca="1"/>
        <v/>
      </c>
      <c r="H1013" s="17" t="str">
        <f ca="1"/>
        <v/>
      </c>
    </row>
    <row r="1014" spans="2:8" x14ac:dyDescent="0.35">
      <c r="B1014" t="str">
        <f ca="1"/>
        <v/>
      </c>
      <c r="C1014" t="str">
        <f ca="1"/>
        <v/>
      </c>
      <c r="D1014" t="str">
        <f ca="1"/>
        <v/>
      </c>
      <c r="E1014" t="str">
        <f ca="1"/>
        <v/>
      </c>
      <c r="F1014" t="str">
        <f ca="1"/>
        <v/>
      </c>
      <c r="G1014" t="str">
        <f ca="1"/>
        <v/>
      </c>
      <c r="H1014" s="17" t="str">
        <f ca="1"/>
        <v/>
      </c>
    </row>
    <row r="1015" spans="2:8" x14ac:dyDescent="0.35">
      <c r="B1015" t="str">
        <f ca="1"/>
        <v/>
      </c>
      <c r="C1015" t="str">
        <f ca="1"/>
        <v/>
      </c>
      <c r="D1015" t="str">
        <f ca="1"/>
        <v/>
      </c>
      <c r="E1015" t="str">
        <f ca="1"/>
        <v/>
      </c>
      <c r="F1015" t="str">
        <f ca="1"/>
        <v/>
      </c>
      <c r="G1015" t="str">
        <f ca="1"/>
        <v/>
      </c>
      <c r="H1015" s="17" t="str">
        <f ca="1"/>
        <v/>
      </c>
    </row>
    <row r="1016" spans="2:8" x14ac:dyDescent="0.35">
      <c r="B1016" t="str">
        <f ca="1"/>
        <v/>
      </c>
      <c r="C1016" t="str">
        <f ca="1"/>
        <v/>
      </c>
      <c r="D1016" t="str">
        <f ca="1"/>
        <v/>
      </c>
      <c r="E1016" t="str">
        <f ca="1"/>
        <v/>
      </c>
      <c r="F1016" t="str">
        <f ca="1"/>
        <v/>
      </c>
      <c r="G1016" t="str">
        <f ca="1"/>
        <v/>
      </c>
      <c r="H1016" s="17" t="str">
        <f ca="1"/>
        <v/>
      </c>
    </row>
    <row r="1017" spans="2:8" x14ac:dyDescent="0.35">
      <c r="B1017" t="str">
        <f ca="1"/>
        <v/>
      </c>
      <c r="C1017" t="str">
        <f ca="1"/>
        <v/>
      </c>
      <c r="D1017" t="str">
        <f ca="1"/>
        <v/>
      </c>
      <c r="E1017" t="str">
        <f ca="1"/>
        <v/>
      </c>
      <c r="F1017" t="str">
        <f ca="1"/>
        <v/>
      </c>
      <c r="G1017" t="str">
        <f ca="1"/>
        <v/>
      </c>
      <c r="H1017" s="17" t="str">
        <f ca="1"/>
        <v/>
      </c>
    </row>
    <row r="1018" spans="2:8" x14ac:dyDescent="0.35">
      <c r="B1018" t="str">
        <f ca="1"/>
        <v/>
      </c>
      <c r="C1018" t="str">
        <f ca="1"/>
        <v/>
      </c>
      <c r="D1018" t="str">
        <f ca="1"/>
        <v/>
      </c>
      <c r="E1018" t="str">
        <f ca="1"/>
        <v/>
      </c>
      <c r="F1018" t="str">
        <f ca="1"/>
        <v/>
      </c>
      <c r="G1018" t="str">
        <f ca="1"/>
        <v/>
      </c>
      <c r="H1018" s="17" t="str">
        <f ca="1"/>
        <v/>
      </c>
    </row>
    <row r="1019" spans="2:8" x14ac:dyDescent="0.35">
      <c r="B1019" t="str">
        <f ca="1"/>
        <v/>
      </c>
      <c r="C1019" t="str">
        <f ca="1"/>
        <v/>
      </c>
      <c r="D1019" t="str">
        <f ca="1"/>
        <v/>
      </c>
      <c r="E1019" t="str">
        <f ca="1"/>
        <v/>
      </c>
      <c r="F1019" t="str">
        <f ca="1"/>
        <v/>
      </c>
      <c r="G1019" t="str">
        <f ca="1"/>
        <v/>
      </c>
      <c r="H1019" s="17" t="str">
        <f ca="1"/>
        <v/>
      </c>
    </row>
    <row r="1020" spans="2:8" x14ac:dyDescent="0.35">
      <c r="B1020" t="str">
        <f ca="1"/>
        <v/>
      </c>
      <c r="C1020" t="str">
        <f ca="1"/>
        <v/>
      </c>
      <c r="D1020" t="str">
        <f ca="1"/>
        <v/>
      </c>
      <c r="E1020" t="str">
        <f ca="1"/>
        <v/>
      </c>
      <c r="F1020" t="str">
        <f ca="1"/>
        <v/>
      </c>
      <c r="G1020" t="str">
        <f ca="1"/>
        <v/>
      </c>
      <c r="H1020" s="17" t="str">
        <f ca="1"/>
        <v/>
      </c>
    </row>
    <row r="1021" spans="2:8" x14ac:dyDescent="0.35">
      <c r="B1021" t="str">
        <f ca="1"/>
        <v/>
      </c>
      <c r="C1021" t="str">
        <f ca="1"/>
        <v/>
      </c>
      <c r="D1021" t="str">
        <f ca="1"/>
        <v/>
      </c>
      <c r="E1021" t="str">
        <f ca="1"/>
        <v/>
      </c>
      <c r="F1021" t="str">
        <f ca="1"/>
        <v/>
      </c>
      <c r="G1021" t="str">
        <f ca="1"/>
        <v/>
      </c>
      <c r="H1021" s="17" t="str">
        <f ca="1"/>
        <v/>
      </c>
    </row>
    <row r="1022" spans="2:8" x14ac:dyDescent="0.35">
      <c r="B1022" t="str">
        <f ca="1"/>
        <v/>
      </c>
      <c r="C1022" t="str">
        <f ca="1"/>
        <v/>
      </c>
      <c r="D1022" t="str">
        <f ca="1"/>
        <v/>
      </c>
      <c r="E1022" t="str">
        <f ca="1"/>
        <v/>
      </c>
      <c r="F1022" t="str">
        <f ca="1"/>
        <v/>
      </c>
      <c r="G1022" t="str">
        <f ca="1"/>
        <v/>
      </c>
      <c r="H1022" s="17" t="str">
        <f ca="1"/>
        <v/>
      </c>
    </row>
    <row r="1023" spans="2:8" x14ac:dyDescent="0.35">
      <c r="B1023" t="str">
        <f ca="1"/>
        <v/>
      </c>
      <c r="C1023" t="str">
        <f ca="1"/>
        <v/>
      </c>
      <c r="D1023" t="str">
        <f ca="1"/>
        <v/>
      </c>
      <c r="E1023" t="str">
        <f ca="1"/>
        <v/>
      </c>
      <c r="F1023" t="str">
        <f ca="1"/>
        <v/>
      </c>
      <c r="G1023" t="str">
        <f ca="1"/>
        <v/>
      </c>
      <c r="H1023" s="17" t="str">
        <f ca="1"/>
        <v/>
      </c>
    </row>
    <row r="1024" spans="2:8" x14ac:dyDescent="0.35">
      <c r="B1024" t="str">
        <f ca="1"/>
        <v/>
      </c>
      <c r="C1024" t="str">
        <f ca="1"/>
        <v/>
      </c>
      <c r="D1024" t="str">
        <f ca="1"/>
        <v/>
      </c>
      <c r="E1024" t="str">
        <f ca="1"/>
        <v/>
      </c>
      <c r="F1024" t="str">
        <f ca="1"/>
        <v/>
      </c>
      <c r="G1024" t="str">
        <f ca="1"/>
        <v/>
      </c>
      <c r="H1024" s="17" t="str">
        <f ca="1"/>
        <v/>
      </c>
    </row>
    <row r="1025" spans="2:8" x14ac:dyDescent="0.35">
      <c r="B1025" t="str">
        <f ca="1"/>
        <v/>
      </c>
      <c r="C1025" t="str">
        <f ca="1"/>
        <v/>
      </c>
      <c r="D1025" t="str">
        <f ca="1"/>
        <v/>
      </c>
      <c r="E1025" t="str">
        <f ca="1"/>
        <v/>
      </c>
      <c r="F1025" t="str">
        <f ca="1"/>
        <v/>
      </c>
      <c r="G1025" t="str">
        <f ca="1"/>
        <v/>
      </c>
      <c r="H1025" s="17" t="str">
        <f ca="1"/>
        <v/>
      </c>
    </row>
    <row r="1026" spans="2:8" x14ac:dyDescent="0.35">
      <c r="B1026" t="str">
        <f ca="1"/>
        <v/>
      </c>
      <c r="C1026" t="str">
        <f ca="1"/>
        <v/>
      </c>
      <c r="D1026" t="str">
        <f ca="1"/>
        <v/>
      </c>
      <c r="E1026" t="str">
        <f ca="1"/>
        <v/>
      </c>
      <c r="F1026" t="str">
        <f ca="1"/>
        <v/>
      </c>
      <c r="G1026" t="str">
        <f ca="1"/>
        <v/>
      </c>
      <c r="H1026" s="17" t="str">
        <f ca="1"/>
        <v/>
      </c>
    </row>
    <row r="1027" spans="2:8" x14ac:dyDescent="0.35">
      <c r="B1027" t="str">
        <f ca="1"/>
        <v/>
      </c>
      <c r="C1027" t="str">
        <f ca="1"/>
        <v/>
      </c>
      <c r="D1027" t="str">
        <f ca="1"/>
        <v/>
      </c>
      <c r="E1027" t="str">
        <f ca="1"/>
        <v/>
      </c>
      <c r="F1027" t="str">
        <f ca="1"/>
        <v/>
      </c>
      <c r="G1027" t="str">
        <f ca="1"/>
        <v/>
      </c>
      <c r="H1027" s="17" t="str">
        <f ca="1"/>
        <v/>
      </c>
    </row>
    <row r="1028" spans="2:8" x14ac:dyDescent="0.35">
      <c r="B1028" t="str">
        <f ca="1"/>
        <v/>
      </c>
      <c r="C1028" t="str">
        <f ca="1"/>
        <v/>
      </c>
      <c r="D1028" t="str">
        <f ca="1"/>
        <v/>
      </c>
      <c r="E1028" t="str">
        <f ca="1"/>
        <v/>
      </c>
      <c r="F1028" t="str">
        <f ca="1"/>
        <v/>
      </c>
      <c r="G1028" t="str">
        <f ca="1"/>
        <v/>
      </c>
      <c r="H1028" s="17" t="str">
        <f ca="1"/>
        <v/>
      </c>
    </row>
    <row r="1029" spans="2:8" x14ac:dyDescent="0.35">
      <c r="B1029" t="str">
        <f ca="1"/>
        <v/>
      </c>
      <c r="C1029" t="str">
        <f ca="1"/>
        <v/>
      </c>
      <c r="D1029" t="str">
        <f ca="1"/>
        <v/>
      </c>
      <c r="E1029" t="str">
        <f ca="1"/>
        <v/>
      </c>
      <c r="F1029" t="str">
        <f ca="1"/>
        <v/>
      </c>
      <c r="G1029" t="str">
        <f ca="1"/>
        <v/>
      </c>
      <c r="H1029" s="17" t="str">
        <f ca="1"/>
        <v/>
      </c>
    </row>
    <row r="1030" spans="2:8" x14ac:dyDescent="0.35">
      <c r="B1030" t="str">
        <f ca="1"/>
        <v/>
      </c>
      <c r="C1030" t="str">
        <f ca="1"/>
        <v/>
      </c>
      <c r="D1030" t="str">
        <f ca="1"/>
        <v/>
      </c>
      <c r="E1030" t="str">
        <f ca="1"/>
        <v/>
      </c>
      <c r="F1030" t="str">
        <f ca="1"/>
        <v/>
      </c>
      <c r="G1030" t="str">
        <f ca="1"/>
        <v/>
      </c>
      <c r="H1030" s="17" t="str">
        <f ca="1"/>
        <v/>
      </c>
    </row>
    <row r="1031" spans="2:8" x14ac:dyDescent="0.35">
      <c r="B1031" t="str">
        <f ca="1"/>
        <v/>
      </c>
      <c r="C1031" t="str">
        <f ca="1"/>
        <v/>
      </c>
      <c r="D1031" t="str">
        <f ca="1"/>
        <v/>
      </c>
      <c r="E1031" t="str">
        <f ca="1"/>
        <v/>
      </c>
      <c r="F1031" t="str">
        <f ca="1"/>
        <v/>
      </c>
      <c r="G1031" t="str">
        <f ca="1"/>
        <v/>
      </c>
      <c r="H1031" s="17" t="str">
        <f ca="1"/>
        <v/>
      </c>
    </row>
    <row r="1032" spans="2:8" x14ac:dyDescent="0.35">
      <c r="B1032" t="str">
        <f ca="1"/>
        <v/>
      </c>
      <c r="C1032" t="str">
        <f ca="1"/>
        <v/>
      </c>
      <c r="D1032" t="str">
        <f ca="1"/>
        <v/>
      </c>
      <c r="E1032" t="str">
        <f ca="1"/>
        <v/>
      </c>
      <c r="F1032" t="str">
        <f ca="1"/>
        <v/>
      </c>
      <c r="G1032" t="str">
        <f ca="1"/>
        <v/>
      </c>
      <c r="H1032" s="17" t="str">
        <f ca="1"/>
        <v/>
      </c>
    </row>
    <row r="1033" spans="2:8" x14ac:dyDescent="0.35">
      <c r="B1033" t="str">
        <f ca="1"/>
        <v/>
      </c>
      <c r="C1033" t="str">
        <f ca="1"/>
        <v/>
      </c>
      <c r="D1033" t="str">
        <f ca="1"/>
        <v/>
      </c>
      <c r="E1033" t="str">
        <f ca="1"/>
        <v/>
      </c>
      <c r="F1033" t="str">
        <f ca="1"/>
        <v/>
      </c>
      <c r="G1033" t="str">
        <f ca="1"/>
        <v/>
      </c>
      <c r="H1033" s="17" t="str">
        <f ca="1"/>
        <v/>
      </c>
    </row>
    <row r="1034" spans="2:8" x14ac:dyDescent="0.35">
      <c r="B1034" t="str">
        <f ca="1"/>
        <v/>
      </c>
      <c r="C1034" t="str">
        <f ca="1"/>
        <v/>
      </c>
      <c r="D1034" t="str">
        <f ca="1"/>
        <v/>
      </c>
      <c r="E1034" t="str">
        <f ca="1"/>
        <v/>
      </c>
      <c r="F1034" t="str">
        <f ca="1"/>
        <v/>
      </c>
      <c r="G1034" t="str">
        <f ca="1"/>
        <v/>
      </c>
      <c r="H1034" s="17" t="str">
        <f ca="1"/>
        <v/>
      </c>
    </row>
    <row r="1035" spans="2:8" x14ac:dyDescent="0.35">
      <c r="B1035" t="str">
        <f ca="1"/>
        <v/>
      </c>
      <c r="C1035" t="str">
        <f ca="1"/>
        <v/>
      </c>
      <c r="D1035" t="str">
        <f ca="1"/>
        <v/>
      </c>
      <c r="E1035" t="str">
        <f ca="1"/>
        <v/>
      </c>
      <c r="F1035" t="str">
        <f ca="1"/>
        <v/>
      </c>
      <c r="G1035" t="str">
        <f ca="1"/>
        <v/>
      </c>
      <c r="H1035" s="17" t="str">
        <f ca="1"/>
        <v/>
      </c>
    </row>
    <row r="1036" spans="2:8" x14ac:dyDescent="0.35">
      <c r="B1036" t="str">
        <f ca="1"/>
        <v/>
      </c>
      <c r="C1036" t="str">
        <f ca="1"/>
        <v/>
      </c>
      <c r="D1036" t="str">
        <f ca="1"/>
        <v/>
      </c>
      <c r="E1036" t="str">
        <f ca="1"/>
        <v/>
      </c>
      <c r="F1036" t="str">
        <f ca="1"/>
        <v/>
      </c>
      <c r="G1036" t="str">
        <f ca="1"/>
        <v/>
      </c>
      <c r="H1036" s="17" t="str">
        <f ca="1"/>
        <v/>
      </c>
    </row>
    <row r="1037" spans="2:8" x14ac:dyDescent="0.35">
      <c r="B1037" t="str">
        <f ca="1"/>
        <v/>
      </c>
      <c r="C1037" t="str">
        <f ca="1"/>
        <v/>
      </c>
      <c r="D1037" t="str">
        <f ca="1"/>
        <v/>
      </c>
      <c r="E1037" t="str">
        <f ca="1"/>
        <v/>
      </c>
      <c r="F1037" t="str">
        <f ca="1"/>
        <v/>
      </c>
      <c r="G1037" t="str">
        <f ca="1"/>
        <v/>
      </c>
      <c r="H1037" s="17" t="str">
        <f ca="1"/>
        <v/>
      </c>
    </row>
    <row r="1038" spans="2:8" x14ac:dyDescent="0.35">
      <c r="B1038" t="str">
        <f ca="1"/>
        <v/>
      </c>
      <c r="C1038" t="str">
        <f ca="1"/>
        <v/>
      </c>
      <c r="D1038" t="str">
        <f ca="1"/>
        <v/>
      </c>
      <c r="E1038" t="str">
        <f ca="1"/>
        <v/>
      </c>
      <c r="F1038" t="str">
        <f ca="1"/>
        <v/>
      </c>
      <c r="G1038" t="str">
        <f ca="1"/>
        <v/>
      </c>
      <c r="H1038" s="17" t="str">
        <f ca="1"/>
        <v/>
      </c>
    </row>
    <row r="1039" spans="2:8" x14ac:dyDescent="0.35">
      <c r="B1039" t="str">
        <f ca="1"/>
        <v/>
      </c>
      <c r="C1039" t="str">
        <f ca="1"/>
        <v/>
      </c>
      <c r="D1039" t="str">
        <f ca="1"/>
        <v/>
      </c>
      <c r="E1039" t="str">
        <f ca="1"/>
        <v/>
      </c>
      <c r="F1039" t="str">
        <f ca="1"/>
        <v/>
      </c>
      <c r="G1039" t="str">
        <f ca="1"/>
        <v/>
      </c>
      <c r="H1039" s="17" t="str">
        <f ca="1"/>
        <v/>
      </c>
    </row>
    <row r="1040" spans="2:8" x14ac:dyDescent="0.35">
      <c r="B1040" t="str">
        <f ca="1"/>
        <v/>
      </c>
      <c r="C1040" t="str">
        <f ca="1"/>
        <v/>
      </c>
      <c r="D1040" t="str">
        <f ca="1"/>
        <v/>
      </c>
      <c r="E1040" t="str">
        <f ca="1"/>
        <v/>
      </c>
      <c r="F1040" t="str">
        <f ca="1"/>
        <v/>
      </c>
      <c r="G1040" t="str">
        <f ca="1"/>
        <v/>
      </c>
      <c r="H1040" s="17" t="str">
        <f ca="1"/>
        <v/>
      </c>
    </row>
    <row r="1041" spans="2:8" x14ac:dyDescent="0.35">
      <c r="B1041" t="str">
        <f ca="1"/>
        <v/>
      </c>
      <c r="C1041" t="str">
        <f ca="1"/>
        <v/>
      </c>
      <c r="D1041" t="str">
        <f ca="1"/>
        <v/>
      </c>
      <c r="E1041" t="str">
        <f ca="1"/>
        <v/>
      </c>
      <c r="F1041" t="str">
        <f ca="1"/>
        <v/>
      </c>
      <c r="G1041" t="str">
        <f ca="1"/>
        <v/>
      </c>
      <c r="H1041" s="17" t="str">
        <f ca="1"/>
        <v/>
      </c>
    </row>
    <row r="1042" spans="2:8" x14ac:dyDescent="0.35">
      <c r="B1042" t="str">
        <f ca="1"/>
        <v/>
      </c>
      <c r="C1042" t="str">
        <f ca="1"/>
        <v/>
      </c>
      <c r="D1042" t="str">
        <f ca="1"/>
        <v/>
      </c>
      <c r="E1042" t="str">
        <f ca="1"/>
        <v/>
      </c>
      <c r="F1042" t="str">
        <f ca="1"/>
        <v/>
      </c>
      <c r="G1042" t="str">
        <f ca="1"/>
        <v/>
      </c>
      <c r="H1042" s="17" t="str">
        <f ca="1"/>
        <v/>
      </c>
    </row>
    <row r="1043" spans="2:8" x14ac:dyDescent="0.35">
      <c r="B1043" t="str">
        <f ca="1"/>
        <v/>
      </c>
      <c r="C1043" t="str">
        <f ca="1"/>
        <v/>
      </c>
      <c r="D1043" t="str">
        <f ca="1"/>
        <v/>
      </c>
      <c r="E1043" t="str">
        <f ca="1"/>
        <v/>
      </c>
      <c r="F1043" t="str">
        <f ca="1"/>
        <v/>
      </c>
      <c r="G1043" t="str">
        <f ca="1"/>
        <v/>
      </c>
      <c r="H1043" s="17" t="str">
        <f ca="1"/>
        <v/>
      </c>
    </row>
    <row r="1044" spans="2:8" x14ac:dyDescent="0.35">
      <c r="B1044" t="str">
        <f ca="1"/>
        <v/>
      </c>
      <c r="C1044" t="str">
        <f ca="1"/>
        <v/>
      </c>
      <c r="D1044" t="str">
        <f ca="1"/>
        <v/>
      </c>
      <c r="E1044" t="str">
        <f ca="1"/>
        <v/>
      </c>
      <c r="F1044" t="str">
        <f ca="1"/>
        <v/>
      </c>
      <c r="G1044" t="str">
        <f ca="1"/>
        <v/>
      </c>
      <c r="H1044" s="17" t="str">
        <f ca="1"/>
        <v/>
      </c>
    </row>
    <row r="1045" spans="2:8" x14ac:dyDescent="0.35">
      <c r="B1045" t="str">
        <f ca="1"/>
        <v/>
      </c>
      <c r="C1045" t="str">
        <f ca="1"/>
        <v/>
      </c>
      <c r="D1045" t="str">
        <f ca="1"/>
        <v/>
      </c>
      <c r="E1045" t="str">
        <f ca="1"/>
        <v/>
      </c>
      <c r="F1045" t="str">
        <f ca="1"/>
        <v/>
      </c>
      <c r="G1045" t="str">
        <f ca="1"/>
        <v/>
      </c>
      <c r="H1045" s="17" t="str">
        <f ca="1"/>
        <v/>
      </c>
    </row>
    <row r="1046" spans="2:8" x14ac:dyDescent="0.35">
      <c r="B1046" t="str">
        <f ca="1"/>
        <v/>
      </c>
      <c r="C1046" t="str">
        <f ca="1"/>
        <v/>
      </c>
      <c r="D1046" t="str">
        <f ca="1"/>
        <v/>
      </c>
      <c r="E1046" t="str">
        <f ca="1"/>
        <v/>
      </c>
      <c r="F1046" t="str">
        <f ca="1"/>
        <v/>
      </c>
      <c r="G1046" t="str">
        <f ca="1"/>
        <v/>
      </c>
      <c r="H1046" s="17" t="str">
        <f ca="1"/>
        <v/>
      </c>
    </row>
    <row r="1047" spans="2:8" x14ac:dyDescent="0.35">
      <c r="B1047" t="str">
        <f ca="1"/>
        <v/>
      </c>
      <c r="C1047" t="str">
        <f ca="1"/>
        <v/>
      </c>
      <c r="D1047" t="str">
        <f ca="1"/>
        <v/>
      </c>
      <c r="E1047" t="str">
        <f ca="1"/>
        <v/>
      </c>
      <c r="F1047" t="str">
        <f ca="1"/>
        <v/>
      </c>
      <c r="G1047" t="str">
        <f ca="1"/>
        <v/>
      </c>
      <c r="H1047" s="17" t="str">
        <f ca="1"/>
        <v/>
      </c>
    </row>
    <row r="1048" spans="2:8" x14ac:dyDescent="0.35">
      <c r="B1048" t="str">
        <f ca="1"/>
        <v/>
      </c>
      <c r="C1048" t="str">
        <f ca="1"/>
        <v/>
      </c>
      <c r="D1048" t="str">
        <f ca="1"/>
        <v/>
      </c>
      <c r="E1048" t="str">
        <f ca="1"/>
        <v/>
      </c>
      <c r="F1048" t="str">
        <f ca="1"/>
        <v/>
      </c>
      <c r="G1048" t="str">
        <f ca="1"/>
        <v/>
      </c>
      <c r="H1048" s="17" t="str">
        <f ca="1"/>
        <v/>
      </c>
    </row>
    <row r="1049" spans="2:8" x14ac:dyDescent="0.35">
      <c r="B1049" t="str">
        <f ca="1"/>
        <v/>
      </c>
      <c r="C1049" t="str">
        <f ca="1"/>
        <v/>
      </c>
      <c r="D1049" t="str">
        <f ca="1"/>
        <v/>
      </c>
      <c r="E1049" t="str">
        <f ca="1"/>
        <v/>
      </c>
      <c r="F1049" t="str">
        <f ca="1"/>
        <v/>
      </c>
      <c r="G1049" t="str">
        <f ca="1"/>
        <v/>
      </c>
      <c r="H1049" s="17" t="str">
        <f ca="1"/>
        <v/>
      </c>
    </row>
    <row r="1050" spans="2:8" x14ac:dyDescent="0.35">
      <c r="B1050" t="str">
        <f ca="1"/>
        <v/>
      </c>
      <c r="C1050" t="str">
        <f ca="1"/>
        <v/>
      </c>
      <c r="D1050" t="str">
        <f ca="1"/>
        <v/>
      </c>
      <c r="E1050" t="str">
        <f ca="1"/>
        <v/>
      </c>
      <c r="F1050" t="str">
        <f ca="1"/>
        <v/>
      </c>
      <c r="G1050" t="str">
        <f ca="1"/>
        <v/>
      </c>
      <c r="H1050" s="17" t="str">
        <f ca="1"/>
        <v/>
      </c>
    </row>
    <row r="1051" spans="2:8" x14ac:dyDescent="0.35">
      <c r="B1051" t="str">
        <f ca="1"/>
        <v/>
      </c>
      <c r="C1051" t="str">
        <f ca="1"/>
        <v/>
      </c>
      <c r="D1051" t="str">
        <f ca="1"/>
        <v/>
      </c>
      <c r="E1051" t="str">
        <f ca="1"/>
        <v/>
      </c>
      <c r="F1051" t="str">
        <f ca="1"/>
        <v/>
      </c>
      <c r="G1051" t="str">
        <f ca="1"/>
        <v/>
      </c>
      <c r="H1051" s="17" t="str">
        <f ca="1"/>
        <v/>
      </c>
    </row>
    <row r="1052" spans="2:8" x14ac:dyDescent="0.35">
      <c r="B1052" t="str">
        <f ca="1"/>
        <v/>
      </c>
      <c r="C1052" t="str">
        <f ca="1"/>
        <v/>
      </c>
      <c r="D1052" t="str">
        <f ca="1"/>
        <v/>
      </c>
      <c r="E1052" t="str">
        <f ca="1"/>
        <v/>
      </c>
      <c r="F1052" t="str">
        <f ca="1"/>
        <v/>
      </c>
      <c r="G1052" t="str">
        <f ca="1"/>
        <v/>
      </c>
      <c r="H1052" s="17" t="str">
        <f ca="1"/>
        <v/>
      </c>
    </row>
    <row r="1053" spans="2:8" x14ac:dyDescent="0.35">
      <c r="B1053" t="str">
        <f ca="1"/>
        <v/>
      </c>
      <c r="C1053" t="str">
        <f ca="1"/>
        <v/>
      </c>
      <c r="D1053" t="str">
        <f ca="1"/>
        <v/>
      </c>
      <c r="E1053" t="str">
        <f ca="1"/>
        <v/>
      </c>
      <c r="F1053" t="str">
        <f ca="1"/>
        <v/>
      </c>
      <c r="G1053" t="str">
        <f ca="1"/>
        <v/>
      </c>
      <c r="H1053" s="17" t="str">
        <f ca="1"/>
        <v/>
      </c>
    </row>
    <row r="1054" spans="2:8" x14ac:dyDescent="0.35">
      <c r="B1054" t="str">
        <f ca="1"/>
        <v/>
      </c>
      <c r="C1054" t="str">
        <f ca="1"/>
        <v/>
      </c>
      <c r="D1054" t="str">
        <f ca="1"/>
        <v/>
      </c>
      <c r="E1054" t="str">
        <f ca="1"/>
        <v/>
      </c>
      <c r="F1054" t="str">
        <f ca="1"/>
        <v/>
      </c>
      <c r="G1054" t="str">
        <f ca="1"/>
        <v/>
      </c>
      <c r="H1054" s="17" t="str">
        <f ca="1"/>
        <v/>
      </c>
    </row>
    <row r="1055" spans="2:8" x14ac:dyDescent="0.35">
      <c r="B1055" t="str">
        <f ca="1"/>
        <v/>
      </c>
      <c r="C1055" t="str">
        <f ca="1"/>
        <v/>
      </c>
      <c r="D1055" t="str">
        <f ca="1"/>
        <v/>
      </c>
      <c r="E1055" t="str">
        <f ca="1"/>
        <v/>
      </c>
      <c r="F1055" t="str">
        <f ca="1"/>
        <v/>
      </c>
      <c r="G1055" t="str">
        <f ca="1"/>
        <v/>
      </c>
      <c r="H1055" s="17" t="str">
        <f ca="1"/>
        <v/>
      </c>
    </row>
    <row r="1056" spans="2:8" x14ac:dyDescent="0.35">
      <c r="B1056" t="str">
        <f ca="1"/>
        <v/>
      </c>
      <c r="C1056" t="str">
        <f ca="1"/>
        <v/>
      </c>
      <c r="D1056" t="str">
        <f ca="1"/>
        <v/>
      </c>
      <c r="E1056" t="str">
        <f ca="1"/>
        <v/>
      </c>
      <c r="F1056" t="str">
        <f ca="1"/>
        <v/>
      </c>
      <c r="G1056" t="str">
        <f ca="1"/>
        <v/>
      </c>
      <c r="H1056" s="17" t="str">
        <f ca="1"/>
        <v/>
      </c>
    </row>
    <row r="1057" spans="2:8" x14ac:dyDescent="0.35">
      <c r="B1057" t="str">
        <f ca="1"/>
        <v/>
      </c>
      <c r="C1057" t="str">
        <f ca="1"/>
        <v/>
      </c>
      <c r="D1057" t="str">
        <f ca="1"/>
        <v/>
      </c>
      <c r="E1057" t="str">
        <f ca="1"/>
        <v/>
      </c>
      <c r="F1057" t="str">
        <f ca="1"/>
        <v/>
      </c>
      <c r="G1057" t="str">
        <f ca="1"/>
        <v/>
      </c>
      <c r="H1057" s="17" t="str">
        <f ca="1"/>
        <v/>
      </c>
    </row>
    <row r="1058" spans="2:8" x14ac:dyDescent="0.35">
      <c r="B1058" t="str">
        <f ca="1"/>
        <v/>
      </c>
      <c r="C1058" t="str">
        <f ca="1"/>
        <v/>
      </c>
      <c r="D1058" t="str">
        <f ca="1"/>
        <v/>
      </c>
      <c r="E1058" t="str">
        <f ca="1"/>
        <v/>
      </c>
      <c r="F1058" t="str">
        <f ca="1"/>
        <v/>
      </c>
      <c r="G1058" t="str">
        <f ca="1"/>
        <v/>
      </c>
      <c r="H1058" s="17" t="str">
        <f ca="1"/>
        <v/>
      </c>
    </row>
    <row r="1059" spans="2:8" x14ac:dyDescent="0.35">
      <c r="B1059" t="str">
        <f ca="1"/>
        <v/>
      </c>
      <c r="C1059" t="str">
        <f ca="1"/>
        <v/>
      </c>
      <c r="D1059" t="str">
        <f ca="1"/>
        <v/>
      </c>
      <c r="E1059" t="str">
        <f ca="1"/>
        <v/>
      </c>
      <c r="F1059" t="str">
        <f ca="1"/>
        <v/>
      </c>
      <c r="G1059" t="str">
        <f ca="1"/>
        <v/>
      </c>
      <c r="H1059" s="17" t="str">
        <f ca="1"/>
        <v/>
      </c>
    </row>
    <row r="1060" spans="2:8" x14ac:dyDescent="0.35">
      <c r="B1060" t="str">
        <f ca="1"/>
        <v/>
      </c>
      <c r="C1060" t="str">
        <f ca="1"/>
        <v/>
      </c>
      <c r="D1060" t="str">
        <f ca="1"/>
        <v/>
      </c>
      <c r="E1060" t="str">
        <f ca="1"/>
        <v/>
      </c>
      <c r="F1060" t="str">
        <f ca="1"/>
        <v/>
      </c>
      <c r="G1060" t="str">
        <f ca="1"/>
        <v/>
      </c>
      <c r="H1060" s="17" t="str">
        <f ca="1"/>
        <v/>
      </c>
    </row>
    <row r="1061" spans="2:8" x14ac:dyDescent="0.35">
      <c r="B1061" t="str">
        <f ca="1"/>
        <v/>
      </c>
      <c r="C1061" t="str">
        <f ca="1"/>
        <v/>
      </c>
      <c r="D1061" t="str">
        <f ca="1"/>
        <v/>
      </c>
      <c r="E1061" t="str">
        <f ca="1"/>
        <v/>
      </c>
      <c r="F1061" t="str">
        <f ca="1"/>
        <v/>
      </c>
      <c r="G1061" t="str">
        <f ca="1"/>
        <v/>
      </c>
      <c r="H1061" s="17" t="str">
        <f ca="1"/>
        <v/>
      </c>
    </row>
    <row r="1062" spans="2:8" x14ac:dyDescent="0.35">
      <c r="B1062" t="str">
        <f ca="1"/>
        <v/>
      </c>
      <c r="C1062" t="str">
        <f ca="1"/>
        <v/>
      </c>
      <c r="D1062" t="str">
        <f ca="1"/>
        <v/>
      </c>
      <c r="E1062" t="str">
        <f ca="1"/>
        <v/>
      </c>
      <c r="F1062" t="str">
        <f ca="1"/>
        <v/>
      </c>
      <c r="G1062" t="str">
        <f ca="1"/>
        <v/>
      </c>
      <c r="H1062" s="17" t="str">
        <f ca="1"/>
        <v/>
      </c>
    </row>
    <row r="1063" spans="2:8" x14ac:dyDescent="0.35">
      <c r="B1063" t="str">
        <f ca="1"/>
        <v/>
      </c>
      <c r="C1063" t="str">
        <f ca="1"/>
        <v/>
      </c>
      <c r="D1063" t="str">
        <f ca="1"/>
        <v/>
      </c>
      <c r="E1063" t="str">
        <f ca="1"/>
        <v/>
      </c>
      <c r="F1063" t="str">
        <f ca="1"/>
        <v/>
      </c>
      <c r="G1063" t="str">
        <f ca="1"/>
        <v/>
      </c>
      <c r="H1063" s="17" t="str">
        <f ca="1"/>
        <v/>
      </c>
    </row>
    <row r="1064" spans="2:8" x14ac:dyDescent="0.35">
      <c r="B1064" t="str">
        <f ca="1"/>
        <v/>
      </c>
      <c r="C1064" t="str">
        <f ca="1"/>
        <v/>
      </c>
      <c r="D1064" t="str">
        <f ca="1"/>
        <v/>
      </c>
      <c r="E1064" t="str">
        <f ca="1"/>
        <v/>
      </c>
      <c r="F1064" t="str">
        <f ca="1"/>
        <v/>
      </c>
      <c r="G1064" t="str">
        <f ca="1"/>
        <v/>
      </c>
      <c r="H1064" s="17" t="str">
        <f ca="1"/>
        <v/>
      </c>
    </row>
    <row r="1065" spans="2:8" x14ac:dyDescent="0.35">
      <c r="B1065" t="str">
        <f ca="1"/>
        <v/>
      </c>
      <c r="C1065" t="str">
        <f ca="1"/>
        <v/>
      </c>
      <c r="D1065" t="str">
        <f ca="1"/>
        <v/>
      </c>
      <c r="E1065" t="str">
        <f ca="1"/>
        <v/>
      </c>
      <c r="F1065" t="str">
        <f ca="1"/>
        <v/>
      </c>
      <c r="G1065" t="str">
        <f ca="1"/>
        <v/>
      </c>
      <c r="H1065" s="17" t="str">
        <f ca="1"/>
        <v/>
      </c>
    </row>
    <row r="1066" spans="2:8" x14ac:dyDescent="0.35">
      <c r="B1066" t="str">
        <f ca="1"/>
        <v/>
      </c>
      <c r="C1066" t="str">
        <f ca="1"/>
        <v/>
      </c>
      <c r="D1066" t="str">
        <f ca="1"/>
        <v/>
      </c>
      <c r="E1066" t="str">
        <f ca="1"/>
        <v/>
      </c>
      <c r="F1066" t="str">
        <f ca="1"/>
        <v/>
      </c>
      <c r="G1066" t="str">
        <f ca="1"/>
        <v/>
      </c>
      <c r="H1066" s="17" t="str">
        <f ca="1"/>
        <v/>
      </c>
    </row>
    <row r="1067" spans="2:8" x14ac:dyDescent="0.35">
      <c r="B1067" t="str">
        <f ca="1"/>
        <v/>
      </c>
      <c r="C1067" t="str">
        <f ca="1"/>
        <v/>
      </c>
      <c r="D1067" t="str">
        <f ca="1"/>
        <v/>
      </c>
      <c r="E1067" t="str">
        <f ca="1"/>
        <v/>
      </c>
      <c r="F1067" t="str">
        <f ca="1"/>
        <v/>
      </c>
      <c r="G1067" t="str">
        <f ca="1"/>
        <v/>
      </c>
      <c r="H1067" s="17" t="str">
        <f ca="1"/>
        <v/>
      </c>
    </row>
    <row r="1068" spans="2:8" x14ac:dyDescent="0.35">
      <c r="B1068" t="str">
        <f ca="1"/>
        <v/>
      </c>
      <c r="C1068" t="str">
        <f ca="1"/>
        <v/>
      </c>
      <c r="D1068" t="str">
        <f ca="1"/>
        <v/>
      </c>
      <c r="E1068" t="str">
        <f ca="1"/>
        <v/>
      </c>
      <c r="F1068" t="str">
        <f ca="1"/>
        <v/>
      </c>
      <c r="G1068" t="str">
        <f ca="1"/>
        <v/>
      </c>
      <c r="H1068" s="17" t="str">
        <f ca="1"/>
        <v/>
      </c>
    </row>
    <row r="1069" spans="2:8" x14ac:dyDescent="0.35">
      <c r="B1069" t="str">
        <f ca="1"/>
        <v/>
      </c>
      <c r="C1069" t="str">
        <f ca="1"/>
        <v/>
      </c>
      <c r="D1069" t="str">
        <f ca="1"/>
        <v/>
      </c>
      <c r="E1069" t="str">
        <f ca="1"/>
        <v/>
      </c>
      <c r="F1069" t="str">
        <f ca="1"/>
        <v/>
      </c>
      <c r="G1069" t="str">
        <f ca="1"/>
        <v/>
      </c>
      <c r="H1069" s="17" t="str">
        <f ca="1"/>
        <v/>
      </c>
    </row>
    <row r="1070" spans="2:8" x14ac:dyDescent="0.35">
      <c r="B1070" t="str">
        <f ca="1"/>
        <v/>
      </c>
      <c r="C1070" t="str">
        <f ca="1"/>
        <v/>
      </c>
      <c r="D1070" t="str">
        <f ca="1"/>
        <v/>
      </c>
      <c r="E1070" t="str">
        <f ca="1"/>
        <v/>
      </c>
      <c r="F1070" t="str">
        <f ca="1"/>
        <v/>
      </c>
      <c r="G1070" t="str">
        <f ca="1"/>
        <v/>
      </c>
      <c r="H1070" s="17" t="str">
        <f ca="1"/>
        <v/>
      </c>
    </row>
    <row r="1071" spans="2:8" x14ac:dyDescent="0.35">
      <c r="B1071" t="str">
        <f ca="1"/>
        <v/>
      </c>
      <c r="C1071" t="str">
        <f ca="1"/>
        <v/>
      </c>
      <c r="D1071" t="str">
        <f ca="1"/>
        <v/>
      </c>
      <c r="E1071" t="str">
        <f ca="1"/>
        <v/>
      </c>
      <c r="F1071" t="str">
        <f ca="1"/>
        <v/>
      </c>
      <c r="G1071" t="str">
        <f ca="1"/>
        <v/>
      </c>
      <c r="H1071" s="17" t="str">
        <f ca="1"/>
        <v/>
      </c>
    </row>
    <row r="1072" spans="2:8" x14ac:dyDescent="0.35">
      <c r="B1072" t="str">
        <f ca="1"/>
        <v/>
      </c>
      <c r="C1072" t="str">
        <f ca="1"/>
        <v/>
      </c>
      <c r="D1072" t="str">
        <f ca="1"/>
        <v/>
      </c>
      <c r="E1072" t="str">
        <f ca="1"/>
        <v/>
      </c>
      <c r="F1072" t="str">
        <f ca="1"/>
        <v/>
      </c>
      <c r="G1072" t="str">
        <f ca="1"/>
        <v/>
      </c>
      <c r="H1072" s="17" t="str">
        <f ca="1"/>
        <v/>
      </c>
    </row>
    <row r="1073" spans="2:8" x14ac:dyDescent="0.35">
      <c r="B1073" t="str">
        <f ca="1"/>
        <v/>
      </c>
      <c r="C1073" t="str">
        <f ca="1"/>
        <v/>
      </c>
      <c r="D1073" t="str">
        <f ca="1"/>
        <v/>
      </c>
      <c r="E1073" t="str">
        <f ca="1"/>
        <v/>
      </c>
      <c r="F1073" t="str">
        <f ca="1"/>
        <v/>
      </c>
      <c r="G1073" t="str">
        <f ca="1"/>
        <v/>
      </c>
      <c r="H1073" s="17" t="str">
        <f ca="1"/>
        <v/>
      </c>
    </row>
    <row r="1074" spans="2:8" x14ac:dyDescent="0.35">
      <c r="B1074" t="str">
        <f ca="1"/>
        <v/>
      </c>
      <c r="C1074" t="str">
        <f ca="1"/>
        <v/>
      </c>
      <c r="D1074" t="str">
        <f ca="1"/>
        <v/>
      </c>
      <c r="E1074" t="str">
        <f ca="1"/>
        <v/>
      </c>
      <c r="F1074" t="str">
        <f ca="1"/>
        <v/>
      </c>
      <c r="G1074" t="str">
        <f ca="1"/>
        <v/>
      </c>
      <c r="H1074" s="17" t="str">
        <f ca="1"/>
        <v/>
      </c>
    </row>
    <row r="1075" spans="2:8" x14ac:dyDescent="0.35">
      <c r="B1075" t="str">
        <f ca="1"/>
        <v/>
      </c>
      <c r="C1075" t="str">
        <f ca="1"/>
        <v/>
      </c>
      <c r="D1075" t="str">
        <f ca="1"/>
        <v/>
      </c>
      <c r="E1075" t="str">
        <f ca="1"/>
        <v/>
      </c>
      <c r="F1075" t="str">
        <f ca="1"/>
        <v/>
      </c>
      <c r="G1075" t="str">
        <f ca="1"/>
        <v/>
      </c>
      <c r="H1075" s="17" t="str">
        <f ca="1"/>
        <v/>
      </c>
    </row>
    <row r="1076" spans="2:8" x14ac:dyDescent="0.35">
      <c r="B1076" t="str">
        <f ca="1"/>
        <v/>
      </c>
      <c r="C1076" t="str">
        <f ca="1"/>
        <v/>
      </c>
      <c r="D1076" t="str">
        <f ca="1"/>
        <v/>
      </c>
      <c r="E1076" t="str">
        <f ca="1"/>
        <v/>
      </c>
      <c r="F1076" t="str">
        <f ca="1"/>
        <v/>
      </c>
      <c r="G1076" t="str">
        <f ca="1"/>
        <v/>
      </c>
      <c r="H1076" s="17" t="str">
        <f ca="1"/>
        <v/>
      </c>
    </row>
    <row r="1077" spans="2:8" x14ac:dyDescent="0.35">
      <c r="B1077" t="str">
        <f ca="1"/>
        <v/>
      </c>
      <c r="C1077" t="str">
        <f ca="1"/>
        <v/>
      </c>
      <c r="D1077" t="str">
        <f ca="1"/>
        <v/>
      </c>
      <c r="E1077" t="str">
        <f ca="1"/>
        <v/>
      </c>
      <c r="F1077" t="str">
        <f ca="1"/>
        <v/>
      </c>
      <c r="G1077" t="str">
        <f ca="1"/>
        <v/>
      </c>
      <c r="H1077" s="17" t="str">
        <f ca="1"/>
        <v/>
      </c>
    </row>
    <row r="1078" spans="2:8" x14ac:dyDescent="0.35">
      <c r="B1078" t="str">
        <f ca="1"/>
        <v/>
      </c>
      <c r="C1078" t="str">
        <f ca="1"/>
        <v/>
      </c>
      <c r="D1078" t="str">
        <f ca="1"/>
        <v/>
      </c>
      <c r="E1078" t="str">
        <f ca="1"/>
        <v/>
      </c>
      <c r="F1078" t="str">
        <f ca="1"/>
        <v/>
      </c>
      <c r="G1078" t="str">
        <f ca="1"/>
        <v/>
      </c>
      <c r="H1078" s="17" t="str">
        <f ca="1"/>
        <v/>
      </c>
    </row>
    <row r="1079" spans="2:8" x14ac:dyDescent="0.35">
      <c r="B1079" t="str">
        <f ca="1"/>
        <v/>
      </c>
      <c r="C1079" t="str">
        <f ca="1"/>
        <v/>
      </c>
      <c r="D1079" t="str">
        <f ca="1"/>
        <v/>
      </c>
      <c r="E1079" t="str">
        <f ca="1"/>
        <v/>
      </c>
      <c r="F1079" t="str">
        <f ca="1"/>
        <v/>
      </c>
      <c r="G1079" t="str">
        <f ca="1"/>
        <v/>
      </c>
      <c r="H1079" s="17" t="str">
        <f ca="1"/>
        <v/>
      </c>
    </row>
    <row r="1080" spans="2:8" x14ac:dyDescent="0.35">
      <c r="B1080" t="str">
        <f ca="1"/>
        <v/>
      </c>
      <c r="C1080" t="str">
        <f ca="1"/>
        <v/>
      </c>
      <c r="D1080" t="str">
        <f ca="1"/>
        <v/>
      </c>
      <c r="E1080" t="str">
        <f ca="1"/>
        <v/>
      </c>
      <c r="F1080" t="str">
        <f ca="1"/>
        <v/>
      </c>
      <c r="G1080" t="str">
        <f ca="1"/>
        <v/>
      </c>
      <c r="H1080" s="17" t="str">
        <f ca="1"/>
        <v/>
      </c>
    </row>
    <row r="1081" spans="2:8" x14ac:dyDescent="0.35">
      <c r="B1081" t="str">
        <f ca="1"/>
        <v/>
      </c>
      <c r="C1081" t="str">
        <f ca="1"/>
        <v/>
      </c>
      <c r="D1081" t="str">
        <f ca="1"/>
        <v/>
      </c>
      <c r="E1081" t="str">
        <f ca="1"/>
        <v/>
      </c>
      <c r="F1081" t="str">
        <f ca="1"/>
        <v/>
      </c>
      <c r="G1081" t="str">
        <f ca="1"/>
        <v/>
      </c>
      <c r="H1081" s="17" t="str">
        <f ca="1"/>
        <v/>
      </c>
    </row>
    <row r="1082" spans="2:8" x14ac:dyDescent="0.35">
      <c r="B1082" t="str">
        <f ca="1"/>
        <v/>
      </c>
      <c r="C1082" t="str">
        <f ca="1"/>
        <v/>
      </c>
      <c r="D1082" t="str">
        <f ca="1"/>
        <v/>
      </c>
      <c r="E1082" t="str">
        <f ca="1"/>
        <v/>
      </c>
      <c r="F1082" t="str">
        <f ca="1"/>
        <v/>
      </c>
      <c r="G1082" t="str">
        <f ca="1"/>
        <v/>
      </c>
      <c r="H1082" s="17" t="str">
        <f ca="1"/>
        <v/>
      </c>
    </row>
    <row r="1083" spans="2:8" x14ac:dyDescent="0.35">
      <c r="B1083" t="str">
        <f ca="1"/>
        <v/>
      </c>
      <c r="C1083" t="str">
        <f ca="1"/>
        <v/>
      </c>
      <c r="D1083" t="str">
        <f ca="1"/>
        <v/>
      </c>
      <c r="E1083" t="str">
        <f ca="1"/>
        <v/>
      </c>
      <c r="F1083" t="str">
        <f ca="1"/>
        <v/>
      </c>
      <c r="G1083" t="str">
        <f ca="1"/>
        <v/>
      </c>
      <c r="H1083" s="17" t="str">
        <f ca="1"/>
        <v/>
      </c>
    </row>
    <row r="1084" spans="2:8" x14ac:dyDescent="0.35">
      <c r="B1084" t="str">
        <f ca="1"/>
        <v/>
      </c>
      <c r="C1084" t="str">
        <f ca="1"/>
        <v/>
      </c>
      <c r="D1084" t="str">
        <f ca="1"/>
        <v/>
      </c>
      <c r="E1084" t="str">
        <f ca="1"/>
        <v/>
      </c>
      <c r="F1084" t="str">
        <f ca="1"/>
        <v/>
      </c>
      <c r="G1084" t="str">
        <f ca="1"/>
        <v/>
      </c>
      <c r="H1084" s="17" t="str">
        <f ca="1"/>
        <v/>
      </c>
    </row>
    <row r="1085" spans="2:8" x14ac:dyDescent="0.35">
      <c r="B1085" t="str">
        <f ca="1"/>
        <v/>
      </c>
      <c r="C1085" t="str">
        <f ca="1"/>
        <v/>
      </c>
      <c r="D1085" t="str">
        <f ca="1"/>
        <v/>
      </c>
      <c r="E1085" t="str">
        <f ca="1"/>
        <v/>
      </c>
      <c r="F1085" t="str">
        <f ca="1"/>
        <v/>
      </c>
      <c r="G1085" t="str">
        <f ca="1"/>
        <v/>
      </c>
      <c r="H1085" s="17" t="str">
        <f ca="1"/>
        <v/>
      </c>
    </row>
    <row r="1086" spans="2:8" x14ac:dyDescent="0.35">
      <c r="B1086" t="str">
        <f ca="1"/>
        <v/>
      </c>
      <c r="C1086" t="str">
        <f ca="1"/>
        <v/>
      </c>
      <c r="D1086" t="str">
        <f ca="1"/>
        <v/>
      </c>
      <c r="E1086" t="str">
        <f ca="1"/>
        <v/>
      </c>
      <c r="F1086" t="str">
        <f ca="1"/>
        <v/>
      </c>
      <c r="G1086" t="str">
        <f ca="1"/>
        <v/>
      </c>
      <c r="H1086" s="17" t="str">
        <f ca="1"/>
        <v/>
      </c>
    </row>
    <row r="1087" spans="2:8" x14ac:dyDescent="0.35">
      <c r="B1087" t="str">
        <f ca="1"/>
        <v/>
      </c>
      <c r="C1087" t="str">
        <f ca="1"/>
        <v/>
      </c>
      <c r="D1087" t="str">
        <f ca="1"/>
        <v/>
      </c>
      <c r="E1087" t="str">
        <f ca="1"/>
        <v/>
      </c>
      <c r="F1087" t="str">
        <f ca="1"/>
        <v/>
      </c>
      <c r="G1087" t="str">
        <f ca="1"/>
        <v/>
      </c>
      <c r="H1087" s="17" t="str">
        <f ca="1"/>
        <v/>
      </c>
    </row>
    <row r="1088" spans="2:8" x14ac:dyDescent="0.35">
      <c r="B1088" t="str">
        <f ca="1"/>
        <v/>
      </c>
      <c r="C1088" t="str">
        <f ca="1"/>
        <v/>
      </c>
      <c r="D1088" t="str">
        <f ca="1"/>
        <v/>
      </c>
      <c r="E1088" t="str">
        <f ca="1"/>
        <v/>
      </c>
      <c r="F1088" t="str">
        <f ca="1"/>
        <v/>
      </c>
      <c r="G1088" t="str">
        <f ca="1"/>
        <v/>
      </c>
      <c r="H1088" s="17" t="str">
        <f ca="1"/>
        <v/>
      </c>
    </row>
    <row r="1089" spans="2:8" x14ac:dyDescent="0.35">
      <c r="B1089" t="str">
        <f ca="1"/>
        <v/>
      </c>
      <c r="C1089" t="str">
        <f ca="1"/>
        <v/>
      </c>
      <c r="D1089" t="str">
        <f ca="1"/>
        <v/>
      </c>
      <c r="E1089" t="str">
        <f ca="1"/>
        <v/>
      </c>
      <c r="F1089" t="str">
        <f ca="1"/>
        <v/>
      </c>
      <c r="G1089" t="str">
        <f ca="1"/>
        <v/>
      </c>
      <c r="H1089" s="17" t="str">
        <f ca="1"/>
        <v/>
      </c>
    </row>
    <row r="1090" spans="2:8" x14ac:dyDescent="0.35">
      <c r="B1090" t="str">
        <f ca="1"/>
        <v/>
      </c>
      <c r="C1090" t="str">
        <f ca="1"/>
        <v/>
      </c>
      <c r="D1090" t="str">
        <f ca="1"/>
        <v/>
      </c>
      <c r="E1090" t="str">
        <f ca="1"/>
        <v/>
      </c>
      <c r="F1090" t="str">
        <f ca="1"/>
        <v/>
      </c>
      <c r="G1090" t="str">
        <f ca="1"/>
        <v/>
      </c>
      <c r="H1090" s="17" t="str">
        <f ca="1"/>
        <v/>
      </c>
    </row>
    <row r="1091" spans="2:8" x14ac:dyDescent="0.35">
      <c r="B1091" t="str">
        <f ca="1"/>
        <v/>
      </c>
      <c r="C1091" t="str">
        <f ca="1"/>
        <v/>
      </c>
      <c r="D1091" t="str">
        <f ca="1"/>
        <v/>
      </c>
      <c r="E1091" t="str">
        <f ca="1"/>
        <v/>
      </c>
      <c r="F1091" t="str">
        <f ca="1"/>
        <v/>
      </c>
      <c r="G1091" t="str">
        <f ca="1"/>
        <v/>
      </c>
      <c r="H1091" s="17" t="str">
        <f ca="1"/>
        <v/>
      </c>
    </row>
    <row r="1092" spans="2:8" x14ac:dyDescent="0.35">
      <c r="B1092" t="str">
        <f ca="1"/>
        <v/>
      </c>
      <c r="C1092" t="str">
        <f ca="1"/>
        <v/>
      </c>
      <c r="D1092" t="str">
        <f ca="1"/>
        <v/>
      </c>
      <c r="E1092" t="str">
        <f ca="1"/>
        <v/>
      </c>
      <c r="F1092" t="str">
        <f ca="1"/>
        <v/>
      </c>
      <c r="G1092" t="str">
        <f ca="1"/>
        <v/>
      </c>
      <c r="H1092" s="17" t="str">
        <f ca="1"/>
        <v/>
      </c>
    </row>
    <row r="1093" spans="2:8" x14ac:dyDescent="0.35">
      <c r="B1093" t="str">
        <f ca="1"/>
        <v/>
      </c>
      <c r="C1093" t="str">
        <f ca="1"/>
        <v/>
      </c>
      <c r="D1093" t="str">
        <f ca="1"/>
        <v/>
      </c>
      <c r="E1093" t="str">
        <f ca="1"/>
        <v/>
      </c>
      <c r="F1093" t="str">
        <f ca="1"/>
        <v/>
      </c>
      <c r="G1093" t="str">
        <f ca="1"/>
        <v/>
      </c>
      <c r="H1093" s="17" t="str">
        <f ca="1"/>
        <v/>
      </c>
    </row>
    <row r="1094" spans="2:8" x14ac:dyDescent="0.35">
      <c r="B1094" t="str">
        <f ca="1"/>
        <v/>
      </c>
      <c r="C1094" t="str">
        <f ca="1"/>
        <v/>
      </c>
      <c r="D1094" t="str">
        <f ca="1"/>
        <v/>
      </c>
      <c r="E1094" t="str">
        <f ca="1"/>
        <v/>
      </c>
      <c r="F1094" t="str">
        <f ca="1"/>
        <v/>
      </c>
      <c r="G1094" t="str">
        <f ca="1"/>
        <v/>
      </c>
      <c r="H1094" s="17" t="str">
        <f ca="1"/>
        <v/>
      </c>
    </row>
    <row r="1095" spans="2:8" x14ac:dyDescent="0.35">
      <c r="B1095" t="str">
        <f ca="1"/>
        <v/>
      </c>
      <c r="C1095" t="str">
        <f ca="1"/>
        <v/>
      </c>
      <c r="D1095" t="str">
        <f ca="1"/>
        <v/>
      </c>
      <c r="E1095" t="str">
        <f ca="1"/>
        <v/>
      </c>
      <c r="F1095" t="str">
        <f ca="1"/>
        <v/>
      </c>
      <c r="G1095" t="str">
        <f ca="1"/>
        <v/>
      </c>
      <c r="H1095" s="17" t="str">
        <f ca="1"/>
        <v/>
      </c>
    </row>
    <row r="1096" spans="2:8" x14ac:dyDescent="0.35">
      <c r="B1096" t="str">
        <f ca="1"/>
        <v/>
      </c>
      <c r="C1096" t="str">
        <f ca="1"/>
        <v/>
      </c>
      <c r="D1096" t="str">
        <f ca="1"/>
        <v/>
      </c>
      <c r="E1096" t="str">
        <f ca="1"/>
        <v/>
      </c>
      <c r="F1096" t="str">
        <f ca="1"/>
        <v/>
      </c>
      <c r="G1096" t="str">
        <f ca="1"/>
        <v/>
      </c>
      <c r="H1096" s="17" t="str">
        <f ca="1"/>
        <v/>
      </c>
    </row>
    <row r="1097" spans="2:8" x14ac:dyDescent="0.35">
      <c r="B1097" t="str">
        <f ca="1"/>
        <v/>
      </c>
      <c r="C1097" t="str">
        <f ca="1"/>
        <v/>
      </c>
      <c r="D1097" t="str">
        <f ca="1"/>
        <v/>
      </c>
      <c r="E1097" t="str">
        <f ca="1"/>
        <v/>
      </c>
      <c r="F1097" t="str">
        <f ca="1"/>
        <v/>
      </c>
      <c r="G1097" t="str">
        <f ca="1"/>
        <v/>
      </c>
      <c r="H1097" s="17" t="str">
        <f ca="1"/>
        <v/>
      </c>
    </row>
    <row r="1098" spans="2:8" x14ac:dyDescent="0.35">
      <c r="B1098" t="str">
        <f ca="1"/>
        <v/>
      </c>
      <c r="C1098" t="str">
        <f ca="1"/>
        <v/>
      </c>
      <c r="D1098" t="str">
        <f ca="1"/>
        <v/>
      </c>
      <c r="E1098" t="str">
        <f ca="1"/>
        <v/>
      </c>
      <c r="F1098" t="str">
        <f ca="1"/>
        <v/>
      </c>
      <c r="G1098" t="str">
        <f ca="1"/>
        <v/>
      </c>
      <c r="H1098" s="17" t="str">
        <f ca="1"/>
        <v/>
      </c>
    </row>
    <row r="1099" spans="2:8" x14ac:dyDescent="0.35">
      <c r="B1099" t="str">
        <f ca="1"/>
        <v/>
      </c>
      <c r="C1099" t="str">
        <f ca="1"/>
        <v/>
      </c>
      <c r="D1099" t="str">
        <f ca="1"/>
        <v/>
      </c>
      <c r="E1099" t="str">
        <f ca="1"/>
        <v/>
      </c>
      <c r="F1099" t="str">
        <f ca="1"/>
        <v/>
      </c>
      <c r="G1099" t="str">
        <f ca="1"/>
        <v/>
      </c>
      <c r="H1099" s="17" t="str">
        <f ca="1"/>
        <v/>
      </c>
    </row>
    <row r="1100" spans="2:8" x14ac:dyDescent="0.35">
      <c r="B1100" t="str">
        <f ca="1"/>
        <v/>
      </c>
      <c r="C1100" t="str">
        <f ca="1"/>
        <v/>
      </c>
      <c r="D1100" t="str">
        <f ca="1"/>
        <v/>
      </c>
      <c r="E1100" t="str">
        <f ca="1"/>
        <v/>
      </c>
      <c r="F1100" t="str">
        <f ca="1"/>
        <v/>
      </c>
      <c r="G1100" t="str">
        <f ca="1"/>
        <v/>
      </c>
      <c r="H1100" s="17" t="str">
        <f ca="1"/>
        <v/>
      </c>
    </row>
    <row r="1101" spans="2:8" x14ac:dyDescent="0.35">
      <c r="B1101" t="str">
        <f ca="1"/>
        <v/>
      </c>
      <c r="C1101" t="str">
        <f ca="1"/>
        <v/>
      </c>
      <c r="D1101" t="str">
        <f ca="1"/>
        <v/>
      </c>
      <c r="E1101" t="str">
        <f ca="1"/>
        <v/>
      </c>
      <c r="F1101" t="str">
        <f ca="1"/>
        <v/>
      </c>
      <c r="G1101" t="str">
        <f ca="1"/>
        <v/>
      </c>
      <c r="H1101" s="17" t="str">
        <f ca="1"/>
        <v/>
      </c>
    </row>
    <row r="1102" spans="2:8" x14ac:dyDescent="0.35">
      <c r="B1102" t="str">
        <f ca="1"/>
        <v/>
      </c>
      <c r="C1102" t="str">
        <f ca="1"/>
        <v/>
      </c>
      <c r="D1102" t="str">
        <f ca="1"/>
        <v/>
      </c>
      <c r="E1102" t="str">
        <f ca="1"/>
        <v/>
      </c>
      <c r="F1102" t="str">
        <f ca="1"/>
        <v/>
      </c>
      <c r="G1102" t="str">
        <f ca="1"/>
        <v/>
      </c>
      <c r="H1102" s="17" t="str">
        <f ca="1"/>
        <v/>
      </c>
    </row>
    <row r="1103" spans="2:8" x14ac:dyDescent="0.35">
      <c r="B1103" t="str">
        <f ca="1"/>
        <v/>
      </c>
      <c r="C1103" t="str">
        <f ca="1"/>
        <v/>
      </c>
      <c r="D1103" t="str">
        <f ca="1"/>
        <v/>
      </c>
      <c r="E1103" t="str">
        <f ca="1"/>
        <v/>
      </c>
      <c r="F1103" t="str">
        <f ca="1"/>
        <v/>
      </c>
      <c r="G1103" t="str">
        <f ca="1"/>
        <v/>
      </c>
      <c r="H1103" s="17" t="str">
        <f ca="1"/>
        <v/>
      </c>
    </row>
    <row r="1104" spans="2:8" x14ac:dyDescent="0.35">
      <c r="B1104" t="str">
        <f ca="1"/>
        <v/>
      </c>
      <c r="C1104" t="str">
        <f ca="1"/>
        <v/>
      </c>
      <c r="D1104" t="str">
        <f ca="1"/>
        <v/>
      </c>
      <c r="E1104" t="str">
        <f ca="1"/>
        <v/>
      </c>
      <c r="F1104" t="str">
        <f ca="1"/>
        <v/>
      </c>
      <c r="G1104" t="str">
        <f ca="1"/>
        <v/>
      </c>
      <c r="H1104" s="17" t="str">
        <f ca="1"/>
        <v/>
      </c>
    </row>
    <row r="1105" spans="2:8" x14ac:dyDescent="0.35">
      <c r="B1105" t="str">
        <f ca="1"/>
        <v/>
      </c>
      <c r="C1105" t="str">
        <f ca="1"/>
        <v/>
      </c>
      <c r="D1105" t="str">
        <f ca="1"/>
        <v/>
      </c>
      <c r="E1105" t="str">
        <f ca="1"/>
        <v/>
      </c>
      <c r="F1105" t="str">
        <f ca="1"/>
        <v/>
      </c>
      <c r="G1105" t="str">
        <f ca="1"/>
        <v/>
      </c>
      <c r="H1105" s="17" t="str">
        <f ca="1"/>
        <v/>
      </c>
    </row>
    <row r="1106" spans="2:8" x14ac:dyDescent="0.35">
      <c r="B1106" t="str">
        <f ca="1"/>
        <v/>
      </c>
      <c r="C1106" t="str">
        <f ca="1"/>
        <v/>
      </c>
      <c r="D1106" t="str">
        <f ca="1"/>
        <v/>
      </c>
      <c r="E1106" t="str">
        <f ca="1"/>
        <v/>
      </c>
      <c r="F1106" t="str">
        <f ca="1"/>
        <v/>
      </c>
      <c r="G1106" t="str">
        <f ca="1"/>
        <v/>
      </c>
      <c r="H1106" s="17" t="str">
        <f ca="1"/>
        <v/>
      </c>
    </row>
    <row r="1107" spans="2:8" x14ac:dyDescent="0.35">
      <c r="B1107" t="str">
        <f ca="1"/>
        <v/>
      </c>
      <c r="C1107" t="str">
        <f ca="1"/>
        <v/>
      </c>
      <c r="D1107" t="str">
        <f ca="1"/>
        <v/>
      </c>
      <c r="E1107" t="str">
        <f ca="1"/>
        <v/>
      </c>
      <c r="F1107" t="str">
        <f ca="1"/>
        <v/>
      </c>
      <c r="G1107" t="str">
        <f ca="1"/>
        <v/>
      </c>
      <c r="H1107" s="17" t="str">
        <f ca="1"/>
        <v/>
      </c>
    </row>
    <row r="1108" spans="2:8" x14ac:dyDescent="0.35">
      <c r="B1108" t="str">
        <f ca="1"/>
        <v/>
      </c>
      <c r="C1108" t="str">
        <f ca="1"/>
        <v/>
      </c>
      <c r="D1108" t="str">
        <f ca="1"/>
        <v/>
      </c>
      <c r="E1108" t="str">
        <f ca="1"/>
        <v/>
      </c>
      <c r="F1108" t="str">
        <f ca="1"/>
        <v/>
      </c>
      <c r="G1108" t="str">
        <f ca="1"/>
        <v/>
      </c>
      <c r="H1108" s="17" t="str">
        <f ca="1"/>
        <v/>
      </c>
    </row>
    <row r="1109" spans="2:8" x14ac:dyDescent="0.35">
      <c r="B1109" t="str">
        <f ca="1"/>
        <v/>
      </c>
      <c r="C1109" t="str">
        <f ca="1"/>
        <v/>
      </c>
      <c r="D1109" t="str">
        <f ca="1"/>
        <v/>
      </c>
      <c r="E1109" t="str">
        <f ca="1"/>
        <v/>
      </c>
      <c r="F1109" t="str">
        <f ca="1"/>
        <v/>
      </c>
      <c r="G1109" t="str">
        <f ca="1"/>
        <v/>
      </c>
      <c r="H1109" s="17" t="str">
        <f ca="1"/>
        <v/>
      </c>
    </row>
    <row r="1110" spans="2:8" x14ac:dyDescent="0.35">
      <c r="B1110" t="str">
        <f ca="1"/>
        <v/>
      </c>
      <c r="C1110" t="str">
        <f ca="1"/>
        <v/>
      </c>
      <c r="D1110" t="str">
        <f ca="1"/>
        <v/>
      </c>
      <c r="E1110" t="str">
        <f ca="1"/>
        <v/>
      </c>
      <c r="F1110" t="str">
        <f ca="1"/>
        <v/>
      </c>
      <c r="G1110" t="str">
        <f ca="1"/>
        <v/>
      </c>
      <c r="H1110" s="17" t="str">
        <f ca="1"/>
        <v/>
      </c>
    </row>
    <row r="1111" spans="2:8" x14ac:dyDescent="0.35">
      <c r="B1111" t="str">
        <f ca="1"/>
        <v/>
      </c>
      <c r="C1111" t="str">
        <f ca="1"/>
        <v/>
      </c>
      <c r="D1111" t="str">
        <f ca="1"/>
        <v/>
      </c>
      <c r="E1111" t="str">
        <f ca="1"/>
        <v/>
      </c>
      <c r="F1111" t="str">
        <f ca="1"/>
        <v/>
      </c>
      <c r="G1111" t="str">
        <f ca="1"/>
        <v/>
      </c>
      <c r="H1111" s="17" t="str">
        <f ca="1"/>
        <v/>
      </c>
    </row>
    <row r="1112" spans="2:8" x14ac:dyDescent="0.35">
      <c r="B1112" t="str">
        <f ca="1"/>
        <v/>
      </c>
      <c r="C1112" t="str">
        <f ca="1"/>
        <v/>
      </c>
      <c r="D1112" t="str">
        <f ca="1"/>
        <v/>
      </c>
      <c r="E1112" t="str">
        <f ca="1"/>
        <v/>
      </c>
      <c r="F1112" t="str">
        <f ca="1"/>
        <v/>
      </c>
      <c r="G1112" t="str">
        <f ca="1"/>
        <v/>
      </c>
      <c r="H1112" s="17" t="str">
        <f ca="1"/>
        <v/>
      </c>
    </row>
    <row r="1113" spans="2:8" x14ac:dyDescent="0.35">
      <c r="B1113" t="str">
        <f ca="1"/>
        <v/>
      </c>
      <c r="C1113" t="str">
        <f ca="1"/>
        <v/>
      </c>
      <c r="D1113" t="str">
        <f ca="1"/>
        <v/>
      </c>
      <c r="E1113" t="str">
        <f ca="1"/>
        <v/>
      </c>
      <c r="F1113" t="str">
        <f ca="1"/>
        <v/>
      </c>
      <c r="G1113" t="str">
        <f ca="1"/>
        <v/>
      </c>
      <c r="H1113" s="17" t="str">
        <f ca="1"/>
        <v/>
      </c>
    </row>
    <row r="1114" spans="2:8" x14ac:dyDescent="0.35">
      <c r="B1114" t="str">
        <f ca="1"/>
        <v/>
      </c>
      <c r="C1114" t="str">
        <f ca="1"/>
        <v/>
      </c>
      <c r="D1114" t="str">
        <f ca="1"/>
        <v/>
      </c>
      <c r="E1114" t="str">
        <f ca="1"/>
        <v/>
      </c>
      <c r="F1114" t="str">
        <f ca="1"/>
        <v/>
      </c>
      <c r="G1114" t="str">
        <f ca="1"/>
        <v/>
      </c>
      <c r="H1114" s="17" t="str">
        <f ca="1"/>
        <v/>
      </c>
    </row>
    <row r="1115" spans="2:8" x14ac:dyDescent="0.35">
      <c r="B1115" t="str">
        <f ca="1"/>
        <v/>
      </c>
      <c r="C1115" t="str">
        <f ca="1"/>
        <v/>
      </c>
      <c r="D1115" t="str">
        <f ca="1"/>
        <v/>
      </c>
      <c r="E1115" t="str">
        <f ca="1"/>
        <v/>
      </c>
      <c r="F1115" t="str">
        <f ca="1"/>
        <v/>
      </c>
      <c r="G1115" t="str">
        <f ca="1"/>
        <v/>
      </c>
      <c r="H1115" s="17" t="str">
        <f ca="1"/>
        <v/>
      </c>
    </row>
    <row r="1116" spans="2:8" x14ac:dyDescent="0.35">
      <c r="B1116" t="str">
        <f ca="1"/>
        <v/>
      </c>
      <c r="C1116" t="str">
        <f ca="1"/>
        <v/>
      </c>
      <c r="D1116" t="str">
        <f ca="1"/>
        <v/>
      </c>
      <c r="E1116" t="str">
        <f ca="1"/>
        <v/>
      </c>
      <c r="F1116" t="str">
        <f ca="1"/>
        <v/>
      </c>
      <c r="G1116" t="str">
        <f ca="1"/>
        <v/>
      </c>
      <c r="H1116" s="17" t="str">
        <f ca="1"/>
        <v/>
      </c>
    </row>
    <row r="1117" spans="2:8" x14ac:dyDescent="0.35">
      <c r="B1117" t="str">
        <f ca="1"/>
        <v/>
      </c>
      <c r="C1117" t="str">
        <f ca="1"/>
        <v/>
      </c>
      <c r="D1117" t="str">
        <f ca="1"/>
        <v/>
      </c>
      <c r="E1117" t="str">
        <f ca="1"/>
        <v/>
      </c>
      <c r="F1117" t="str">
        <f ca="1"/>
        <v/>
      </c>
      <c r="G1117" t="str">
        <f ca="1"/>
        <v/>
      </c>
      <c r="H1117" s="17" t="str">
        <f ca="1"/>
        <v/>
      </c>
    </row>
    <row r="1118" spans="2:8" x14ac:dyDescent="0.35">
      <c r="B1118" t="str">
        <f ca="1"/>
        <v/>
      </c>
      <c r="C1118" t="str">
        <f ca="1"/>
        <v/>
      </c>
      <c r="D1118" t="str">
        <f ca="1"/>
        <v/>
      </c>
      <c r="E1118" t="str">
        <f ca="1"/>
        <v/>
      </c>
      <c r="F1118" t="str">
        <f ca="1"/>
        <v/>
      </c>
      <c r="G1118" t="str">
        <f ca="1"/>
        <v/>
      </c>
      <c r="H1118" s="17" t="str">
        <f ca="1"/>
        <v/>
      </c>
    </row>
    <row r="1119" spans="2:8" x14ac:dyDescent="0.35">
      <c r="B1119" t="str">
        <f ca="1"/>
        <v/>
      </c>
      <c r="C1119" t="str">
        <f ca="1"/>
        <v/>
      </c>
      <c r="D1119" t="str">
        <f ca="1"/>
        <v/>
      </c>
      <c r="E1119" t="str">
        <f ca="1"/>
        <v/>
      </c>
      <c r="F1119" t="str">
        <f ca="1"/>
        <v/>
      </c>
      <c r="G1119" t="str">
        <f ca="1"/>
        <v/>
      </c>
      <c r="H1119" s="17" t="str">
        <f ca="1"/>
        <v/>
      </c>
    </row>
    <row r="1120" spans="2:8" x14ac:dyDescent="0.35">
      <c r="B1120" t="str">
        <f ca="1"/>
        <v/>
      </c>
      <c r="C1120" t="str">
        <f ca="1"/>
        <v/>
      </c>
      <c r="D1120" t="str">
        <f ca="1"/>
        <v/>
      </c>
      <c r="E1120" t="str">
        <f ca="1"/>
        <v/>
      </c>
      <c r="F1120" t="str">
        <f ca="1"/>
        <v/>
      </c>
      <c r="G1120" t="str">
        <f ca="1"/>
        <v/>
      </c>
      <c r="H1120" s="17" t="str">
        <f ca="1"/>
        <v/>
      </c>
    </row>
    <row r="1121" spans="2:8" x14ac:dyDescent="0.35">
      <c r="B1121" t="str">
        <f ca="1"/>
        <v/>
      </c>
      <c r="C1121" t="str">
        <f ca="1"/>
        <v/>
      </c>
      <c r="D1121" t="str">
        <f ca="1"/>
        <v/>
      </c>
      <c r="E1121" t="str">
        <f ca="1"/>
        <v/>
      </c>
      <c r="F1121" t="str">
        <f ca="1"/>
        <v/>
      </c>
      <c r="G1121" t="str">
        <f ca="1"/>
        <v/>
      </c>
      <c r="H1121" s="17" t="str">
        <f ca="1"/>
        <v/>
      </c>
    </row>
    <row r="1122" spans="2:8" x14ac:dyDescent="0.35">
      <c r="B1122" t="str">
        <f ca="1"/>
        <v/>
      </c>
      <c r="C1122" t="str">
        <f ca="1"/>
        <v/>
      </c>
      <c r="D1122" t="str">
        <f ca="1"/>
        <v/>
      </c>
      <c r="E1122" t="str">
        <f ca="1"/>
        <v/>
      </c>
      <c r="F1122" t="str">
        <f ca="1"/>
        <v/>
      </c>
      <c r="G1122" t="str">
        <f ca="1"/>
        <v/>
      </c>
      <c r="H1122" s="17" t="str">
        <f ca="1"/>
        <v/>
      </c>
    </row>
    <row r="1123" spans="2:8" x14ac:dyDescent="0.35">
      <c r="B1123" t="str">
        <f ca="1"/>
        <v/>
      </c>
      <c r="C1123" t="str">
        <f ca="1"/>
        <v/>
      </c>
      <c r="D1123" t="str">
        <f ca="1"/>
        <v/>
      </c>
      <c r="E1123" t="str">
        <f ca="1"/>
        <v/>
      </c>
      <c r="F1123" t="str">
        <f ca="1"/>
        <v/>
      </c>
      <c r="G1123" t="str">
        <f ca="1"/>
        <v/>
      </c>
      <c r="H1123" s="17" t="str">
        <f ca="1"/>
        <v/>
      </c>
    </row>
    <row r="1124" spans="2:8" x14ac:dyDescent="0.35">
      <c r="B1124" t="str">
        <f ca="1"/>
        <v/>
      </c>
      <c r="C1124" t="str">
        <f ca="1"/>
        <v/>
      </c>
      <c r="D1124" t="str">
        <f ca="1"/>
        <v/>
      </c>
      <c r="E1124" t="str">
        <f ca="1"/>
        <v/>
      </c>
      <c r="F1124" t="str">
        <f ca="1"/>
        <v/>
      </c>
      <c r="G1124" t="str">
        <f ca="1"/>
        <v/>
      </c>
      <c r="H1124" s="17" t="str">
        <f ca="1"/>
        <v/>
      </c>
    </row>
    <row r="1125" spans="2:8" x14ac:dyDescent="0.35">
      <c r="B1125" t="str">
        <f ca="1"/>
        <v/>
      </c>
      <c r="C1125" t="str">
        <f ca="1"/>
        <v/>
      </c>
      <c r="D1125" t="str">
        <f ca="1"/>
        <v/>
      </c>
      <c r="E1125" t="str">
        <f ca="1"/>
        <v/>
      </c>
      <c r="F1125" t="str">
        <f ca="1"/>
        <v/>
      </c>
      <c r="G1125" t="str">
        <f ca="1"/>
        <v/>
      </c>
      <c r="H1125" s="17" t="str">
        <f ca="1"/>
        <v/>
      </c>
    </row>
    <row r="1126" spans="2:8" x14ac:dyDescent="0.35">
      <c r="B1126" t="str">
        <f ca="1"/>
        <v/>
      </c>
      <c r="C1126" t="str">
        <f ca="1"/>
        <v/>
      </c>
      <c r="D1126" t="str">
        <f ca="1"/>
        <v/>
      </c>
      <c r="E1126" t="str">
        <f ca="1"/>
        <v/>
      </c>
      <c r="F1126" t="str">
        <f ca="1"/>
        <v/>
      </c>
      <c r="G1126" t="str">
        <f ca="1"/>
        <v/>
      </c>
      <c r="H1126" s="17" t="str">
        <f ca="1"/>
        <v/>
      </c>
    </row>
    <row r="1127" spans="2:8" x14ac:dyDescent="0.35">
      <c r="B1127" t="str">
        <f ca="1"/>
        <v/>
      </c>
      <c r="C1127" t="str">
        <f ca="1"/>
        <v/>
      </c>
      <c r="D1127" t="str">
        <f ca="1"/>
        <v/>
      </c>
      <c r="E1127" t="str">
        <f ca="1"/>
        <v/>
      </c>
      <c r="F1127" t="str">
        <f ca="1"/>
        <v/>
      </c>
      <c r="G1127" t="str">
        <f ca="1"/>
        <v/>
      </c>
      <c r="H1127" s="17" t="str">
        <f ca="1"/>
        <v/>
      </c>
    </row>
    <row r="1128" spans="2:8" x14ac:dyDescent="0.35">
      <c r="B1128" t="str">
        <f ca="1"/>
        <v/>
      </c>
      <c r="C1128" t="str">
        <f ca="1"/>
        <v/>
      </c>
      <c r="D1128" t="str">
        <f ca="1"/>
        <v/>
      </c>
      <c r="E1128" t="str">
        <f ca="1"/>
        <v/>
      </c>
      <c r="F1128" t="str">
        <f ca="1"/>
        <v/>
      </c>
      <c r="G1128" t="str">
        <f ca="1"/>
        <v/>
      </c>
      <c r="H1128" s="17" t="str">
        <f ca="1"/>
        <v/>
      </c>
    </row>
    <row r="1129" spans="2:8" x14ac:dyDescent="0.35">
      <c r="B1129" t="str">
        <f ca="1"/>
        <v/>
      </c>
      <c r="C1129" t="str">
        <f ca="1"/>
        <v/>
      </c>
      <c r="D1129" t="str">
        <f ca="1"/>
        <v/>
      </c>
      <c r="E1129" t="str">
        <f ca="1"/>
        <v/>
      </c>
      <c r="F1129" t="str">
        <f ca="1"/>
        <v/>
      </c>
      <c r="G1129" t="str">
        <f ca="1"/>
        <v/>
      </c>
      <c r="H1129" s="17" t="str">
        <f ca="1"/>
        <v/>
      </c>
    </row>
    <row r="1130" spans="2:8" x14ac:dyDescent="0.35">
      <c r="B1130" t="str">
        <f ca="1"/>
        <v/>
      </c>
      <c r="C1130" t="str">
        <f ca="1"/>
        <v/>
      </c>
      <c r="D1130" t="str">
        <f ca="1"/>
        <v/>
      </c>
      <c r="E1130" t="str">
        <f ca="1"/>
        <v/>
      </c>
      <c r="F1130" t="str">
        <f ca="1"/>
        <v/>
      </c>
      <c r="G1130" t="str">
        <f ca="1"/>
        <v/>
      </c>
      <c r="H1130" s="17" t="str">
        <f ca="1"/>
        <v/>
      </c>
    </row>
    <row r="1131" spans="2:8" x14ac:dyDescent="0.35">
      <c r="B1131" t="str">
        <f ca="1"/>
        <v/>
      </c>
      <c r="C1131" t="str">
        <f ca="1"/>
        <v/>
      </c>
      <c r="D1131" t="str">
        <f ca="1"/>
        <v/>
      </c>
      <c r="E1131" t="str">
        <f ca="1"/>
        <v/>
      </c>
      <c r="F1131" t="str">
        <f ca="1"/>
        <v/>
      </c>
      <c r="G1131" t="str">
        <f ca="1"/>
        <v/>
      </c>
      <c r="H1131" s="17" t="str">
        <f ca="1"/>
        <v/>
      </c>
    </row>
    <row r="1132" spans="2:8" x14ac:dyDescent="0.35">
      <c r="B1132" t="str">
        <f ca="1"/>
        <v/>
      </c>
      <c r="C1132" t="str">
        <f ca="1"/>
        <v/>
      </c>
      <c r="D1132" t="str">
        <f ca="1"/>
        <v/>
      </c>
      <c r="E1132" t="str">
        <f ca="1"/>
        <v/>
      </c>
      <c r="F1132" t="str">
        <f ca="1"/>
        <v/>
      </c>
      <c r="G1132" t="str">
        <f ca="1"/>
        <v/>
      </c>
      <c r="H1132" s="17" t="str">
        <f ca="1"/>
        <v/>
      </c>
    </row>
    <row r="1133" spans="2:8" x14ac:dyDescent="0.35">
      <c r="B1133" t="str">
        <f ca="1"/>
        <v/>
      </c>
      <c r="C1133" t="str">
        <f ca="1"/>
        <v/>
      </c>
      <c r="D1133" t="str">
        <f ca="1"/>
        <v/>
      </c>
      <c r="E1133" t="str">
        <f ca="1"/>
        <v/>
      </c>
      <c r="F1133" t="str">
        <f ca="1"/>
        <v/>
      </c>
      <c r="G1133" t="str">
        <f ca="1"/>
        <v/>
      </c>
      <c r="H1133" s="17" t="str">
        <f ca="1"/>
        <v/>
      </c>
    </row>
    <row r="1134" spans="2:8" x14ac:dyDescent="0.35">
      <c r="B1134" t="str">
        <f ca="1"/>
        <v/>
      </c>
      <c r="C1134" t="str">
        <f ca="1"/>
        <v/>
      </c>
      <c r="D1134" t="str">
        <f ca="1"/>
        <v/>
      </c>
      <c r="E1134" t="str">
        <f ca="1"/>
        <v/>
      </c>
      <c r="F1134" t="str">
        <f ca="1"/>
        <v/>
      </c>
      <c r="G1134" t="str">
        <f ca="1"/>
        <v/>
      </c>
      <c r="H1134" s="17" t="str">
        <f ca="1"/>
        <v/>
      </c>
    </row>
    <row r="1135" spans="2:8" x14ac:dyDescent="0.35">
      <c r="B1135" t="str">
        <f ca="1"/>
        <v/>
      </c>
      <c r="C1135" t="str">
        <f ca="1"/>
        <v/>
      </c>
      <c r="D1135" t="str">
        <f ca="1"/>
        <v/>
      </c>
      <c r="E1135" t="str">
        <f ca="1"/>
        <v/>
      </c>
      <c r="F1135" t="str">
        <f ca="1"/>
        <v/>
      </c>
      <c r="G1135" t="str">
        <f ca="1"/>
        <v/>
      </c>
      <c r="H1135" s="17" t="str">
        <f ca="1"/>
        <v/>
      </c>
    </row>
    <row r="1136" spans="2:8" x14ac:dyDescent="0.35">
      <c r="B1136" t="str">
        <f ca="1"/>
        <v/>
      </c>
      <c r="C1136" t="str">
        <f ca="1"/>
        <v/>
      </c>
      <c r="D1136" t="str">
        <f ca="1"/>
        <v/>
      </c>
      <c r="E1136" t="str">
        <f ca="1"/>
        <v/>
      </c>
      <c r="F1136" t="str">
        <f ca="1"/>
        <v/>
      </c>
      <c r="G1136" t="str">
        <f ca="1"/>
        <v/>
      </c>
      <c r="H1136" s="17" t="str">
        <f ca="1"/>
        <v/>
      </c>
    </row>
    <row r="1137" spans="2:8" x14ac:dyDescent="0.35">
      <c r="B1137" t="str">
        <f ca="1"/>
        <v/>
      </c>
      <c r="C1137" t="str">
        <f ca="1"/>
        <v/>
      </c>
      <c r="D1137" t="str">
        <f ca="1"/>
        <v/>
      </c>
      <c r="E1137" t="str">
        <f ca="1"/>
        <v/>
      </c>
      <c r="F1137" t="str">
        <f ca="1"/>
        <v/>
      </c>
      <c r="G1137" t="str">
        <f ca="1"/>
        <v/>
      </c>
      <c r="H1137" s="17" t="str">
        <f ca="1"/>
        <v/>
      </c>
    </row>
    <row r="1138" spans="2:8" x14ac:dyDescent="0.35">
      <c r="B1138" t="str">
        <f ca="1"/>
        <v/>
      </c>
      <c r="C1138" t="str">
        <f ca="1"/>
        <v/>
      </c>
      <c r="D1138" t="str">
        <f ca="1"/>
        <v/>
      </c>
      <c r="E1138" t="str">
        <f ca="1"/>
        <v/>
      </c>
      <c r="F1138" t="str">
        <f ca="1"/>
        <v/>
      </c>
      <c r="G1138" t="str">
        <f ca="1"/>
        <v/>
      </c>
      <c r="H1138" s="17" t="str">
        <f ca="1"/>
        <v/>
      </c>
    </row>
    <row r="1139" spans="2:8" x14ac:dyDescent="0.35">
      <c r="B1139" t="str">
        <f ca="1"/>
        <v/>
      </c>
      <c r="C1139" t="str">
        <f ca="1"/>
        <v/>
      </c>
      <c r="D1139" t="str">
        <f ca="1"/>
        <v/>
      </c>
      <c r="E1139" t="str">
        <f ca="1"/>
        <v/>
      </c>
      <c r="F1139" t="str">
        <f ca="1"/>
        <v/>
      </c>
      <c r="G1139" t="str">
        <f ca="1"/>
        <v/>
      </c>
      <c r="H1139" s="17" t="str">
        <f ca="1"/>
        <v/>
      </c>
    </row>
    <row r="1140" spans="2:8" x14ac:dyDescent="0.35">
      <c r="B1140" t="str">
        <f ca="1"/>
        <v/>
      </c>
      <c r="C1140" t="str">
        <f ca="1"/>
        <v/>
      </c>
      <c r="D1140" t="str">
        <f ca="1"/>
        <v/>
      </c>
      <c r="E1140" t="str">
        <f ca="1"/>
        <v/>
      </c>
      <c r="F1140" t="str">
        <f ca="1"/>
        <v/>
      </c>
      <c r="G1140" t="str">
        <f ca="1"/>
        <v/>
      </c>
      <c r="H1140" s="17" t="str">
        <f ca="1"/>
        <v/>
      </c>
    </row>
    <row r="1141" spans="2:8" x14ac:dyDescent="0.35">
      <c r="B1141" t="str">
        <f ca="1"/>
        <v/>
      </c>
      <c r="C1141" t="str">
        <f ca="1"/>
        <v/>
      </c>
      <c r="D1141" t="str">
        <f ca="1"/>
        <v/>
      </c>
      <c r="E1141" t="str">
        <f ca="1"/>
        <v/>
      </c>
      <c r="F1141" t="str">
        <f ca="1"/>
        <v/>
      </c>
      <c r="G1141" t="str">
        <f ca="1"/>
        <v/>
      </c>
      <c r="H1141" s="17" t="str">
        <f ca="1"/>
        <v/>
      </c>
    </row>
    <row r="1142" spans="2:8" x14ac:dyDescent="0.35">
      <c r="B1142" t="str">
        <f ca="1"/>
        <v/>
      </c>
      <c r="C1142" t="str">
        <f ca="1"/>
        <v/>
      </c>
      <c r="D1142" t="str">
        <f ca="1"/>
        <v/>
      </c>
      <c r="E1142" t="str">
        <f ca="1"/>
        <v/>
      </c>
      <c r="F1142" t="str">
        <f ca="1"/>
        <v/>
      </c>
      <c r="G1142" t="str">
        <f ca="1"/>
        <v/>
      </c>
      <c r="H1142" s="17" t="str">
        <f ca="1"/>
        <v/>
      </c>
    </row>
    <row r="1143" spans="2:8" x14ac:dyDescent="0.35">
      <c r="B1143" t="str">
        <f ca="1"/>
        <v/>
      </c>
      <c r="C1143" t="str">
        <f ca="1"/>
        <v/>
      </c>
      <c r="D1143" t="str">
        <f ca="1"/>
        <v/>
      </c>
      <c r="E1143" t="str">
        <f ca="1"/>
        <v/>
      </c>
      <c r="F1143" t="str">
        <f ca="1"/>
        <v/>
      </c>
      <c r="G1143" t="str">
        <f ca="1"/>
        <v/>
      </c>
      <c r="H1143" s="17" t="str">
        <f ca="1"/>
        <v/>
      </c>
    </row>
    <row r="1144" spans="2:8" x14ac:dyDescent="0.35">
      <c r="B1144" t="str">
        <f ca="1"/>
        <v/>
      </c>
      <c r="C1144" t="str">
        <f ca="1"/>
        <v/>
      </c>
      <c r="D1144" t="str">
        <f ca="1"/>
        <v/>
      </c>
      <c r="E1144" t="str">
        <f ca="1"/>
        <v/>
      </c>
      <c r="F1144" t="str">
        <f ca="1"/>
        <v/>
      </c>
      <c r="G1144" t="str">
        <f ca="1"/>
        <v/>
      </c>
      <c r="H1144" s="17" t="str">
        <f ca="1"/>
        <v/>
      </c>
    </row>
    <row r="1145" spans="2:8" x14ac:dyDescent="0.35">
      <c r="B1145" t="str">
        <f ca="1"/>
        <v/>
      </c>
      <c r="C1145" t="str">
        <f ca="1"/>
        <v/>
      </c>
      <c r="D1145" t="str">
        <f ca="1"/>
        <v/>
      </c>
      <c r="E1145" t="str">
        <f ca="1"/>
        <v/>
      </c>
      <c r="F1145" t="str">
        <f ca="1"/>
        <v/>
      </c>
      <c r="G1145" t="str">
        <f ca="1"/>
        <v/>
      </c>
      <c r="H1145" s="17" t="str">
        <f ca="1"/>
        <v/>
      </c>
    </row>
    <row r="1146" spans="2:8" x14ac:dyDescent="0.35">
      <c r="B1146" t="str">
        <f ca="1"/>
        <v/>
      </c>
      <c r="C1146" t="str">
        <f ca="1"/>
        <v/>
      </c>
      <c r="D1146" t="str">
        <f ca="1"/>
        <v/>
      </c>
      <c r="E1146" t="str">
        <f ca="1"/>
        <v/>
      </c>
      <c r="F1146" t="str">
        <f ca="1"/>
        <v/>
      </c>
      <c r="G1146" t="str">
        <f ca="1"/>
        <v/>
      </c>
      <c r="H1146" s="17" t="str">
        <f ca="1"/>
        <v/>
      </c>
    </row>
    <row r="1147" spans="2:8" x14ac:dyDescent="0.35">
      <c r="B1147" t="str">
        <f ca="1"/>
        <v/>
      </c>
      <c r="C1147" t="str">
        <f ca="1"/>
        <v/>
      </c>
      <c r="D1147" t="str">
        <f ca="1"/>
        <v/>
      </c>
      <c r="E1147" t="str">
        <f ca="1"/>
        <v/>
      </c>
      <c r="F1147" t="str">
        <f ca="1"/>
        <v/>
      </c>
      <c r="G1147" t="str">
        <f ca="1"/>
        <v/>
      </c>
      <c r="H1147" s="17" t="str">
        <f ca="1"/>
        <v/>
      </c>
    </row>
    <row r="1148" spans="2:8" x14ac:dyDescent="0.35">
      <c r="B1148" t="str">
        <f ca="1"/>
        <v/>
      </c>
      <c r="C1148" t="str">
        <f ca="1"/>
        <v/>
      </c>
      <c r="D1148" t="str">
        <f ca="1"/>
        <v/>
      </c>
      <c r="E1148" t="str">
        <f ca="1"/>
        <v/>
      </c>
      <c r="F1148" t="str">
        <f ca="1"/>
        <v/>
      </c>
      <c r="G1148" t="str">
        <f ca="1"/>
        <v/>
      </c>
      <c r="H1148" s="17" t="str">
        <f ca="1"/>
        <v/>
      </c>
    </row>
    <row r="1149" spans="2:8" x14ac:dyDescent="0.35">
      <c r="B1149" t="str">
        <f ca="1"/>
        <v/>
      </c>
      <c r="C1149" t="str">
        <f ca="1"/>
        <v/>
      </c>
      <c r="D1149" t="str">
        <f ca="1"/>
        <v/>
      </c>
      <c r="E1149" t="str">
        <f ca="1"/>
        <v/>
      </c>
      <c r="F1149" t="str">
        <f ca="1"/>
        <v/>
      </c>
      <c r="G1149" t="str">
        <f ca="1"/>
        <v/>
      </c>
      <c r="H1149" s="17" t="str">
        <f ca="1"/>
        <v/>
      </c>
    </row>
    <row r="1150" spans="2:8" x14ac:dyDescent="0.35">
      <c r="B1150" t="str">
        <f ca="1"/>
        <v/>
      </c>
      <c r="C1150" t="str">
        <f ca="1"/>
        <v/>
      </c>
      <c r="D1150" t="str">
        <f ca="1"/>
        <v/>
      </c>
      <c r="E1150" t="str">
        <f ca="1"/>
        <v/>
      </c>
      <c r="F1150" t="str">
        <f ca="1"/>
        <v/>
      </c>
      <c r="G1150" t="str">
        <f ca="1"/>
        <v/>
      </c>
      <c r="H1150" s="17" t="str">
        <f ca="1"/>
        <v/>
      </c>
    </row>
    <row r="1151" spans="2:8" x14ac:dyDescent="0.35">
      <c r="B1151" t="str">
        <f ca="1"/>
        <v/>
      </c>
      <c r="C1151" t="str">
        <f ca="1"/>
        <v/>
      </c>
      <c r="D1151" t="str">
        <f ca="1"/>
        <v/>
      </c>
      <c r="E1151" t="str">
        <f ca="1"/>
        <v/>
      </c>
      <c r="F1151" t="str">
        <f ca="1"/>
        <v/>
      </c>
      <c r="G1151" t="str">
        <f ca="1"/>
        <v/>
      </c>
      <c r="H1151" s="17" t="str">
        <f ca="1"/>
        <v/>
      </c>
    </row>
    <row r="1152" spans="2:8" x14ac:dyDescent="0.35">
      <c r="B1152" t="str">
        <f ca="1"/>
        <v/>
      </c>
      <c r="C1152" t="str">
        <f ca="1"/>
        <v/>
      </c>
      <c r="D1152" t="str">
        <f ca="1"/>
        <v/>
      </c>
      <c r="E1152" t="str">
        <f ca="1"/>
        <v/>
      </c>
      <c r="F1152" t="str">
        <f ca="1"/>
        <v/>
      </c>
      <c r="G1152" t="str">
        <f ca="1"/>
        <v/>
      </c>
      <c r="H1152" s="17" t="str">
        <f ca="1"/>
        <v/>
      </c>
    </row>
    <row r="1153" spans="2:8" x14ac:dyDescent="0.35">
      <c r="B1153" t="str">
        <f ca="1"/>
        <v/>
      </c>
      <c r="C1153" t="str">
        <f ca="1"/>
        <v/>
      </c>
      <c r="D1153" t="str">
        <f ca="1"/>
        <v/>
      </c>
      <c r="E1153" t="str">
        <f ca="1"/>
        <v/>
      </c>
      <c r="F1153" t="str">
        <f ca="1"/>
        <v/>
      </c>
      <c r="G1153" t="str">
        <f ca="1"/>
        <v/>
      </c>
      <c r="H1153" s="17" t="str">
        <f ca="1"/>
        <v/>
      </c>
    </row>
    <row r="1154" spans="2:8" x14ac:dyDescent="0.35">
      <c r="B1154" t="str">
        <f ca="1"/>
        <v/>
      </c>
      <c r="C1154" t="str">
        <f ca="1"/>
        <v/>
      </c>
      <c r="D1154" t="str">
        <f ca="1"/>
        <v/>
      </c>
      <c r="E1154" t="str">
        <f ca="1"/>
        <v/>
      </c>
      <c r="F1154" t="str">
        <f ca="1"/>
        <v/>
      </c>
      <c r="G1154" t="str">
        <f ca="1"/>
        <v/>
      </c>
      <c r="H1154" s="17" t="str">
        <f ca="1"/>
        <v/>
      </c>
    </row>
    <row r="1155" spans="2:8" x14ac:dyDescent="0.35">
      <c r="B1155" t="str">
        <f ca="1"/>
        <v/>
      </c>
      <c r="C1155" t="str">
        <f ca="1"/>
        <v/>
      </c>
      <c r="D1155" t="str">
        <f ca="1"/>
        <v/>
      </c>
      <c r="E1155" t="str">
        <f ca="1"/>
        <v/>
      </c>
      <c r="F1155" t="str">
        <f ca="1"/>
        <v/>
      </c>
      <c r="G1155" t="str">
        <f ca="1"/>
        <v/>
      </c>
      <c r="H1155" s="17" t="str">
        <f ca="1"/>
        <v/>
      </c>
    </row>
    <row r="1156" spans="2:8" x14ac:dyDescent="0.35">
      <c r="B1156" t="str">
        <f ca="1"/>
        <v/>
      </c>
      <c r="C1156" t="str">
        <f ca="1"/>
        <v/>
      </c>
      <c r="D1156" t="str">
        <f ca="1"/>
        <v/>
      </c>
      <c r="E1156" t="str">
        <f ca="1"/>
        <v/>
      </c>
      <c r="F1156" t="str">
        <f ca="1"/>
        <v/>
      </c>
      <c r="G1156" t="str">
        <f ca="1"/>
        <v/>
      </c>
      <c r="H1156" s="17" t="str">
        <f ca="1"/>
        <v/>
      </c>
    </row>
    <row r="1157" spans="2:8" x14ac:dyDescent="0.35">
      <c r="B1157" t="str">
        <f ca="1"/>
        <v/>
      </c>
      <c r="C1157" t="str">
        <f ca="1"/>
        <v/>
      </c>
      <c r="D1157" t="str">
        <f ca="1"/>
        <v/>
      </c>
      <c r="E1157" t="str">
        <f ca="1"/>
        <v/>
      </c>
      <c r="F1157" t="str">
        <f ca="1"/>
        <v/>
      </c>
      <c r="G1157" t="str">
        <f ca="1"/>
        <v/>
      </c>
      <c r="H1157" s="17" t="str">
        <f ca="1"/>
        <v/>
      </c>
    </row>
    <row r="1158" spans="2:8" x14ac:dyDescent="0.35">
      <c r="B1158" t="str">
        <f ca="1"/>
        <v/>
      </c>
      <c r="C1158" t="str">
        <f ca="1"/>
        <v/>
      </c>
      <c r="D1158" t="str">
        <f ca="1"/>
        <v/>
      </c>
      <c r="E1158" t="str">
        <f ca="1"/>
        <v/>
      </c>
      <c r="F1158" t="str">
        <f ca="1"/>
        <v/>
      </c>
      <c r="G1158" t="str">
        <f ca="1"/>
        <v/>
      </c>
      <c r="H1158" s="17" t="str">
        <f ca="1"/>
        <v/>
      </c>
    </row>
    <row r="1159" spans="2:8" x14ac:dyDescent="0.35">
      <c r="B1159" t="str">
        <f ca="1"/>
        <v/>
      </c>
      <c r="C1159" t="str">
        <f ca="1"/>
        <v/>
      </c>
      <c r="D1159" t="str">
        <f ca="1"/>
        <v/>
      </c>
      <c r="E1159" t="str">
        <f ca="1"/>
        <v/>
      </c>
      <c r="F1159" t="str">
        <f ca="1"/>
        <v/>
      </c>
      <c r="G1159" t="str">
        <f ca="1"/>
        <v/>
      </c>
      <c r="H1159" s="17" t="str">
        <f ca="1"/>
        <v/>
      </c>
    </row>
    <row r="1160" spans="2:8" x14ac:dyDescent="0.35">
      <c r="B1160" t="str">
        <f ca="1"/>
        <v/>
      </c>
      <c r="C1160" t="str">
        <f ca="1"/>
        <v/>
      </c>
      <c r="D1160" t="str">
        <f ca="1"/>
        <v/>
      </c>
      <c r="E1160" t="str">
        <f ca="1"/>
        <v/>
      </c>
      <c r="F1160" t="str">
        <f ca="1"/>
        <v/>
      </c>
      <c r="G1160" t="str">
        <f ca="1"/>
        <v/>
      </c>
      <c r="H1160" s="17" t="str">
        <f ca="1"/>
        <v/>
      </c>
    </row>
    <row r="1161" spans="2:8" x14ac:dyDescent="0.35">
      <c r="B1161" t="str">
        <f ca="1"/>
        <v/>
      </c>
      <c r="C1161" t="str">
        <f ca="1"/>
        <v/>
      </c>
      <c r="D1161" t="str">
        <f ca="1"/>
        <v/>
      </c>
      <c r="E1161" t="str">
        <f ca="1"/>
        <v/>
      </c>
      <c r="F1161" t="str">
        <f ca="1"/>
        <v/>
      </c>
      <c r="G1161" t="str">
        <f ca="1"/>
        <v/>
      </c>
      <c r="H1161" s="17" t="str">
        <f ca="1"/>
        <v/>
      </c>
    </row>
    <row r="1162" spans="2:8" x14ac:dyDescent="0.35">
      <c r="B1162" t="str">
        <f ca="1"/>
        <v/>
      </c>
      <c r="C1162" t="str">
        <f ca="1"/>
        <v/>
      </c>
      <c r="D1162" t="str">
        <f ca="1"/>
        <v/>
      </c>
      <c r="E1162" t="str">
        <f ca="1"/>
        <v/>
      </c>
      <c r="F1162" t="str">
        <f ca="1"/>
        <v/>
      </c>
      <c r="G1162" t="str">
        <f ca="1"/>
        <v/>
      </c>
      <c r="H1162" s="17" t="str">
        <f ca="1"/>
        <v/>
      </c>
    </row>
    <row r="1163" spans="2:8" x14ac:dyDescent="0.35">
      <c r="B1163" t="str">
        <f ca="1"/>
        <v/>
      </c>
      <c r="C1163" t="str">
        <f ca="1"/>
        <v/>
      </c>
      <c r="D1163" t="str">
        <f ca="1"/>
        <v/>
      </c>
      <c r="E1163" t="str">
        <f ca="1"/>
        <v/>
      </c>
      <c r="F1163" t="str">
        <f ca="1"/>
        <v/>
      </c>
      <c r="G1163" t="str">
        <f ca="1"/>
        <v/>
      </c>
      <c r="H1163" s="17" t="str">
        <f ca="1"/>
        <v/>
      </c>
    </row>
    <row r="1164" spans="2:8" x14ac:dyDescent="0.35">
      <c r="B1164" t="str">
        <f ca="1"/>
        <v/>
      </c>
      <c r="C1164" t="str">
        <f ca="1"/>
        <v/>
      </c>
      <c r="D1164" t="str">
        <f ca="1"/>
        <v/>
      </c>
      <c r="E1164" t="str">
        <f ca="1"/>
        <v/>
      </c>
      <c r="F1164" t="str">
        <f ca="1"/>
        <v/>
      </c>
      <c r="G1164" t="str">
        <f ca="1"/>
        <v/>
      </c>
      <c r="H1164" s="17" t="str">
        <f ca="1"/>
        <v/>
      </c>
    </row>
    <row r="1165" spans="2:8" x14ac:dyDescent="0.35">
      <c r="B1165" t="str">
        <f ca="1"/>
        <v/>
      </c>
      <c r="C1165" t="str">
        <f ca="1"/>
        <v/>
      </c>
      <c r="D1165" t="str">
        <f ca="1"/>
        <v/>
      </c>
      <c r="E1165" t="str">
        <f ca="1"/>
        <v/>
      </c>
      <c r="F1165" t="str">
        <f ca="1"/>
        <v/>
      </c>
      <c r="G1165" t="str">
        <f ca="1"/>
        <v/>
      </c>
      <c r="H1165" s="17" t="str">
        <f ca="1"/>
        <v/>
      </c>
    </row>
    <row r="1166" spans="2:8" x14ac:dyDescent="0.35">
      <c r="B1166" t="str">
        <f ca="1"/>
        <v/>
      </c>
      <c r="C1166" t="str">
        <f ca="1"/>
        <v/>
      </c>
      <c r="D1166" t="str">
        <f ca="1"/>
        <v/>
      </c>
      <c r="E1166" t="str">
        <f ca="1"/>
        <v/>
      </c>
      <c r="F1166" t="str">
        <f ca="1"/>
        <v/>
      </c>
      <c r="G1166" t="str">
        <f ca="1"/>
        <v/>
      </c>
      <c r="H1166" s="17" t="str">
        <f ca="1"/>
        <v/>
      </c>
    </row>
    <row r="1167" spans="2:8" x14ac:dyDescent="0.35">
      <c r="B1167" t="str">
        <f ca="1"/>
        <v/>
      </c>
      <c r="C1167" t="str">
        <f ca="1"/>
        <v/>
      </c>
      <c r="D1167" t="str">
        <f ca="1"/>
        <v/>
      </c>
      <c r="E1167" t="str">
        <f ca="1"/>
        <v/>
      </c>
      <c r="F1167" t="str">
        <f ca="1"/>
        <v/>
      </c>
      <c r="G1167" t="str">
        <f ca="1"/>
        <v/>
      </c>
      <c r="H1167" s="17" t="str">
        <f ca="1"/>
        <v/>
      </c>
    </row>
    <row r="1168" spans="2:8" x14ac:dyDescent="0.35">
      <c r="B1168" t="str">
        <f ca="1"/>
        <v/>
      </c>
      <c r="C1168" t="str">
        <f ca="1"/>
        <v/>
      </c>
      <c r="D1168" t="str">
        <f ca="1"/>
        <v/>
      </c>
      <c r="E1168" t="str">
        <f ca="1"/>
        <v/>
      </c>
      <c r="F1168" t="str">
        <f ca="1"/>
        <v/>
      </c>
      <c r="G1168" t="str">
        <f ca="1"/>
        <v/>
      </c>
      <c r="H1168" s="17" t="str">
        <f ca="1"/>
        <v/>
      </c>
    </row>
    <row r="1169" spans="2:8" x14ac:dyDescent="0.35">
      <c r="B1169" t="str">
        <f ca="1"/>
        <v/>
      </c>
      <c r="C1169" t="str">
        <f ca="1"/>
        <v/>
      </c>
      <c r="D1169" t="str">
        <f ca="1"/>
        <v/>
      </c>
      <c r="E1169" t="str">
        <f ca="1"/>
        <v/>
      </c>
      <c r="F1169" t="str">
        <f ca="1"/>
        <v/>
      </c>
      <c r="G1169" t="str">
        <f ca="1"/>
        <v/>
      </c>
      <c r="H1169" s="17" t="str">
        <f ca="1"/>
        <v/>
      </c>
    </row>
    <row r="1170" spans="2:8" x14ac:dyDescent="0.35">
      <c r="B1170" t="str">
        <f ca="1"/>
        <v/>
      </c>
      <c r="C1170" t="str">
        <f ca="1"/>
        <v/>
      </c>
      <c r="D1170" t="str">
        <f ca="1"/>
        <v/>
      </c>
      <c r="E1170" t="str">
        <f ca="1"/>
        <v/>
      </c>
      <c r="F1170" t="str">
        <f ca="1"/>
        <v/>
      </c>
      <c r="G1170" t="str">
        <f ca="1"/>
        <v/>
      </c>
      <c r="H1170" s="17" t="str">
        <f ca="1"/>
        <v/>
      </c>
    </row>
    <row r="1171" spans="2:8" x14ac:dyDescent="0.35">
      <c r="B1171" t="str">
        <f ca="1"/>
        <v/>
      </c>
      <c r="C1171" t="str">
        <f ca="1"/>
        <v/>
      </c>
      <c r="D1171" t="str">
        <f ca="1"/>
        <v/>
      </c>
      <c r="E1171" t="str">
        <f ca="1"/>
        <v/>
      </c>
      <c r="F1171" t="str">
        <f ca="1"/>
        <v/>
      </c>
      <c r="G1171" t="str">
        <f ca="1"/>
        <v/>
      </c>
      <c r="H1171" s="17" t="str">
        <f ca="1"/>
        <v/>
      </c>
    </row>
    <row r="1172" spans="2:8" x14ac:dyDescent="0.35">
      <c r="B1172" t="str">
        <f ca="1"/>
        <v/>
      </c>
      <c r="C1172" t="str">
        <f ca="1"/>
        <v/>
      </c>
      <c r="D1172" t="str">
        <f ca="1"/>
        <v/>
      </c>
      <c r="E1172" t="str">
        <f ca="1"/>
        <v/>
      </c>
      <c r="F1172" t="str">
        <f ca="1"/>
        <v/>
      </c>
      <c r="G1172" t="str">
        <f ca="1"/>
        <v/>
      </c>
      <c r="H1172" s="17" t="str">
        <f ca="1"/>
        <v/>
      </c>
    </row>
    <row r="1173" spans="2:8" x14ac:dyDescent="0.35">
      <c r="B1173" t="str">
        <f ca="1"/>
        <v/>
      </c>
      <c r="C1173" t="str">
        <f ca="1"/>
        <v/>
      </c>
      <c r="D1173" t="str">
        <f ca="1"/>
        <v/>
      </c>
      <c r="E1173" t="str">
        <f ca="1"/>
        <v/>
      </c>
      <c r="F1173" t="str">
        <f ca="1"/>
        <v/>
      </c>
      <c r="G1173" t="str">
        <f ca="1"/>
        <v/>
      </c>
      <c r="H1173" s="17" t="str">
        <f ca="1"/>
        <v/>
      </c>
    </row>
    <row r="1174" spans="2:8" x14ac:dyDescent="0.35">
      <c r="B1174" t="str">
        <f ca="1"/>
        <v/>
      </c>
      <c r="C1174" t="str">
        <f ca="1"/>
        <v/>
      </c>
      <c r="D1174" t="str">
        <f ca="1"/>
        <v/>
      </c>
      <c r="E1174" t="str">
        <f ca="1"/>
        <v/>
      </c>
      <c r="F1174" t="str">
        <f ca="1"/>
        <v/>
      </c>
      <c r="G1174" t="str">
        <f ca="1"/>
        <v/>
      </c>
      <c r="H1174" s="17" t="str">
        <f ca="1"/>
        <v/>
      </c>
    </row>
    <row r="1175" spans="2:8" x14ac:dyDescent="0.35">
      <c r="B1175" t="str">
        <f ca="1"/>
        <v/>
      </c>
      <c r="C1175" t="str">
        <f ca="1"/>
        <v/>
      </c>
      <c r="D1175" t="str">
        <f ca="1"/>
        <v/>
      </c>
      <c r="E1175" t="str">
        <f ca="1"/>
        <v/>
      </c>
      <c r="F1175" t="str">
        <f ca="1"/>
        <v/>
      </c>
      <c r="G1175" t="str">
        <f ca="1"/>
        <v/>
      </c>
      <c r="H1175" s="17" t="str">
        <f ca="1"/>
        <v/>
      </c>
    </row>
    <row r="1176" spans="2:8" x14ac:dyDescent="0.35">
      <c r="B1176" t="str">
        <f ca="1"/>
        <v/>
      </c>
      <c r="C1176" t="str">
        <f ca="1"/>
        <v/>
      </c>
      <c r="D1176" t="str">
        <f ca="1"/>
        <v/>
      </c>
      <c r="E1176" t="str">
        <f ca="1"/>
        <v/>
      </c>
      <c r="F1176" t="str">
        <f ca="1"/>
        <v/>
      </c>
      <c r="G1176" t="str">
        <f ca="1"/>
        <v/>
      </c>
      <c r="H1176" s="17" t="str">
        <f ca="1"/>
        <v/>
      </c>
    </row>
    <row r="1177" spans="2:8" x14ac:dyDescent="0.35">
      <c r="B1177" t="str">
        <f ca="1"/>
        <v/>
      </c>
      <c r="C1177" t="str">
        <f ca="1"/>
        <v/>
      </c>
      <c r="D1177" t="str">
        <f ca="1"/>
        <v/>
      </c>
      <c r="E1177" t="str">
        <f ca="1"/>
        <v/>
      </c>
      <c r="F1177" t="str">
        <f ca="1"/>
        <v/>
      </c>
      <c r="G1177" t="str">
        <f ca="1"/>
        <v/>
      </c>
      <c r="H1177" s="17" t="str">
        <f ca="1"/>
        <v/>
      </c>
    </row>
    <row r="1178" spans="2:8" x14ac:dyDescent="0.35">
      <c r="B1178" t="str">
        <f ca="1"/>
        <v/>
      </c>
      <c r="C1178" t="str">
        <f ca="1"/>
        <v/>
      </c>
      <c r="D1178" t="str">
        <f ca="1"/>
        <v/>
      </c>
      <c r="E1178" t="str">
        <f ca="1"/>
        <v/>
      </c>
      <c r="F1178" t="str">
        <f ca="1"/>
        <v/>
      </c>
      <c r="G1178" t="str">
        <f ca="1"/>
        <v/>
      </c>
      <c r="H1178" s="17" t="str">
        <f ca="1"/>
        <v/>
      </c>
    </row>
    <row r="1179" spans="2:8" x14ac:dyDescent="0.35">
      <c r="B1179" t="str">
        <f ca="1"/>
        <v/>
      </c>
      <c r="C1179" t="str">
        <f ca="1"/>
        <v/>
      </c>
      <c r="D1179" t="str">
        <f ca="1"/>
        <v/>
      </c>
      <c r="E1179" t="str">
        <f ca="1"/>
        <v/>
      </c>
      <c r="F1179" t="str">
        <f ca="1"/>
        <v/>
      </c>
      <c r="G1179" t="str">
        <f ca="1"/>
        <v/>
      </c>
      <c r="H1179" s="17" t="str">
        <f ca="1"/>
        <v/>
      </c>
    </row>
    <row r="1180" spans="2:8" x14ac:dyDescent="0.35">
      <c r="B1180" t="str">
        <f ca="1"/>
        <v/>
      </c>
      <c r="C1180" t="str">
        <f ca="1"/>
        <v/>
      </c>
      <c r="D1180" t="str">
        <f ca="1"/>
        <v/>
      </c>
      <c r="E1180" t="str">
        <f ca="1"/>
        <v/>
      </c>
      <c r="F1180" t="str">
        <f ca="1"/>
        <v/>
      </c>
      <c r="G1180" t="str">
        <f ca="1"/>
        <v/>
      </c>
      <c r="H1180" s="17" t="str">
        <f ca="1"/>
        <v/>
      </c>
    </row>
    <row r="1181" spans="2:8" x14ac:dyDescent="0.35">
      <c r="B1181" t="str">
        <f ca="1"/>
        <v/>
      </c>
      <c r="C1181" t="str">
        <f ca="1"/>
        <v/>
      </c>
      <c r="D1181" t="str">
        <f ca="1"/>
        <v/>
      </c>
      <c r="E1181" t="str">
        <f ca="1"/>
        <v/>
      </c>
      <c r="F1181" t="str">
        <f ca="1"/>
        <v/>
      </c>
      <c r="G1181" t="str">
        <f ca="1"/>
        <v/>
      </c>
      <c r="H1181" s="17" t="str">
        <f ca="1"/>
        <v/>
      </c>
    </row>
    <row r="1182" spans="2:8" x14ac:dyDescent="0.35">
      <c r="B1182" t="str">
        <f ca="1"/>
        <v/>
      </c>
      <c r="C1182" t="str">
        <f ca="1"/>
        <v/>
      </c>
      <c r="D1182" t="str">
        <f ca="1"/>
        <v/>
      </c>
      <c r="E1182" t="str">
        <f ca="1"/>
        <v/>
      </c>
      <c r="F1182" t="str">
        <f ca="1"/>
        <v/>
      </c>
      <c r="G1182" t="str">
        <f ca="1"/>
        <v/>
      </c>
      <c r="H1182" s="17" t="str">
        <f ca="1"/>
        <v/>
      </c>
    </row>
    <row r="1183" spans="2:8" x14ac:dyDescent="0.35">
      <c r="B1183" t="str">
        <f ca="1"/>
        <v/>
      </c>
      <c r="C1183" t="str">
        <f ca="1"/>
        <v/>
      </c>
      <c r="D1183" t="str">
        <f ca="1"/>
        <v/>
      </c>
      <c r="E1183" t="str">
        <f ca="1"/>
        <v/>
      </c>
      <c r="F1183" t="str">
        <f ca="1"/>
        <v/>
      </c>
      <c r="G1183" t="str">
        <f ca="1"/>
        <v/>
      </c>
      <c r="H1183" s="17" t="str">
        <f ca="1"/>
        <v/>
      </c>
    </row>
    <row r="1184" spans="2:8" x14ac:dyDescent="0.35">
      <c r="B1184" t="str">
        <f ca="1"/>
        <v/>
      </c>
      <c r="C1184" t="str">
        <f ca="1"/>
        <v/>
      </c>
      <c r="D1184" t="str">
        <f ca="1"/>
        <v/>
      </c>
      <c r="E1184" t="str">
        <f ca="1"/>
        <v/>
      </c>
      <c r="F1184" t="str">
        <f ca="1"/>
        <v/>
      </c>
      <c r="G1184" t="str">
        <f ca="1"/>
        <v/>
      </c>
      <c r="H1184" s="17" t="str">
        <f ca="1"/>
        <v/>
      </c>
    </row>
    <row r="1185" spans="2:8" x14ac:dyDescent="0.35">
      <c r="B1185" t="str">
        <f ca="1"/>
        <v/>
      </c>
      <c r="C1185" t="str">
        <f ca="1"/>
        <v/>
      </c>
      <c r="D1185" t="str">
        <f ca="1"/>
        <v/>
      </c>
      <c r="E1185" t="str">
        <f ca="1"/>
        <v/>
      </c>
      <c r="F1185" t="str">
        <f ca="1"/>
        <v/>
      </c>
      <c r="G1185" t="str">
        <f ca="1"/>
        <v/>
      </c>
      <c r="H1185" s="17" t="str">
        <f ca="1"/>
        <v/>
      </c>
    </row>
    <row r="1186" spans="2:8" x14ac:dyDescent="0.35">
      <c r="B1186" t="str">
        <f ca="1"/>
        <v/>
      </c>
      <c r="C1186" t="str">
        <f ca="1"/>
        <v/>
      </c>
      <c r="D1186" t="str">
        <f ca="1"/>
        <v/>
      </c>
      <c r="E1186" t="str">
        <f ca="1"/>
        <v/>
      </c>
      <c r="F1186" t="str">
        <f ca="1"/>
        <v/>
      </c>
      <c r="G1186" t="str">
        <f ca="1"/>
        <v/>
      </c>
      <c r="H1186" s="17" t="str">
        <f ca="1"/>
        <v/>
      </c>
    </row>
    <row r="1187" spans="2:8" x14ac:dyDescent="0.35">
      <c r="B1187" t="str">
        <f ca="1"/>
        <v/>
      </c>
      <c r="C1187" t="str">
        <f ca="1"/>
        <v/>
      </c>
      <c r="D1187" t="str">
        <f ca="1"/>
        <v/>
      </c>
      <c r="E1187" t="str">
        <f ca="1"/>
        <v/>
      </c>
      <c r="F1187" t="str">
        <f ca="1"/>
        <v/>
      </c>
      <c r="G1187" t="str">
        <f ca="1"/>
        <v/>
      </c>
      <c r="H1187" s="17" t="str">
        <f ca="1"/>
        <v/>
      </c>
    </row>
    <row r="1188" spans="2:8" x14ac:dyDescent="0.35">
      <c r="B1188" t="str">
        <f ca="1"/>
        <v/>
      </c>
      <c r="C1188" t="str">
        <f ca="1"/>
        <v/>
      </c>
      <c r="D1188" t="str">
        <f ca="1"/>
        <v/>
      </c>
      <c r="E1188" t="str">
        <f ca="1"/>
        <v/>
      </c>
      <c r="F1188" t="str">
        <f ca="1"/>
        <v/>
      </c>
      <c r="G1188" t="str">
        <f ca="1"/>
        <v/>
      </c>
      <c r="H1188" s="17" t="str">
        <f ca="1"/>
        <v/>
      </c>
    </row>
    <row r="1189" spans="2:8" x14ac:dyDescent="0.35">
      <c r="B1189" t="str">
        <f ca="1"/>
        <v/>
      </c>
      <c r="C1189" t="str">
        <f ca="1"/>
        <v/>
      </c>
      <c r="D1189" t="str">
        <f ca="1"/>
        <v/>
      </c>
      <c r="E1189" t="str">
        <f ca="1"/>
        <v/>
      </c>
      <c r="F1189" t="str">
        <f ca="1"/>
        <v/>
      </c>
      <c r="G1189" t="str">
        <f ca="1"/>
        <v/>
      </c>
      <c r="H1189" s="17" t="str">
        <f ca="1"/>
        <v/>
      </c>
    </row>
    <row r="1190" spans="2:8" x14ac:dyDescent="0.35">
      <c r="B1190" t="str">
        <f ca="1"/>
        <v/>
      </c>
      <c r="C1190" t="str">
        <f ca="1"/>
        <v/>
      </c>
      <c r="D1190" t="str">
        <f ca="1"/>
        <v/>
      </c>
      <c r="E1190" t="str">
        <f ca="1"/>
        <v/>
      </c>
      <c r="F1190" t="str">
        <f ca="1"/>
        <v/>
      </c>
      <c r="G1190" t="str">
        <f ca="1"/>
        <v/>
      </c>
      <c r="H1190" s="17" t="str">
        <f ca="1"/>
        <v/>
      </c>
    </row>
    <row r="1191" spans="2:8" x14ac:dyDescent="0.35">
      <c r="B1191" t="str">
        <f ca="1"/>
        <v/>
      </c>
      <c r="C1191" t="str">
        <f ca="1"/>
        <v/>
      </c>
      <c r="D1191" t="str">
        <f ca="1"/>
        <v/>
      </c>
      <c r="E1191" t="str">
        <f ca="1"/>
        <v/>
      </c>
      <c r="F1191" t="str">
        <f ca="1"/>
        <v/>
      </c>
      <c r="G1191" t="str">
        <f ca="1"/>
        <v/>
      </c>
      <c r="H1191" s="17" t="str">
        <f ca="1"/>
        <v/>
      </c>
    </row>
    <row r="1192" spans="2:8" x14ac:dyDescent="0.35">
      <c r="B1192" t="str">
        <f ca="1"/>
        <v/>
      </c>
      <c r="C1192" t="str">
        <f ca="1"/>
        <v/>
      </c>
      <c r="D1192" t="str">
        <f ca="1"/>
        <v/>
      </c>
      <c r="E1192" t="str">
        <f ca="1"/>
        <v/>
      </c>
      <c r="F1192" t="str">
        <f ca="1"/>
        <v/>
      </c>
      <c r="G1192" t="str">
        <f ca="1"/>
        <v/>
      </c>
      <c r="H1192" s="17" t="str">
        <f ca="1"/>
        <v/>
      </c>
    </row>
    <row r="1193" spans="2:8" x14ac:dyDescent="0.35">
      <c r="B1193" t="str">
        <f ca="1"/>
        <v/>
      </c>
      <c r="C1193" t="str">
        <f ca="1"/>
        <v/>
      </c>
      <c r="D1193" t="str">
        <f ca="1"/>
        <v/>
      </c>
      <c r="E1193" t="str">
        <f ca="1"/>
        <v/>
      </c>
      <c r="F1193" t="str">
        <f ca="1"/>
        <v/>
      </c>
      <c r="G1193" t="str">
        <f ca="1"/>
        <v/>
      </c>
      <c r="H1193" s="17" t="str">
        <f ca="1"/>
        <v/>
      </c>
    </row>
    <row r="1194" spans="2:8" x14ac:dyDescent="0.35">
      <c r="B1194" t="str">
        <f ca="1"/>
        <v/>
      </c>
      <c r="C1194" t="str">
        <f ca="1"/>
        <v/>
      </c>
      <c r="D1194" t="str">
        <f ca="1"/>
        <v/>
      </c>
      <c r="E1194" t="str">
        <f ca="1"/>
        <v/>
      </c>
      <c r="F1194" t="str">
        <f ca="1"/>
        <v/>
      </c>
      <c r="G1194" t="str">
        <f ca="1"/>
        <v/>
      </c>
      <c r="H1194" s="17" t="str">
        <f ca="1"/>
        <v/>
      </c>
    </row>
    <row r="1195" spans="2:8" x14ac:dyDescent="0.35">
      <c r="B1195" t="str">
        <f ca="1"/>
        <v/>
      </c>
      <c r="C1195" t="str">
        <f ca="1"/>
        <v/>
      </c>
      <c r="D1195" t="str">
        <f ca="1"/>
        <v/>
      </c>
      <c r="E1195" t="str">
        <f ca="1"/>
        <v/>
      </c>
      <c r="F1195" t="str">
        <f ca="1"/>
        <v/>
      </c>
      <c r="G1195" t="str">
        <f ca="1"/>
        <v/>
      </c>
      <c r="H1195" s="17" t="str">
        <f ca="1"/>
        <v/>
      </c>
    </row>
    <row r="1196" spans="2:8" x14ac:dyDescent="0.35">
      <c r="B1196" t="str">
        <f ca="1"/>
        <v/>
      </c>
      <c r="C1196" t="str">
        <f ca="1"/>
        <v/>
      </c>
      <c r="D1196" t="str">
        <f ca="1"/>
        <v/>
      </c>
      <c r="E1196" t="str">
        <f ca="1"/>
        <v/>
      </c>
      <c r="F1196" t="str">
        <f ca="1"/>
        <v/>
      </c>
      <c r="G1196" t="str">
        <f ca="1"/>
        <v/>
      </c>
      <c r="H1196" s="17" t="str">
        <f ca="1"/>
        <v/>
      </c>
    </row>
    <row r="1197" spans="2:8" x14ac:dyDescent="0.35">
      <c r="B1197" t="str">
        <f ca="1"/>
        <v/>
      </c>
      <c r="C1197" t="str">
        <f ca="1"/>
        <v/>
      </c>
      <c r="D1197" t="str">
        <f ca="1"/>
        <v/>
      </c>
      <c r="E1197" t="str">
        <f ca="1"/>
        <v/>
      </c>
      <c r="F1197" t="str">
        <f ca="1"/>
        <v/>
      </c>
      <c r="G1197" t="str">
        <f ca="1"/>
        <v/>
      </c>
      <c r="H1197" s="17" t="str">
        <f ca="1"/>
        <v/>
      </c>
    </row>
    <row r="1198" spans="2:8" x14ac:dyDescent="0.35">
      <c r="B1198" t="str">
        <f ca="1"/>
        <v/>
      </c>
      <c r="C1198" t="str">
        <f ca="1"/>
        <v/>
      </c>
      <c r="D1198" t="str">
        <f ca="1"/>
        <v/>
      </c>
      <c r="E1198" t="str">
        <f ca="1"/>
        <v/>
      </c>
      <c r="F1198" t="str">
        <f ca="1"/>
        <v/>
      </c>
      <c r="G1198" t="str">
        <f ca="1"/>
        <v/>
      </c>
      <c r="H1198" s="17" t="str">
        <f ca="1"/>
        <v/>
      </c>
    </row>
    <row r="1199" spans="2:8" x14ac:dyDescent="0.35">
      <c r="B1199" t="str">
        <f ca="1"/>
        <v/>
      </c>
      <c r="C1199" t="str">
        <f ca="1"/>
        <v/>
      </c>
      <c r="D1199" t="str">
        <f ca="1"/>
        <v/>
      </c>
      <c r="E1199" t="str">
        <f ca="1"/>
        <v/>
      </c>
      <c r="F1199" t="str">
        <f ca="1"/>
        <v/>
      </c>
      <c r="G1199" t="str">
        <f ca="1"/>
        <v/>
      </c>
      <c r="H1199" s="17" t="str">
        <f ca="1"/>
        <v/>
      </c>
    </row>
    <row r="1200" spans="2:8" x14ac:dyDescent="0.35">
      <c r="B1200" t="str">
        <f ca="1"/>
        <v/>
      </c>
      <c r="C1200" t="str">
        <f ca="1"/>
        <v/>
      </c>
      <c r="D1200" t="str">
        <f ca="1"/>
        <v/>
      </c>
      <c r="E1200" t="str">
        <f ca="1"/>
        <v/>
      </c>
      <c r="F1200" t="str">
        <f ca="1"/>
        <v/>
      </c>
      <c r="G1200" t="str">
        <f ca="1"/>
        <v/>
      </c>
      <c r="H1200" s="17" t="str">
        <f ca="1"/>
        <v/>
      </c>
    </row>
    <row r="1201" spans="2:8" x14ac:dyDescent="0.35">
      <c r="B1201" t="str">
        <f ca="1"/>
        <v/>
      </c>
      <c r="C1201" t="str">
        <f ca="1"/>
        <v/>
      </c>
      <c r="D1201" t="str">
        <f ca="1"/>
        <v/>
      </c>
      <c r="E1201" t="str">
        <f ca="1"/>
        <v/>
      </c>
      <c r="F1201" t="str">
        <f ca="1"/>
        <v/>
      </c>
      <c r="G1201" t="str">
        <f ca="1"/>
        <v/>
      </c>
      <c r="H1201" s="17" t="str">
        <f ca="1"/>
        <v/>
      </c>
    </row>
    <row r="1202" spans="2:8" x14ac:dyDescent="0.35">
      <c r="B1202" t="str">
        <f ca="1"/>
        <v/>
      </c>
      <c r="C1202" t="str">
        <f ca="1"/>
        <v/>
      </c>
      <c r="D1202" t="str">
        <f ca="1"/>
        <v/>
      </c>
      <c r="E1202" t="str">
        <f ca="1"/>
        <v/>
      </c>
      <c r="F1202" t="str">
        <f ca="1"/>
        <v/>
      </c>
      <c r="G1202" t="str">
        <f ca="1"/>
        <v/>
      </c>
      <c r="H1202" s="17" t="str">
        <f ca="1"/>
        <v/>
      </c>
    </row>
    <row r="1203" spans="2:8" x14ac:dyDescent="0.35">
      <c r="B1203" t="str">
        <f ca="1"/>
        <v/>
      </c>
      <c r="C1203" t="str">
        <f ca="1"/>
        <v/>
      </c>
      <c r="D1203" t="str">
        <f ca="1"/>
        <v/>
      </c>
      <c r="E1203" t="str">
        <f ca="1"/>
        <v/>
      </c>
      <c r="F1203" t="str">
        <f ca="1"/>
        <v/>
      </c>
      <c r="G1203" t="str">
        <f ca="1"/>
        <v/>
      </c>
      <c r="H1203" s="17" t="str">
        <f ca="1"/>
        <v/>
      </c>
    </row>
    <row r="1204" spans="2:8" x14ac:dyDescent="0.35">
      <c r="B1204" t="str">
        <f ca="1"/>
        <v/>
      </c>
      <c r="C1204" t="str">
        <f ca="1"/>
        <v/>
      </c>
      <c r="D1204" t="str">
        <f ca="1"/>
        <v/>
      </c>
      <c r="E1204" t="str">
        <f ca="1"/>
        <v/>
      </c>
      <c r="F1204" t="str">
        <f ca="1"/>
        <v/>
      </c>
      <c r="G1204" t="str">
        <f ca="1"/>
        <v/>
      </c>
      <c r="H1204" s="17" t="str">
        <f ca="1"/>
        <v/>
      </c>
    </row>
    <row r="1205" spans="2:8" x14ac:dyDescent="0.35">
      <c r="B1205" t="str">
        <f ca="1"/>
        <v/>
      </c>
      <c r="C1205" t="str">
        <f ca="1"/>
        <v/>
      </c>
      <c r="D1205" t="str">
        <f ca="1"/>
        <v/>
      </c>
      <c r="E1205" t="str">
        <f ca="1"/>
        <v/>
      </c>
      <c r="F1205" t="str">
        <f ca="1"/>
        <v/>
      </c>
      <c r="G1205" t="str">
        <f ca="1"/>
        <v/>
      </c>
      <c r="H1205" s="17" t="str">
        <f ca="1"/>
        <v/>
      </c>
    </row>
    <row r="1206" spans="2:8" x14ac:dyDescent="0.35">
      <c r="B1206" t="str">
        <f ca="1"/>
        <v/>
      </c>
      <c r="C1206" t="str">
        <f ca="1"/>
        <v/>
      </c>
      <c r="D1206" t="str">
        <f ca="1"/>
        <v/>
      </c>
      <c r="E1206" t="str">
        <f ca="1"/>
        <v/>
      </c>
      <c r="F1206" t="str">
        <f ca="1"/>
        <v/>
      </c>
      <c r="G1206" t="str">
        <f ca="1"/>
        <v/>
      </c>
      <c r="H1206" s="17" t="str">
        <f ca="1"/>
        <v/>
      </c>
    </row>
    <row r="1207" spans="2:8" x14ac:dyDescent="0.35">
      <c r="B1207" t="str">
        <f ca="1"/>
        <v/>
      </c>
      <c r="C1207" t="str">
        <f ca="1"/>
        <v/>
      </c>
      <c r="D1207" t="str">
        <f ca="1"/>
        <v/>
      </c>
      <c r="E1207" t="str">
        <f ca="1"/>
        <v/>
      </c>
      <c r="F1207" t="str">
        <f ca="1"/>
        <v/>
      </c>
      <c r="G1207" t="str">
        <f ca="1"/>
        <v/>
      </c>
      <c r="H1207" s="17" t="str">
        <f ca="1"/>
        <v/>
      </c>
    </row>
    <row r="1208" spans="2:8" x14ac:dyDescent="0.35">
      <c r="B1208" t="str">
        <f ca="1"/>
        <v/>
      </c>
      <c r="C1208" t="str">
        <f ca="1"/>
        <v/>
      </c>
      <c r="D1208" t="str">
        <f ca="1"/>
        <v/>
      </c>
      <c r="E1208" t="str">
        <f ca="1"/>
        <v/>
      </c>
      <c r="F1208" t="str">
        <f ca="1"/>
        <v/>
      </c>
      <c r="G1208" t="str">
        <f ca="1"/>
        <v/>
      </c>
      <c r="H1208" s="17" t="str">
        <f ca="1"/>
        <v/>
      </c>
    </row>
    <row r="1209" spans="2:8" x14ac:dyDescent="0.35">
      <c r="B1209" t="str">
        <f ca="1"/>
        <v/>
      </c>
      <c r="C1209" t="str">
        <f ca="1"/>
        <v/>
      </c>
      <c r="D1209" t="str">
        <f ca="1"/>
        <v/>
      </c>
      <c r="E1209" t="str">
        <f ca="1"/>
        <v/>
      </c>
      <c r="F1209" t="str">
        <f ca="1"/>
        <v/>
      </c>
      <c r="G1209" t="str">
        <f ca="1"/>
        <v/>
      </c>
      <c r="H1209" s="17" t="str">
        <f ca="1"/>
        <v/>
      </c>
    </row>
    <row r="1210" spans="2:8" x14ac:dyDescent="0.35">
      <c r="B1210" t="str">
        <f ca="1"/>
        <v/>
      </c>
      <c r="C1210" t="str">
        <f ca="1"/>
        <v/>
      </c>
      <c r="D1210" t="str">
        <f ca="1"/>
        <v/>
      </c>
      <c r="E1210" t="str">
        <f ca="1"/>
        <v/>
      </c>
      <c r="F1210" t="str">
        <f ca="1"/>
        <v/>
      </c>
      <c r="G1210" t="str">
        <f ca="1"/>
        <v/>
      </c>
      <c r="H1210" s="17" t="str">
        <f ca="1"/>
        <v/>
      </c>
    </row>
    <row r="1211" spans="2:8" x14ac:dyDescent="0.35">
      <c r="B1211" t="str">
        <f ca="1"/>
        <v/>
      </c>
      <c r="C1211" t="str">
        <f ca="1"/>
        <v/>
      </c>
      <c r="D1211" t="str">
        <f ca="1"/>
        <v/>
      </c>
      <c r="E1211" t="str">
        <f ca="1"/>
        <v/>
      </c>
      <c r="F1211" t="str">
        <f ca="1"/>
        <v/>
      </c>
      <c r="G1211" t="str">
        <f ca="1"/>
        <v/>
      </c>
      <c r="H1211" s="17" t="str">
        <f ca="1"/>
        <v/>
      </c>
    </row>
    <row r="1212" spans="2:8" x14ac:dyDescent="0.35">
      <c r="B1212" t="str">
        <f ca="1"/>
        <v/>
      </c>
      <c r="C1212" t="str">
        <f ca="1"/>
        <v/>
      </c>
      <c r="D1212" t="str">
        <f ca="1"/>
        <v/>
      </c>
      <c r="E1212" t="str">
        <f ca="1"/>
        <v/>
      </c>
      <c r="F1212" t="str">
        <f ca="1"/>
        <v/>
      </c>
      <c r="G1212" t="str">
        <f ca="1"/>
        <v/>
      </c>
      <c r="H1212" s="17" t="str">
        <f ca="1"/>
        <v/>
      </c>
    </row>
    <row r="1213" spans="2:8" x14ac:dyDescent="0.35">
      <c r="B1213" t="str">
        <f ca="1"/>
        <v/>
      </c>
      <c r="C1213" t="str">
        <f ca="1"/>
        <v/>
      </c>
      <c r="D1213" t="str">
        <f ca="1"/>
        <v/>
      </c>
      <c r="E1213" t="str">
        <f ca="1"/>
        <v/>
      </c>
      <c r="F1213" t="str">
        <f ca="1"/>
        <v/>
      </c>
      <c r="G1213" t="str">
        <f ca="1"/>
        <v/>
      </c>
      <c r="H1213" s="17" t="str">
        <f ca="1"/>
        <v/>
      </c>
    </row>
    <row r="1214" spans="2:8" x14ac:dyDescent="0.35">
      <c r="B1214" t="str">
        <f ca="1"/>
        <v/>
      </c>
      <c r="C1214" t="str">
        <f ca="1"/>
        <v/>
      </c>
      <c r="D1214" t="str">
        <f ca="1"/>
        <v/>
      </c>
      <c r="E1214" t="str">
        <f ca="1"/>
        <v/>
      </c>
      <c r="F1214" t="str">
        <f ca="1"/>
        <v/>
      </c>
      <c r="G1214" t="str">
        <f ca="1"/>
        <v/>
      </c>
      <c r="H1214" s="17" t="str">
        <f ca="1"/>
        <v/>
      </c>
    </row>
    <row r="1215" spans="2:8" x14ac:dyDescent="0.35">
      <c r="B1215" t="str">
        <f ca="1"/>
        <v/>
      </c>
      <c r="C1215" t="str">
        <f ca="1"/>
        <v/>
      </c>
      <c r="D1215" t="str">
        <f ca="1"/>
        <v/>
      </c>
      <c r="E1215" t="str">
        <f ca="1"/>
        <v/>
      </c>
      <c r="F1215" t="str">
        <f ca="1"/>
        <v/>
      </c>
      <c r="G1215" t="str">
        <f ca="1"/>
        <v/>
      </c>
      <c r="H1215" s="17" t="str">
        <f ca="1"/>
        <v/>
      </c>
    </row>
    <row r="1216" spans="2:8" x14ac:dyDescent="0.35">
      <c r="B1216" t="str">
        <f ca="1"/>
        <v/>
      </c>
      <c r="C1216" t="str">
        <f ca="1"/>
        <v/>
      </c>
      <c r="D1216" t="str">
        <f ca="1"/>
        <v/>
      </c>
      <c r="E1216" t="str">
        <f ca="1"/>
        <v/>
      </c>
      <c r="F1216" t="str">
        <f ca="1"/>
        <v/>
      </c>
      <c r="G1216" t="str">
        <f ca="1"/>
        <v/>
      </c>
      <c r="H1216" s="17" t="str">
        <f ca="1"/>
        <v/>
      </c>
    </row>
    <row r="1217" spans="2:8" x14ac:dyDescent="0.35">
      <c r="B1217" t="str">
        <f ca="1"/>
        <v/>
      </c>
      <c r="C1217" t="str">
        <f ca="1"/>
        <v/>
      </c>
      <c r="D1217" t="str">
        <f ca="1"/>
        <v/>
      </c>
      <c r="E1217" t="str">
        <f ca="1"/>
        <v/>
      </c>
      <c r="F1217" t="str">
        <f ca="1"/>
        <v/>
      </c>
      <c r="G1217" t="str">
        <f ca="1"/>
        <v/>
      </c>
      <c r="H1217" s="17" t="str">
        <f ca="1"/>
        <v/>
      </c>
    </row>
    <row r="1218" spans="2:8" x14ac:dyDescent="0.35">
      <c r="B1218" t="str">
        <f ca="1"/>
        <v/>
      </c>
      <c r="C1218" t="str">
        <f ca="1"/>
        <v/>
      </c>
      <c r="D1218" t="str">
        <f ca="1"/>
        <v/>
      </c>
      <c r="E1218" t="str">
        <f ca="1"/>
        <v/>
      </c>
      <c r="F1218" t="str">
        <f ca="1"/>
        <v/>
      </c>
      <c r="G1218" t="str">
        <f ca="1"/>
        <v/>
      </c>
      <c r="H1218" s="17" t="str">
        <f ca="1"/>
        <v/>
      </c>
    </row>
    <row r="1219" spans="2:8" x14ac:dyDescent="0.35">
      <c r="B1219" t="str">
        <f ca="1"/>
        <v/>
      </c>
      <c r="C1219" t="str">
        <f ca="1"/>
        <v/>
      </c>
      <c r="D1219" t="str">
        <f ca="1"/>
        <v/>
      </c>
      <c r="E1219" t="str">
        <f ca="1"/>
        <v/>
      </c>
      <c r="F1219" t="str">
        <f ca="1"/>
        <v/>
      </c>
      <c r="G1219" t="str">
        <f ca="1"/>
        <v/>
      </c>
      <c r="H1219" s="17" t="str">
        <f ca="1"/>
        <v/>
      </c>
    </row>
    <row r="1220" spans="2:8" x14ac:dyDescent="0.35">
      <c r="B1220" t="str">
        <f ca="1"/>
        <v/>
      </c>
      <c r="C1220" t="str">
        <f ca="1"/>
        <v/>
      </c>
      <c r="D1220" t="str">
        <f ca="1"/>
        <v/>
      </c>
      <c r="E1220" t="str">
        <f ca="1"/>
        <v/>
      </c>
      <c r="F1220" t="str">
        <f ca="1"/>
        <v/>
      </c>
      <c r="G1220" t="str">
        <f ca="1"/>
        <v/>
      </c>
      <c r="H1220" s="17" t="str">
        <f ca="1"/>
        <v/>
      </c>
    </row>
    <row r="1221" spans="2:8" x14ac:dyDescent="0.35">
      <c r="B1221" t="str">
        <f ca="1"/>
        <v/>
      </c>
      <c r="C1221" t="str">
        <f ca="1"/>
        <v/>
      </c>
      <c r="D1221" t="str">
        <f ca="1"/>
        <v/>
      </c>
      <c r="E1221" t="str">
        <f ca="1"/>
        <v/>
      </c>
      <c r="F1221" t="str">
        <f ca="1"/>
        <v/>
      </c>
      <c r="G1221" t="str">
        <f ca="1"/>
        <v/>
      </c>
      <c r="H1221" s="17" t="str">
        <f ca="1"/>
        <v/>
      </c>
    </row>
    <row r="1222" spans="2:8" x14ac:dyDescent="0.35">
      <c r="B1222" t="str">
        <f ca="1"/>
        <v/>
      </c>
      <c r="C1222" t="str">
        <f ca="1"/>
        <v/>
      </c>
      <c r="D1222" t="str">
        <f ca="1"/>
        <v/>
      </c>
      <c r="E1222" t="str">
        <f ca="1"/>
        <v/>
      </c>
      <c r="F1222" t="str">
        <f ca="1"/>
        <v/>
      </c>
      <c r="G1222" t="str">
        <f ca="1"/>
        <v/>
      </c>
      <c r="H1222" s="17" t="str">
        <f ca="1"/>
        <v/>
      </c>
    </row>
    <row r="1223" spans="2:8" x14ac:dyDescent="0.35">
      <c r="B1223" t="str">
        <f ca="1"/>
        <v/>
      </c>
      <c r="C1223" t="str">
        <f ca="1"/>
        <v/>
      </c>
      <c r="D1223" t="str">
        <f ca="1"/>
        <v/>
      </c>
      <c r="E1223" t="str">
        <f ca="1"/>
        <v/>
      </c>
      <c r="F1223" t="str">
        <f ca="1"/>
        <v/>
      </c>
      <c r="G1223" t="str">
        <f ca="1"/>
        <v/>
      </c>
      <c r="H1223" s="17" t="str">
        <f ca="1"/>
        <v/>
      </c>
    </row>
    <row r="1224" spans="2:8" x14ac:dyDescent="0.35">
      <c r="B1224" t="str">
        <f ca="1"/>
        <v/>
      </c>
      <c r="C1224" t="str">
        <f ca="1"/>
        <v/>
      </c>
      <c r="D1224" t="str">
        <f ca="1"/>
        <v/>
      </c>
      <c r="E1224" t="str">
        <f ca="1"/>
        <v/>
      </c>
      <c r="F1224" t="str">
        <f ca="1"/>
        <v/>
      </c>
      <c r="G1224" t="str">
        <f ca="1"/>
        <v/>
      </c>
      <c r="H1224" s="17" t="str">
        <f ca="1"/>
        <v/>
      </c>
    </row>
    <row r="1225" spans="2:8" x14ac:dyDescent="0.35">
      <c r="B1225" t="str">
        <f ca="1"/>
        <v/>
      </c>
      <c r="C1225" t="str">
        <f ca="1"/>
        <v/>
      </c>
      <c r="D1225" t="str">
        <f ca="1"/>
        <v/>
      </c>
      <c r="E1225" t="str">
        <f ca="1"/>
        <v/>
      </c>
      <c r="F1225" t="str">
        <f ca="1"/>
        <v/>
      </c>
      <c r="G1225" t="str">
        <f ca="1"/>
        <v/>
      </c>
      <c r="H1225" s="17" t="str">
        <f ca="1"/>
        <v/>
      </c>
    </row>
    <row r="1226" spans="2:8" x14ac:dyDescent="0.35">
      <c r="B1226" t="str">
        <f ca="1"/>
        <v/>
      </c>
      <c r="C1226" t="str">
        <f ca="1"/>
        <v/>
      </c>
      <c r="D1226" t="str">
        <f ca="1"/>
        <v/>
      </c>
      <c r="E1226" t="str">
        <f ca="1"/>
        <v/>
      </c>
      <c r="F1226" t="str">
        <f ca="1"/>
        <v/>
      </c>
      <c r="G1226" t="str">
        <f ca="1"/>
        <v/>
      </c>
      <c r="H1226" s="17" t="str">
        <f ca="1"/>
        <v/>
      </c>
    </row>
    <row r="1227" spans="2:8" x14ac:dyDescent="0.35">
      <c r="B1227" t="str">
        <f ca="1"/>
        <v/>
      </c>
      <c r="C1227" t="str">
        <f ca="1"/>
        <v/>
      </c>
      <c r="D1227" t="str">
        <f ca="1"/>
        <v/>
      </c>
      <c r="E1227" t="str">
        <f ca="1"/>
        <v/>
      </c>
      <c r="F1227" t="str">
        <f ca="1"/>
        <v/>
      </c>
      <c r="G1227" t="str">
        <f ca="1"/>
        <v/>
      </c>
      <c r="H1227" s="17" t="str">
        <f ca="1"/>
        <v/>
      </c>
    </row>
    <row r="1228" spans="2:8" x14ac:dyDescent="0.35">
      <c r="B1228" t="str">
        <f ca="1"/>
        <v/>
      </c>
      <c r="C1228" t="str">
        <f ca="1"/>
        <v/>
      </c>
      <c r="D1228" t="str">
        <f ca="1"/>
        <v/>
      </c>
      <c r="E1228" t="str">
        <f ca="1"/>
        <v/>
      </c>
      <c r="F1228" t="str">
        <f ca="1"/>
        <v/>
      </c>
      <c r="G1228" t="str">
        <f ca="1"/>
        <v/>
      </c>
      <c r="H1228" s="17" t="str">
        <f ca="1"/>
        <v/>
      </c>
    </row>
    <row r="1229" spans="2:8" x14ac:dyDescent="0.35">
      <c r="B1229" t="str">
        <f ca="1"/>
        <v/>
      </c>
      <c r="C1229" t="str">
        <f ca="1"/>
        <v/>
      </c>
      <c r="D1229" t="str">
        <f ca="1"/>
        <v/>
      </c>
      <c r="E1229" t="str">
        <f ca="1"/>
        <v/>
      </c>
      <c r="F1229" t="str">
        <f ca="1"/>
        <v/>
      </c>
      <c r="G1229" t="str">
        <f ca="1"/>
        <v/>
      </c>
      <c r="H1229" s="17" t="str">
        <f ca="1"/>
        <v/>
      </c>
    </row>
    <row r="1230" spans="2:8" x14ac:dyDescent="0.35">
      <c r="B1230" t="str">
        <f ca="1"/>
        <v/>
      </c>
      <c r="C1230" t="str">
        <f ca="1"/>
        <v/>
      </c>
      <c r="D1230" t="str">
        <f ca="1"/>
        <v/>
      </c>
      <c r="E1230" t="str">
        <f ca="1"/>
        <v/>
      </c>
      <c r="F1230" t="str">
        <f ca="1"/>
        <v/>
      </c>
      <c r="G1230" t="str">
        <f ca="1"/>
        <v/>
      </c>
      <c r="H1230" s="17" t="str">
        <f ca="1"/>
        <v/>
      </c>
    </row>
    <row r="1231" spans="2:8" x14ac:dyDescent="0.35">
      <c r="B1231" t="str">
        <f ca="1"/>
        <v/>
      </c>
      <c r="C1231" t="str">
        <f ca="1"/>
        <v/>
      </c>
      <c r="D1231" t="str">
        <f ca="1"/>
        <v/>
      </c>
      <c r="E1231" t="str">
        <f ca="1"/>
        <v/>
      </c>
      <c r="F1231" t="str">
        <f ca="1"/>
        <v/>
      </c>
      <c r="G1231" t="str">
        <f ca="1"/>
        <v/>
      </c>
      <c r="H1231" s="17" t="str">
        <f ca="1"/>
        <v/>
      </c>
    </row>
    <row r="1232" spans="2:8" x14ac:dyDescent="0.35">
      <c r="B1232" t="str">
        <f ca="1"/>
        <v/>
      </c>
      <c r="C1232" t="str">
        <f ca="1"/>
        <v/>
      </c>
      <c r="D1232" t="str">
        <f ca="1"/>
        <v/>
      </c>
      <c r="E1232" t="str">
        <f ca="1"/>
        <v/>
      </c>
      <c r="F1232" t="str">
        <f ca="1"/>
        <v/>
      </c>
      <c r="G1232" t="str">
        <f ca="1"/>
        <v/>
      </c>
      <c r="H1232" s="17" t="str">
        <f ca="1"/>
        <v/>
      </c>
    </row>
    <row r="1233" spans="2:8" x14ac:dyDescent="0.35">
      <c r="B1233" t="str">
        <f ca="1"/>
        <v/>
      </c>
      <c r="C1233" t="str">
        <f ca="1"/>
        <v/>
      </c>
      <c r="D1233" t="str">
        <f ca="1"/>
        <v/>
      </c>
      <c r="E1233" t="str">
        <f ca="1"/>
        <v/>
      </c>
      <c r="F1233" t="str">
        <f ca="1"/>
        <v/>
      </c>
      <c r="G1233" t="str">
        <f ca="1"/>
        <v/>
      </c>
      <c r="H1233" s="17" t="str">
        <f ca="1"/>
        <v/>
      </c>
    </row>
    <row r="1234" spans="2:8" x14ac:dyDescent="0.35">
      <c r="B1234" t="str">
        <f ca="1"/>
        <v/>
      </c>
      <c r="C1234" t="str">
        <f ca="1"/>
        <v/>
      </c>
      <c r="D1234" t="str">
        <f ca="1"/>
        <v/>
      </c>
      <c r="E1234" t="str">
        <f ca="1"/>
        <v/>
      </c>
      <c r="F1234" t="str">
        <f ca="1"/>
        <v/>
      </c>
      <c r="G1234" t="str">
        <f ca="1"/>
        <v/>
      </c>
      <c r="H1234" s="17" t="str">
        <f ca="1"/>
        <v/>
      </c>
    </row>
    <row r="1235" spans="2:8" x14ac:dyDescent="0.35">
      <c r="B1235" t="str">
        <f ca="1"/>
        <v/>
      </c>
      <c r="C1235" t="str">
        <f ca="1"/>
        <v/>
      </c>
      <c r="D1235" t="str">
        <f ca="1"/>
        <v/>
      </c>
      <c r="E1235" t="str">
        <f ca="1"/>
        <v/>
      </c>
      <c r="F1235" t="str">
        <f ca="1"/>
        <v/>
      </c>
      <c r="G1235" t="str">
        <f ca="1"/>
        <v/>
      </c>
      <c r="H1235" s="17" t="str">
        <f ca="1"/>
        <v/>
      </c>
    </row>
    <row r="1236" spans="2:8" x14ac:dyDescent="0.35">
      <c r="B1236" t="str">
        <f ca="1"/>
        <v/>
      </c>
      <c r="C1236" t="str">
        <f ca="1"/>
        <v/>
      </c>
      <c r="D1236" t="str">
        <f ca="1"/>
        <v/>
      </c>
      <c r="E1236" t="str">
        <f ca="1"/>
        <v/>
      </c>
      <c r="F1236" t="str">
        <f ca="1"/>
        <v/>
      </c>
      <c r="G1236" t="str">
        <f ca="1"/>
        <v/>
      </c>
      <c r="H1236" s="17" t="str">
        <f ca="1"/>
        <v/>
      </c>
    </row>
    <row r="1237" spans="2:8" x14ac:dyDescent="0.35">
      <c r="B1237" t="str">
        <f ca="1"/>
        <v/>
      </c>
      <c r="C1237" t="str">
        <f ca="1"/>
        <v/>
      </c>
      <c r="D1237" t="str">
        <f ca="1"/>
        <v/>
      </c>
      <c r="E1237" t="str">
        <f ca="1"/>
        <v/>
      </c>
      <c r="F1237" t="str">
        <f ca="1"/>
        <v/>
      </c>
      <c r="G1237" t="str">
        <f ca="1"/>
        <v/>
      </c>
      <c r="H1237" s="17" t="str">
        <f ca="1"/>
        <v/>
      </c>
    </row>
    <row r="1238" spans="2:8" x14ac:dyDescent="0.35">
      <c r="B1238" t="str">
        <f ca="1"/>
        <v/>
      </c>
      <c r="C1238" t="str">
        <f ca="1"/>
        <v/>
      </c>
      <c r="D1238" t="str">
        <f ca="1"/>
        <v/>
      </c>
      <c r="E1238" t="str">
        <f ca="1"/>
        <v/>
      </c>
      <c r="F1238" t="str">
        <f ca="1"/>
        <v/>
      </c>
      <c r="G1238" t="str">
        <f ca="1"/>
        <v/>
      </c>
      <c r="H1238" s="17" t="str">
        <f ca="1"/>
        <v/>
      </c>
    </row>
    <row r="1239" spans="2:8" x14ac:dyDescent="0.35">
      <c r="B1239" t="str">
        <f ca="1"/>
        <v/>
      </c>
      <c r="C1239" t="str">
        <f ca="1"/>
        <v/>
      </c>
      <c r="D1239" t="str">
        <f ca="1"/>
        <v/>
      </c>
      <c r="E1239" t="str">
        <f ca="1"/>
        <v/>
      </c>
      <c r="F1239" t="str">
        <f ca="1"/>
        <v/>
      </c>
      <c r="G1239" t="str">
        <f ca="1"/>
        <v/>
      </c>
      <c r="H1239" s="17" t="str">
        <f ca="1"/>
        <v/>
      </c>
    </row>
    <row r="1240" spans="2:8" x14ac:dyDescent="0.35">
      <c r="B1240" t="str">
        <f ca="1"/>
        <v/>
      </c>
      <c r="C1240" t="str">
        <f ca="1"/>
        <v/>
      </c>
      <c r="D1240" t="str">
        <f ca="1"/>
        <v/>
      </c>
      <c r="E1240" t="str">
        <f ca="1"/>
        <v/>
      </c>
      <c r="F1240" t="str">
        <f ca="1"/>
        <v/>
      </c>
      <c r="G1240" t="str">
        <f ca="1"/>
        <v/>
      </c>
      <c r="H1240" s="17" t="str">
        <f ca="1"/>
        <v/>
      </c>
    </row>
    <row r="1241" spans="2:8" x14ac:dyDescent="0.35">
      <c r="B1241" t="str">
        <f ca="1"/>
        <v/>
      </c>
      <c r="C1241" t="str">
        <f ca="1"/>
        <v/>
      </c>
      <c r="D1241" t="str">
        <f ca="1"/>
        <v/>
      </c>
      <c r="E1241" t="str">
        <f ca="1"/>
        <v/>
      </c>
      <c r="F1241" t="str">
        <f ca="1"/>
        <v/>
      </c>
      <c r="G1241" t="str">
        <f ca="1"/>
        <v/>
      </c>
      <c r="H1241" s="17" t="str">
        <f ca="1"/>
        <v/>
      </c>
    </row>
    <row r="1242" spans="2:8" x14ac:dyDescent="0.35">
      <c r="B1242" t="str">
        <f ca="1"/>
        <v/>
      </c>
      <c r="C1242" t="str">
        <f ca="1"/>
        <v/>
      </c>
      <c r="D1242" t="str">
        <f ca="1"/>
        <v/>
      </c>
      <c r="E1242" t="str">
        <f ca="1"/>
        <v/>
      </c>
      <c r="F1242" t="str">
        <f ca="1"/>
        <v/>
      </c>
      <c r="G1242" t="str">
        <f ca="1"/>
        <v/>
      </c>
      <c r="H1242" s="17" t="str">
        <f ca="1"/>
        <v/>
      </c>
    </row>
    <row r="1243" spans="2:8" x14ac:dyDescent="0.35">
      <c r="B1243" t="str">
        <f ca="1"/>
        <v/>
      </c>
      <c r="C1243" t="str">
        <f ca="1"/>
        <v/>
      </c>
      <c r="D1243" t="str">
        <f ca="1"/>
        <v/>
      </c>
      <c r="E1243" t="str">
        <f ca="1"/>
        <v/>
      </c>
      <c r="F1243" t="str">
        <f ca="1"/>
        <v/>
      </c>
      <c r="G1243" t="str">
        <f ca="1"/>
        <v/>
      </c>
      <c r="H1243" s="17" t="str">
        <f ca="1"/>
        <v/>
      </c>
    </row>
    <row r="1244" spans="2:8" x14ac:dyDescent="0.35">
      <c r="B1244" t="str">
        <f ca="1"/>
        <v/>
      </c>
      <c r="C1244" t="str">
        <f ca="1"/>
        <v/>
      </c>
      <c r="D1244" t="str">
        <f ca="1"/>
        <v/>
      </c>
      <c r="E1244" t="str">
        <f ca="1"/>
        <v/>
      </c>
      <c r="F1244" t="str">
        <f ca="1"/>
        <v/>
      </c>
      <c r="G1244" t="str">
        <f ca="1"/>
        <v/>
      </c>
      <c r="H1244" s="17" t="str">
        <f ca="1"/>
        <v/>
      </c>
    </row>
    <row r="1245" spans="2:8" x14ac:dyDescent="0.35">
      <c r="B1245" t="str">
        <f ca="1"/>
        <v/>
      </c>
      <c r="C1245" t="str">
        <f ca="1"/>
        <v/>
      </c>
      <c r="D1245" t="str">
        <f ca="1"/>
        <v/>
      </c>
      <c r="E1245" t="str">
        <f ca="1"/>
        <v/>
      </c>
      <c r="F1245" t="str">
        <f ca="1"/>
        <v/>
      </c>
      <c r="G1245" t="str">
        <f ca="1"/>
        <v/>
      </c>
      <c r="H1245" s="17" t="str">
        <f ca="1"/>
        <v/>
      </c>
    </row>
    <row r="1246" spans="2:8" x14ac:dyDescent="0.35">
      <c r="B1246" t="str">
        <f ca="1"/>
        <v/>
      </c>
      <c r="C1246" t="str">
        <f ca="1"/>
        <v/>
      </c>
      <c r="D1246" t="str">
        <f ca="1"/>
        <v/>
      </c>
      <c r="E1246" t="str">
        <f ca="1"/>
        <v/>
      </c>
      <c r="F1246" t="str">
        <f ca="1"/>
        <v/>
      </c>
      <c r="G1246" t="str">
        <f ca="1"/>
        <v/>
      </c>
      <c r="H1246" s="17" t="str">
        <f ca="1"/>
        <v/>
      </c>
    </row>
    <row r="1247" spans="2:8" x14ac:dyDescent="0.35">
      <c r="B1247" t="str">
        <f ca="1"/>
        <v/>
      </c>
      <c r="C1247" t="str">
        <f ca="1"/>
        <v/>
      </c>
      <c r="D1247" t="str">
        <f ca="1"/>
        <v/>
      </c>
      <c r="E1247" t="str">
        <f ca="1"/>
        <v/>
      </c>
      <c r="F1247" t="str">
        <f ca="1"/>
        <v/>
      </c>
      <c r="G1247" t="str">
        <f ca="1"/>
        <v/>
      </c>
      <c r="H1247" s="17" t="str">
        <f ca="1"/>
        <v/>
      </c>
    </row>
    <row r="1248" spans="2:8" x14ac:dyDescent="0.35">
      <c r="B1248" t="str">
        <f ca="1"/>
        <v/>
      </c>
      <c r="C1248" t="str">
        <f ca="1"/>
        <v/>
      </c>
      <c r="D1248" t="str">
        <f ca="1"/>
        <v/>
      </c>
      <c r="E1248" t="str">
        <f ca="1"/>
        <v/>
      </c>
      <c r="F1248" t="str">
        <f ca="1"/>
        <v/>
      </c>
      <c r="G1248" t="str">
        <f ca="1"/>
        <v/>
      </c>
      <c r="H1248" s="17" t="str">
        <f ca="1"/>
        <v/>
      </c>
    </row>
    <row r="1249" spans="2:8" x14ac:dyDescent="0.35">
      <c r="B1249" t="str">
        <f ca="1"/>
        <v/>
      </c>
      <c r="C1249" t="str">
        <f ca="1"/>
        <v/>
      </c>
      <c r="D1249" t="str">
        <f ca="1"/>
        <v/>
      </c>
      <c r="E1249" t="str">
        <f ca="1"/>
        <v/>
      </c>
      <c r="F1249" t="str">
        <f ca="1"/>
        <v/>
      </c>
      <c r="G1249" t="str">
        <f ca="1"/>
        <v/>
      </c>
      <c r="H1249" s="17" t="str">
        <f ca="1"/>
        <v/>
      </c>
    </row>
    <row r="1250" spans="2:8" x14ac:dyDescent="0.35">
      <c r="B1250" t="str">
        <f ca="1"/>
        <v/>
      </c>
      <c r="C1250" t="str">
        <f ca="1"/>
        <v/>
      </c>
      <c r="D1250" t="str">
        <f ca="1"/>
        <v/>
      </c>
      <c r="E1250" t="str">
        <f ca="1"/>
        <v/>
      </c>
      <c r="F1250" t="str">
        <f ca="1"/>
        <v/>
      </c>
      <c r="G1250" t="str">
        <f ca="1"/>
        <v/>
      </c>
      <c r="H1250" s="17" t="str">
        <f ca="1"/>
        <v/>
      </c>
    </row>
    <row r="1251" spans="2:8" x14ac:dyDescent="0.35">
      <c r="B1251" t="str">
        <f ca="1"/>
        <v/>
      </c>
      <c r="C1251" t="str">
        <f ca="1"/>
        <v/>
      </c>
      <c r="D1251" t="str">
        <f ca="1"/>
        <v/>
      </c>
      <c r="E1251" t="str">
        <f ca="1"/>
        <v/>
      </c>
      <c r="F1251" t="str">
        <f ca="1"/>
        <v/>
      </c>
      <c r="G1251" t="str">
        <f ca="1"/>
        <v/>
      </c>
      <c r="H1251" s="17" t="str">
        <f ca="1"/>
        <v/>
      </c>
    </row>
    <row r="1252" spans="2:8" x14ac:dyDescent="0.35">
      <c r="B1252" t="str">
        <f ca="1"/>
        <v/>
      </c>
      <c r="C1252" t="str">
        <f ca="1"/>
        <v/>
      </c>
      <c r="D1252" t="str">
        <f ca="1"/>
        <v/>
      </c>
      <c r="E1252" t="str">
        <f ca="1"/>
        <v/>
      </c>
      <c r="F1252" t="str">
        <f ca="1"/>
        <v/>
      </c>
      <c r="G1252" t="str">
        <f ca="1"/>
        <v/>
      </c>
      <c r="H1252" s="17" t="str">
        <f ca="1"/>
        <v/>
      </c>
    </row>
    <row r="1253" spans="2:8" x14ac:dyDescent="0.35">
      <c r="B1253" t="str">
        <f ca="1"/>
        <v/>
      </c>
      <c r="C1253" t="str">
        <f ca="1"/>
        <v/>
      </c>
      <c r="D1253" t="str">
        <f ca="1"/>
        <v/>
      </c>
      <c r="E1253" t="str">
        <f ca="1"/>
        <v/>
      </c>
      <c r="F1253" t="str">
        <f ca="1"/>
        <v/>
      </c>
      <c r="G1253" t="str">
        <f ca="1"/>
        <v/>
      </c>
      <c r="H1253" s="17" t="str">
        <f ca="1"/>
        <v/>
      </c>
    </row>
    <row r="1254" spans="2:8" x14ac:dyDescent="0.35">
      <c r="B1254" t="str">
        <f ca="1"/>
        <v/>
      </c>
      <c r="C1254" t="str">
        <f ca="1"/>
        <v/>
      </c>
      <c r="D1254" t="str">
        <f ca="1"/>
        <v/>
      </c>
      <c r="E1254" t="str">
        <f ca="1"/>
        <v/>
      </c>
      <c r="F1254" t="str">
        <f ca="1"/>
        <v/>
      </c>
      <c r="G1254" t="str">
        <f ca="1"/>
        <v/>
      </c>
      <c r="H1254" s="17" t="str">
        <f ca="1"/>
        <v/>
      </c>
    </row>
    <row r="1255" spans="2:8" x14ac:dyDescent="0.35">
      <c r="B1255" t="str">
        <f ca="1"/>
        <v/>
      </c>
      <c r="C1255" t="str">
        <f ca="1"/>
        <v/>
      </c>
      <c r="D1255" t="str">
        <f ca="1"/>
        <v/>
      </c>
      <c r="E1255" t="str">
        <f ca="1"/>
        <v/>
      </c>
      <c r="F1255" t="str">
        <f ca="1"/>
        <v/>
      </c>
      <c r="G1255" t="str">
        <f ca="1"/>
        <v/>
      </c>
      <c r="H1255" s="17" t="str">
        <f ca="1"/>
        <v/>
      </c>
    </row>
    <row r="1256" spans="2:8" x14ac:dyDescent="0.35">
      <c r="B1256" t="str">
        <f ca="1"/>
        <v/>
      </c>
      <c r="C1256" t="str">
        <f ca="1"/>
        <v/>
      </c>
      <c r="D1256" t="str">
        <f ca="1"/>
        <v/>
      </c>
      <c r="E1256" t="str">
        <f ca="1"/>
        <v/>
      </c>
      <c r="F1256" t="str">
        <f ca="1"/>
        <v/>
      </c>
      <c r="G1256" t="str">
        <f ca="1"/>
        <v/>
      </c>
      <c r="H1256" s="17" t="str">
        <f ca="1"/>
        <v/>
      </c>
    </row>
    <row r="1257" spans="2:8" x14ac:dyDescent="0.35">
      <c r="B1257" t="str">
        <f ca="1"/>
        <v/>
      </c>
      <c r="C1257" t="str">
        <f ca="1"/>
        <v/>
      </c>
      <c r="D1257" t="str">
        <f ca="1"/>
        <v/>
      </c>
      <c r="E1257" t="str">
        <f ca="1"/>
        <v/>
      </c>
      <c r="F1257" t="str">
        <f ca="1"/>
        <v/>
      </c>
      <c r="G1257" t="str">
        <f ca="1"/>
        <v/>
      </c>
      <c r="H1257" s="17" t="str">
        <f ca="1"/>
        <v/>
      </c>
    </row>
    <row r="1258" spans="2:8" x14ac:dyDescent="0.35">
      <c r="B1258" t="str">
        <f ca="1"/>
        <v/>
      </c>
      <c r="C1258" t="str">
        <f ca="1"/>
        <v/>
      </c>
      <c r="D1258" t="str">
        <f ca="1"/>
        <v/>
      </c>
      <c r="E1258" t="str">
        <f ca="1"/>
        <v/>
      </c>
      <c r="F1258" t="str">
        <f ca="1"/>
        <v/>
      </c>
      <c r="G1258" t="str">
        <f ca="1"/>
        <v/>
      </c>
      <c r="H1258" s="17" t="str">
        <f ca="1"/>
        <v/>
      </c>
    </row>
    <row r="1259" spans="2:8" x14ac:dyDescent="0.35">
      <c r="B1259" t="str">
        <f ca="1"/>
        <v/>
      </c>
      <c r="C1259" t="str">
        <f ca="1"/>
        <v/>
      </c>
      <c r="D1259" t="str">
        <f ca="1"/>
        <v/>
      </c>
      <c r="E1259" t="str">
        <f ca="1"/>
        <v/>
      </c>
      <c r="F1259" t="str">
        <f ca="1"/>
        <v/>
      </c>
      <c r="G1259" t="str">
        <f ca="1"/>
        <v/>
      </c>
      <c r="H1259" s="17" t="str">
        <f ca="1"/>
        <v/>
      </c>
    </row>
    <row r="1260" spans="2:8" x14ac:dyDescent="0.35">
      <c r="B1260" t="str">
        <f ca="1"/>
        <v/>
      </c>
      <c r="C1260" t="str">
        <f ca="1"/>
        <v/>
      </c>
      <c r="D1260" t="str">
        <f ca="1"/>
        <v/>
      </c>
      <c r="E1260" t="str">
        <f ca="1"/>
        <v/>
      </c>
      <c r="F1260" t="str">
        <f ca="1"/>
        <v/>
      </c>
      <c r="G1260" t="str">
        <f ca="1"/>
        <v/>
      </c>
      <c r="H1260" s="17" t="str">
        <f ca="1"/>
        <v/>
      </c>
    </row>
    <row r="1261" spans="2:8" x14ac:dyDescent="0.35">
      <c r="B1261" t="str">
        <f ca="1"/>
        <v/>
      </c>
      <c r="C1261" t="str">
        <f ca="1"/>
        <v/>
      </c>
      <c r="D1261" t="str">
        <f ca="1"/>
        <v/>
      </c>
      <c r="E1261" t="str">
        <f ca="1"/>
        <v/>
      </c>
      <c r="F1261" t="str">
        <f ca="1"/>
        <v/>
      </c>
      <c r="G1261" t="str">
        <f ca="1"/>
        <v/>
      </c>
      <c r="H1261" s="17" t="str">
        <f ca="1"/>
        <v/>
      </c>
    </row>
    <row r="1262" spans="2:8" x14ac:dyDescent="0.35">
      <c r="B1262" t="str">
        <f ca="1"/>
        <v/>
      </c>
      <c r="C1262" t="str">
        <f ca="1"/>
        <v/>
      </c>
      <c r="D1262" t="str">
        <f ca="1"/>
        <v/>
      </c>
      <c r="E1262" t="str">
        <f ca="1"/>
        <v/>
      </c>
      <c r="F1262" t="str">
        <f ca="1"/>
        <v/>
      </c>
      <c r="G1262" t="str">
        <f ca="1"/>
        <v/>
      </c>
      <c r="H1262" s="17" t="str">
        <f ca="1"/>
        <v/>
      </c>
    </row>
    <row r="1263" spans="2:8" x14ac:dyDescent="0.35">
      <c r="B1263" t="str">
        <f ca="1"/>
        <v/>
      </c>
      <c r="C1263" t="str">
        <f ca="1"/>
        <v/>
      </c>
      <c r="D1263" t="str">
        <f ca="1"/>
        <v/>
      </c>
      <c r="E1263" t="str">
        <f ca="1"/>
        <v/>
      </c>
      <c r="F1263" t="str">
        <f ca="1"/>
        <v/>
      </c>
      <c r="G1263" t="str">
        <f ca="1"/>
        <v/>
      </c>
      <c r="H1263" s="17" t="str">
        <f ca="1"/>
        <v/>
      </c>
    </row>
    <row r="1264" spans="2:8" x14ac:dyDescent="0.35">
      <c r="B1264" t="str">
        <f ca="1"/>
        <v/>
      </c>
      <c r="C1264" t="str">
        <f ca="1"/>
        <v/>
      </c>
      <c r="D1264" t="str">
        <f ca="1"/>
        <v/>
      </c>
      <c r="E1264" t="str">
        <f ca="1"/>
        <v/>
      </c>
      <c r="F1264" t="str">
        <f ca="1"/>
        <v/>
      </c>
      <c r="G1264" t="str">
        <f ca="1"/>
        <v/>
      </c>
      <c r="H1264" s="17" t="str">
        <f ca="1"/>
        <v/>
      </c>
    </row>
    <row r="1265" spans="2:8" x14ac:dyDescent="0.35">
      <c r="B1265" t="str">
        <f ca="1"/>
        <v/>
      </c>
      <c r="C1265" t="str">
        <f ca="1"/>
        <v/>
      </c>
      <c r="D1265" t="str">
        <f ca="1"/>
        <v/>
      </c>
      <c r="E1265" t="str">
        <f ca="1"/>
        <v/>
      </c>
      <c r="F1265" t="str">
        <f ca="1"/>
        <v/>
      </c>
      <c r="G1265" t="str">
        <f ca="1"/>
        <v/>
      </c>
      <c r="H1265" s="17" t="str">
        <f ca="1"/>
        <v/>
      </c>
    </row>
    <row r="1266" spans="2:8" x14ac:dyDescent="0.35">
      <c r="B1266" t="str">
        <f ca="1"/>
        <v/>
      </c>
      <c r="C1266" t="str">
        <f ca="1"/>
        <v/>
      </c>
      <c r="D1266" t="str">
        <f ca="1"/>
        <v/>
      </c>
      <c r="E1266" t="str">
        <f ca="1"/>
        <v/>
      </c>
      <c r="F1266" t="str">
        <f ca="1"/>
        <v/>
      </c>
      <c r="G1266" t="str">
        <f ca="1"/>
        <v/>
      </c>
      <c r="H1266" s="17" t="str">
        <f ca="1"/>
        <v/>
      </c>
    </row>
    <row r="1267" spans="2:8" x14ac:dyDescent="0.35">
      <c r="B1267" t="str">
        <f ca="1"/>
        <v/>
      </c>
      <c r="C1267" t="str">
        <f ca="1"/>
        <v/>
      </c>
      <c r="D1267" t="str">
        <f ca="1"/>
        <v/>
      </c>
      <c r="E1267" t="str">
        <f ca="1"/>
        <v/>
      </c>
      <c r="F1267" t="str">
        <f ca="1"/>
        <v/>
      </c>
      <c r="G1267" t="str">
        <f ca="1"/>
        <v/>
      </c>
      <c r="H1267" s="17" t="str">
        <f ca="1"/>
        <v/>
      </c>
    </row>
    <row r="1268" spans="2:8" x14ac:dyDescent="0.35">
      <c r="B1268" t="str">
        <f ca="1"/>
        <v/>
      </c>
      <c r="C1268" t="str">
        <f ca="1"/>
        <v/>
      </c>
      <c r="D1268" t="str">
        <f ca="1"/>
        <v/>
      </c>
      <c r="E1268" t="str">
        <f ca="1"/>
        <v/>
      </c>
      <c r="F1268" t="str">
        <f ca="1"/>
        <v/>
      </c>
      <c r="G1268" t="str">
        <f ca="1"/>
        <v/>
      </c>
      <c r="H1268" s="17" t="str">
        <f ca="1"/>
        <v/>
      </c>
    </row>
    <row r="1269" spans="2:8" x14ac:dyDescent="0.35">
      <c r="B1269" t="str">
        <f ca="1"/>
        <v/>
      </c>
      <c r="C1269" t="str">
        <f ca="1"/>
        <v/>
      </c>
      <c r="D1269" t="str">
        <f ca="1"/>
        <v/>
      </c>
      <c r="E1269" t="str">
        <f ca="1"/>
        <v/>
      </c>
      <c r="F1269" t="str">
        <f ca="1"/>
        <v/>
      </c>
      <c r="G1269" t="str">
        <f ca="1"/>
        <v/>
      </c>
      <c r="H1269" s="17" t="str">
        <f ca="1"/>
        <v/>
      </c>
    </row>
    <row r="1270" spans="2:8" x14ac:dyDescent="0.35">
      <c r="B1270" t="str">
        <f ca="1"/>
        <v/>
      </c>
      <c r="C1270" t="str">
        <f ca="1"/>
        <v/>
      </c>
      <c r="D1270" t="str">
        <f ca="1"/>
        <v/>
      </c>
      <c r="E1270" t="str">
        <f ca="1"/>
        <v/>
      </c>
      <c r="F1270" t="str">
        <f ca="1"/>
        <v/>
      </c>
      <c r="G1270" t="str">
        <f ca="1"/>
        <v/>
      </c>
      <c r="H1270" s="17" t="str">
        <f ca="1"/>
        <v/>
      </c>
    </row>
    <row r="1271" spans="2:8" x14ac:dyDescent="0.35">
      <c r="B1271" t="str">
        <f ca="1"/>
        <v/>
      </c>
      <c r="C1271" t="str">
        <f ca="1"/>
        <v/>
      </c>
      <c r="D1271" t="str">
        <f ca="1"/>
        <v/>
      </c>
      <c r="E1271" t="str">
        <f ca="1"/>
        <v/>
      </c>
      <c r="F1271" t="str">
        <f ca="1"/>
        <v/>
      </c>
      <c r="G1271" t="str">
        <f ca="1"/>
        <v/>
      </c>
      <c r="H1271" s="17" t="str">
        <f ca="1"/>
        <v/>
      </c>
    </row>
    <row r="1272" spans="2:8" x14ac:dyDescent="0.35">
      <c r="B1272" t="str">
        <f ca="1"/>
        <v/>
      </c>
      <c r="C1272" t="str">
        <f ca="1"/>
        <v/>
      </c>
      <c r="D1272" t="str">
        <f ca="1"/>
        <v/>
      </c>
      <c r="E1272" t="str">
        <f ca="1"/>
        <v/>
      </c>
      <c r="F1272" t="str">
        <f ca="1"/>
        <v/>
      </c>
      <c r="G1272" t="str">
        <f ca="1"/>
        <v/>
      </c>
      <c r="H1272" s="17" t="str">
        <f ca="1"/>
        <v/>
      </c>
    </row>
    <row r="1273" spans="2:8" x14ac:dyDescent="0.35">
      <c r="B1273" t="str">
        <f ca="1"/>
        <v/>
      </c>
      <c r="C1273" t="str">
        <f ca="1"/>
        <v/>
      </c>
      <c r="D1273" t="str">
        <f ca="1"/>
        <v/>
      </c>
      <c r="E1273" t="str">
        <f ca="1"/>
        <v/>
      </c>
      <c r="F1273" t="str">
        <f ca="1"/>
        <v/>
      </c>
      <c r="G1273" t="str">
        <f ca="1"/>
        <v/>
      </c>
      <c r="H1273" s="17" t="str">
        <f ca="1"/>
        <v/>
      </c>
    </row>
    <row r="1274" spans="2:8" x14ac:dyDescent="0.35">
      <c r="B1274" t="str">
        <f ca="1"/>
        <v/>
      </c>
      <c r="C1274" t="str">
        <f ca="1"/>
        <v/>
      </c>
      <c r="D1274" t="str">
        <f ca="1"/>
        <v/>
      </c>
      <c r="E1274" t="str">
        <f ca="1"/>
        <v/>
      </c>
      <c r="F1274" t="str">
        <f ca="1"/>
        <v/>
      </c>
      <c r="G1274" t="str">
        <f ca="1"/>
        <v/>
      </c>
      <c r="H1274" s="17" t="str">
        <f ca="1"/>
        <v/>
      </c>
    </row>
    <row r="1275" spans="2:8" x14ac:dyDescent="0.35">
      <c r="B1275" t="str">
        <f ca="1"/>
        <v/>
      </c>
      <c r="C1275" t="str">
        <f ca="1"/>
        <v/>
      </c>
      <c r="D1275" t="str">
        <f ca="1"/>
        <v/>
      </c>
      <c r="E1275" t="str">
        <f ca="1"/>
        <v/>
      </c>
      <c r="F1275" t="str">
        <f ca="1"/>
        <v/>
      </c>
      <c r="G1275" t="str">
        <f ca="1"/>
        <v/>
      </c>
      <c r="H1275" s="17" t="str">
        <f ca="1"/>
        <v/>
      </c>
    </row>
    <row r="1276" spans="2:8" x14ac:dyDescent="0.35">
      <c r="B1276" t="str">
        <f ca="1"/>
        <v/>
      </c>
      <c r="C1276" t="str">
        <f ca="1"/>
        <v/>
      </c>
      <c r="D1276" t="str">
        <f ca="1"/>
        <v/>
      </c>
      <c r="E1276" t="str">
        <f ca="1"/>
        <v/>
      </c>
      <c r="F1276" t="str">
        <f ca="1"/>
        <v/>
      </c>
      <c r="G1276" t="str">
        <f ca="1"/>
        <v/>
      </c>
      <c r="H1276" s="17" t="str">
        <f ca="1"/>
        <v/>
      </c>
    </row>
    <row r="1277" spans="2:8" x14ac:dyDescent="0.35">
      <c r="B1277" t="str">
        <f ca="1"/>
        <v/>
      </c>
      <c r="C1277" t="str">
        <f ca="1"/>
        <v/>
      </c>
      <c r="D1277" t="str">
        <f ca="1"/>
        <v/>
      </c>
      <c r="E1277" t="str">
        <f ca="1"/>
        <v/>
      </c>
      <c r="F1277" t="str">
        <f ca="1"/>
        <v/>
      </c>
      <c r="G1277" t="str">
        <f ca="1"/>
        <v/>
      </c>
      <c r="H1277" s="17" t="str">
        <f ca="1"/>
        <v/>
      </c>
    </row>
    <row r="1278" spans="2:8" x14ac:dyDescent="0.35">
      <c r="B1278" t="str">
        <f ca="1"/>
        <v/>
      </c>
      <c r="C1278" t="str">
        <f ca="1"/>
        <v/>
      </c>
      <c r="D1278" t="str">
        <f ca="1"/>
        <v/>
      </c>
      <c r="E1278" t="str">
        <f ca="1"/>
        <v/>
      </c>
      <c r="F1278" t="str">
        <f ca="1"/>
        <v/>
      </c>
      <c r="G1278" t="str">
        <f ca="1"/>
        <v/>
      </c>
      <c r="H1278" s="17" t="str">
        <f ca="1"/>
        <v/>
      </c>
    </row>
    <row r="1279" spans="2:8" x14ac:dyDescent="0.35">
      <c r="B1279" t="str">
        <f ca="1"/>
        <v/>
      </c>
      <c r="C1279" t="str">
        <f ca="1"/>
        <v/>
      </c>
      <c r="D1279" t="str">
        <f ca="1"/>
        <v/>
      </c>
      <c r="E1279" t="str">
        <f ca="1"/>
        <v/>
      </c>
      <c r="F1279" t="str">
        <f ca="1"/>
        <v/>
      </c>
      <c r="G1279" t="str">
        <f ca="1"/>
        <v/>
      </c>
      <c r="H1279" s="17" t="str">
        <f ca="1"/>
        <v/>
      </c>
    </row>
    <row r="1280" spans="2:8" x14ac:dyDescent="0.35">
      <c r="B1280" t="str">
        <f ca="1"/>
        <v/>
      </c>
      <c r="C1280" t="str">
        <f ca="1"/>
        <v/>
      </c>
      <c r="D1280" t="str">
        <f ca="1"/>
        <v/>
      </c>
      <c r="E1280" t="str">
        <f ca="1"/>
        <v/>
      </c>
      <c r="F1280" t="str">
        <f ca="1"/>
        <v/>
      </c>
      <c r="G1280" t="str">
        <f ca="1"/>
        <v/>
      </c>
      <c r="H1280" s="17" t="str">
        <f ca="1"/>
        <v/>
      </c>
    </row>
    <row r="1281" spans="2:8" x14ac:dyDescent="0.35">
      <c r="B1281" t="str">
        <f ca="1"/>
        <v/>
      </c>
      <c r="C1281" t="str">
        <f ca="1"/>
        <v/>
      </c>
      <c r="D1281" t="str">
        <f ca="1"/>
        <v/>
      </c>
      <c r="E1281" t="str">
        <f ca="1"/>
        <v/>
      </c>
      <c r="F1281" t="str">
        <f ca="1"/>
        <v/>
      </c>
      <c r="G1281" t="str">
        <f ca="1"/>
        <v/>
      </c>
      <c r="H1281" s="17" t="str">
        <f ca="1"/>
        <v/>
      </c>
    </row>
    <row r="1282" spans="2:8" x14ac:dyDescent="0.35">
      <c r="B1282" t="str">
        <f ca="1"/>
        <v/>
      </c>
      <c r="C1282" t="str">
        <f ca="1"/>
        <v/>
      </c>
      <c r="D1282" t="str">
        <f ca="1"/>
        <v/>
      </c>
      <c r="E1282" t="str">
        <f ca="1"/>
        <v/>
      </c>
      <c r="F1282" t="str">
        <f ca="1"/>
        <v/>
      </c>
      <c r="G1282" t="str">
        <f ca="1"/>
        <v/>
      </c>
      <c r="H1282" s="17" t="str">
        <f ca="1"/>
        <v/>
      </c>
    </row>
    <row r="1283" spans="2:8" x14ac:dyDescent="0.35">
      <c r="B1283" t="str">
        <f ca="1"/>
        <v/>
      </c>
      <c r="C1283" t="str">
        <f ca="1"/>
        <v/>
      </c>
      <c r="D1283" t="str">
        <f ca="1"/>
        <v/>
      </c>
      <c r="E1283" t="str">
        <f ca="1"/>
        <v/>
      </c>
      <c r="F1283" t="str">
        <f ca="1"/>
        <v/>
      </c>
      <c r="G1283" t="str">
        <f ca="1"/>
        <v/>
      </c>
      <c r="H1283" s="17" t="str">
        <f ca="1"/>
        <v/>
      </c>
    </row>
    <row r="1284" spans="2:8" x14ac:dyDescent="0.35">
      <c r="B1284" t="str">
        <f ca="1"/>
        <v/>
      </c>
      <c r="C1284" t="str">
        <f ca="1"/>
        <v/>
      </c>
      <c r="D1284" t="str">
        <f ca="1"/>
        <v/>
      </c>
      <c r="E1284" t="str">
        <f ca="1"/>
        <v/>
      </c>
      <c r="F1284" t="str">
        <f ca="1"/>
        <v/>
      </c>
      <c r="G1284" t="str">
        <f ca="1"/>
        <v/>
      </c>
      <c r="H1284" s="17" t="str">
        <f ca="1"/>
        <v/>
      </c>
    </row>
    <row r="1285" spans="2:8" x14ac:dyDescent="0.35">
      <c r="B1285" t="str">
        <f ca="1"/>
        <v/>
      </c>
      <c r="C1285" t="str">
        <f ca="1"/>
        <v/>
      </c>
      <c r="D1285" t="str">
        <f ca="1"/>
        <v/>
      </c>
      <c r="E1285" t="str">
        <f ca="1"/>
        <v/>
      </c>
      <c r="F1285" t="str">
        <f ca="1"/>
        <v/>
      </c>
      <c r="G1285" t="str">
        <f ca="1"/>
        <v/>
      </c>
      <c r="H1285" s="17" t="str">
        <f ca="1"/>
        <v/>
      </c>
    </row>
    <row r="1286" spans="2:8" x14ac:dyDescent="0.35">
      <c r="B1286" t="str">
        <f ca="1"/>
        <v/>
      </c>
      <c r="C1286" t="str">
        <f ca="1"/>
        <v/>
      </c>
      <c r="D1286" t="str">
        <f ca="1"/>
        <v/>
      </c>
      <c r="E1286" t="str">
        <f ca="1"/>
        <v/>
      </c>
      <c r="F1286" t="str">
        <f ca="1"/>
        <v/>
      </c>
      <c r="G1286" t="str">
        <f ca="1"/>
        <v/>
      </c>
      <c r="H1286" s="17" t="str">
        <f ca="1"/>
        <v/>
      </c>
    </row>
    <row r="1287" spans="2:8" x14ac:dyDescent="0.35">
      <c r="B1287" t="str">
        <f ca="1"/>
        <v/>
      </c>
      <c r="C1287" t="str">
        <f ca="1"/>
        <v/>
      </c>
      <c r="D1287" t="str">
        <f ca="1"/>
        <v/>
      </c>
      <c r="E1287" t="str">
        <f ca="1"/>
        <v/>
      </c>
      <c r="F1287" t="str">
        <f ca="1"/>
        <v/>
      </c>
      <c r="G1287" t="str">
        <f ca="1"/>
        <v/>
      </c>
      <c r="H1287" s="17" t="str">
        <f ca="1"/>
        <v/>
      </c>
    </row>
    <row r="1288" spans="2:8" x14ac:dyDescent="0.35">
      <c r="B1288" t="str">
        <f ca="1"/>
        <v/>
      </c>
      <c r="C1288" t="str">
        <f ca="1"/>
        <v/>
      </c>
      <c r="D1288" t="str">
        <f ca="1"/>
        <v/>
      </c>
      <c r="E1288" t="str">
        <f ca="1"/>
        <v/>
      </c>
      <c r="F1288" t="str">
        <f ca="1"/>
        <v/>
      </c>
      <c r="G1288" t="str">
        <f ca="1"/>
        <v/>
      </c>
      <c r="H1288" s="17" t="str">
        <f ca="1"/>
        <v/>
      </c>
    </row>
    <row r="1289" spans="2:8" x14ac:dyDescent="0.35">
      <c r="B1289" t="str">
        <f ca="1"/>
        <v/>
      </c>
      <c r="C1289" t="str">
        <f ca="1"/>
        <v/>
      </c>
      <c r="D1289" t="str">
        <f ca="1"/>
        <v/>
      </c>
      <c r="E1289" t="str">
        <f ca="1"/>
        <v/>
      </c>
      <c r="F1289" t="str">
        <f ca="1"/>
        <v/>
      </c>
      <c r="G1289" t="str">
        <f ca="1"/>
        <v/>
      </c>
      <c r="H1289" s="17" t="str">
        <f ca="1"/>
        <v/>
      </c>
    </row>
    <row r="1290" spans="2:8" x14ac:dyDescent="0.35">
      <c r="B1290" t="str">
        <f ca="1"/>
        <v/>
      </c>
      <c r="C1290" t="str">
        <f ca="1"/>
        <v/>
      </c>
      <c r="D1290" t="str">
        <f ca="1"/>
        <v/>
      </c>
      <c r="E1290" t="str">
        <f ca="1"/>
        <v/>
      </c>
      <c r="F1290" t="str">
        <f ca="1"/>
        <v/>
      </c>
      <c r="G1290" t="str">
        <f ca="1"/>
        <v/>
      </c>
      <c r="H1290" s="17" t="str">
        <f ca="1"/>
        <v/>
      </c>
    </row>
    <row r="1291" spans="2:8" x14ac:dyDescent="0.35">
      <c r="B1291" t="str">
        <f ca="1"/>
        <v/>
      </c>
      <c r="C1291" t="str">
        <f ca="1"/>
        <v/>
      </c>
      <c r="D1291" t="str">
        <f ca="1"/>
        <v/>
      </c>
      <c r="E1291" t="str">
        <f ca="1"/>
        <v/>
      </c>
      <c r="F1291" t="str">
        <f ca="1"/>
        <v/>
      </c>
      <c r="G1291" t="str">
        <f ca="1"/>
        <v/>
      </c>
      <c r="H1291" s="17" t="str">
        <f ca="1"/>
        <v/>
      </c>
    </row>
    <row r="1292" spans="2:8" x14ac:dyDescent="0.35">
      <c r="B1292" t="str">
        <f ca="1"/>
        <v/>
      </c>
      <c r="C1292" t="str">
        <f ca="1"/>
        <v/>
      </c>
      <c r="D1292" t="str">
        <f ca="1"/>
        <v/>
      </c>
      <c r="E1292" t="str">
        <f ca="1"/>
        <v/>
      </c>
      <c r="F1292" t="str">
        <f ca="1"/>
        <v/>
      </c>
      <c r="G1292" t="str">
        <f ca="1"/>
        <v/>
      </c>
      <c r="H1292" s="17" t="str">
        <f ca="1"/>
        <v/>
      </c>
    </row>
    <row r="1293" spans="2:8" x14ac:dyDescent="0.35">
      <c r="B1293" t="str">
        <f ca="1"/>
        <v/>
      </c>
      <c r="C1293" t="str">
        <f ca="1"/>
        <v/>
      </c>
      <c r="D1293" t="str">
        <f ca="1"/>
        <v/>
      </c>
      <c r="E1293" t="str">
        <f ca="1"/>
        <v/>
      </c>
      <c r="F1293" t="str">
        <f ca="1"/>
        <v/>
      </c>
      <c r="G1293" t="str">
        <f ca="1"/>
        <v/>
      </c>
      <c r="H1293" s="17" t="str">
        <f ca="1"/>
        <v/>
      </c>
    </row>
    <row r="1294" spans="2:8" x14ac:dyDescent="0.35">
      <c r="B1294" t="str">
        <f ca="1"/>
        <v/>
      </c>
      <c r="C1294" t="str">
        <f ca="1"/>
        <v/>
      </c>
      <c r="D1294" t="str">
        <f ca="1"/>
        <v/>
      </c>
      <c r="E1294" t="str">
        <f ca="1"/>
        <v/>
      </c>
      <c r="F1294" t="str">
        <f ca="1"/>
        <v/>
      </c>
      <c r="G1294" t="str">
        <f ca="1"/>
        <v/>
      </c>
      <c r="H1294" s="17" t="str">
        <f ca="1"/>
        <v/>
      </c>
    </row>
    <row r="1295" spans="2:8" x14ac:dyDescent="0.35">
      <c r="B1295" t="str">
        <f ca="1"/>
        <v/>
      </c>
      <c r="C1295" t="str">
        <f ca="1"/>
        <v/>
      </c>
      <c r="D1295" t="str">
        <f ca="1"/>
        <v/>
      </c>
      <c r="E1295" t="str">
        <f ca="1"/>
        <v/>
      </c>
      <c r="F1295" t="str">
        <f ca="1"/>
        <v/>
      </c>
      <c r="G1295" t="str">
        <f ca="1"/>
        <v/>
      </c>
      <c r="H1295" s="17" t="str">
        <f ca="1"/>
        <v/>
      </c>
    </row>
    <row r="1296" spans="2:8" x14ac:dyDescent="0.35">
      <c r="B1296" t="str">
        <f ca="1"/>
        <v/>
      </c>
      <c r="C1296" t="str">
        <f ca="1"/>
        <v/>
      </c>
      <c r="D1296" t="str">
        <f ca="1"/>
        <v/>
      </c>
      <c r="E1296" t="str">
        <f ca="1"/>
        <v/>
      </c>
      <c r="F1296" t="str">
        <f ca="1"/>
        <v/>
      </c>
      <c r="G1296" t="str">
        <f ca="1"/>
        <v/>
      </c>
      <c r="H1296" s="17" t="str">
        <f ca="1"/>
        <v/>
      </c>
    </row>
    <row r="1297" spans="2:8" x14ac:dyDescent="0.35">
      <c r="B1297" t="str">
        <f ca="1"/>
        <v/>
      </c>
      <c r="C1297" t="str">
        <f ca="1"/>
        <v/>
      </c>
      <c r="D1297" t="str">
        <f ca="1"/>
        <v/>
      </c>
      <c r="E1297" t="str">
        <f ca="1"/>
        <v/>
      </c>
      <c r="F1297" t="str">
        <f ca="1"/>
        <v/>
      </c>
      <c r="G1297" t="str">
        <f ca="1"/>
        <v/>
      </c>
      <c r="H1297" s="17" t="str">
        <f ca="1"/>
        <v/>
      </c>
    </row>
    <row r="1298" spans="2:8" x14ac:dyDescent="0.35">
      <c r="B1298" t="str">
        <f ca="1"/>
        <v/>
      </c>
      <c r="C1298" t="str">
        <f ca="1"/>
        <v/>
      </c>
      <c r="D1298" t="str">
        <f ca="1"/>
        <v/>
      </c>
      <c r="E1298" t="str">
        <f ca="1"/>
        <v/>
      </c>
      <c r="F1298" t="str">
        <f ca="1"/>
        <v/>
      </c>
      <c r="G1298" t="str">
        <f ca="1"/>
        <v/>
      </c>
      <c r="H1298" s="17" t="str">
        <f ca="1"/>
        <v/>
      </c>
    </row>
    <row r="1299" spans="2:8" x14ac:dyDescent="0.35">
      <c r="B1299" t="str">
        <f ca="1"/>
        <v/>
      </c>
      <c r="C1299" t="str">
        <f ca="1"/>
        <v/>
      </c>
      <c r="D1299" t="str">
        <f ca="1"/>
        <v/>
      </c>
      <c r="E1299" t="str">
        <f ca="1"/>
        <v/>
      </c>
      <c r="F1299" t="str">
        <f ca="1"/>
        <v/>
      </c>
      <c r="G1299" t="str">
        <f ca="1"/>
        <v/>
      </c>
      <c r="H1299" s="17" t="str">
        <f ca="1"/>
        <v/>
      </c>
    </row>
    <row r="1300" spans="2:8" x14ac:dyDescent="0.35">
      <c r="B1300" t="str">
        <f ca="1"/>
        <v/>
      </c>
      <c r="C1300" t="str">
        <f ca="1"/>
        <v/>
      </c>
      <c r="D1300" t="str">
        <f ca="1"/>
        <v/>
      </c>
      <c r="E1300" t="str">
        <f ca="1"/>
        <v/>
      </c>
      <c r="F1300" t="str">
        <f ca="1"/>
        <v/>
      </c>
      <c r="G1300" t="str">
        <f ca="1"/>
        <v/>
      </c>
      <c r="H1300" s="17" t="str">
        <f ca="1"/>
        <v/>
      </c>
    </row>
    <row r="1301" spans="2:8" x14ac:dyDescent="0.35">
      <c r="B1301" t="str">
        <f ca="1"/>
        <v/>
      </c>
      <c r="C1301" t="str">
        <f ca="1"/>
        <v/>
      </c>
      <c r="D1301" t="str">
        <f ca="1"/>
        <v/>
      </c>
      <c r="E1301" t="str">
        <f ca="1"/>
        <v/>
      </c>
      <c r="F1301" t="str">
        <f ca="1"/>
        <v/>
      </c>
      <c r="G1301" t="str">
        <f ca="1"/>
        <v/>
      </c>
      <c r="H1301" s="17" t="str">
        <f ca="1"/>
        <v/>
      </c>
    </row>
    <row r="1302" spans="2:8" x14ac:dyDescent="0.35">
      <c r="B1302" t="str">
        <f ca="1"/>
        <v/>
      </c>
      <c r="C1302" t="str">
        <f ca="1"/>
        <v/>
      </c>
      <c r="D1302" t="str">
        <f ca="1"/>
        <v/>
      </c>
      <c r="E1302" t="str">
        <f ca="1"/>
        <v/>
      </c>
      <c r="F1302" t="str">
        <f ca="1"/>
        <v/>
      </c>
      <c r="G1302" t="str">
        <f ca="1"/>
        <v/>
      </c>
      <c r="H1302" s="17" t="str">
        <f ca="1"/>
        <v/>
      </c>
    </row>
    <row r="1303" spans="2:8" x14ac:dyDescent="0.35">
      <c r="B1303" t="str">
        <f ca="1"/>
        <v/>
      </c>
      <c r="C1303" t="str">
        <f ca="1"/>
        <v/>
      </c>
      <c r="D1303" t="str">
        <f ca="1"/>
        <v/>
      </c>
      <c r="E1303" t="str">
        <f ca="1"/>
        <v/>
      </c>
      <c r="F1303" t="str">
        <f ca="1"/>
        <v/>
      </c>
      <c r="G1303" t="str">
        <f ca="1"/>
        <v/>
      </c>
      <c r="H1303" s="17" t="str">
        <f ca="1"/>
        <v/>
      </c>
    </row>
    <row r="1304" spans="2:8" x14ac:dyDescent="0.35">
      <c r="B1304" t="str">
        <f ca="1"/>
        <v/>
      </c>
      <c r="C1304" t="str">
        <f ca="1"/>
        <v/>
      </c>
      <c r="D1304" t="str">
        <f ca="1"/>
        <v/>
      </c>
      <c r="E1304" t="str">
        <f ca="1"/>
        <v/>
      </c>
      <c r="F1304" t="str">
        <f ca="1"/>
        <v/>
      </c>
      <c r="G1304" t="str">
        <f ca="1"/>
        <v/>
      </c>
      <c r="H1304" s="17" t="str">
        <f ca="1"/>
        <v/>
      </c>
    </row>
    <row r="1305" spans="2:8" x14ac:dyDescent="0.35">
      <c r="B1305" t="str">
        <f ca="1"/>
        <v/>
      </c>
      <c r="C1305" t="str">
        <f ca="1"/>
        <v/>
      </c>
      <c r="D1305" t="str">
        <f ca="1"/>
        <v/>
      </c>
      <c r="E1305" t="str">
        <f ca="1"/>
        <v/>
      </c>
      <c r="F1305" t="str">
        <f ca="1"/>
        <v/>
      </c>
      <c r="G1305" t="str">
        <f ca="1"/>
        <v/>
      </c>
      <c r="H1305" s="17" t="str">
        <f ca="1"/>
        <v/>
      </c>
    </row>
    <row r="1306" spans="2:8" x14ac:dyDescent="0.35">
      <c r="B1306" t="str">
        <f ca="1"/>
        <v/>
      </c>
      <c r="C1306" t="str">
        <f ca="1"/>
        <v/>
      </c>
      <c r="D1306" t="str">
        <f ca="1"/>
        <v/>
      </c>
      <c r="E1306" t="str">
        <f ca="1"/>
        <v/>
      </c>
      <c r="F1306" t="str">
        <f ca="1"/>
        <v/>
      </c>
      <c r="G1306" t="str">
        <f ca="1"/>
        <v/>
      </c>
      <c r="H1306" s="17" t="str">
        <f ca="1"/>
        <v/>
      </c>
    </row>
    <row r="1307" spans="2:8" x14ac:dyDescent="0.35">
      <c r="B1307" t="str">
        <f ca="1"/>
        <v/>
      </c>
      <c r="C1307" t="str">
        <f ca="1"/>
        <v/>
      </c>
      <c r="D1307" t="str">
        <f ca="1"/>
        <v/>
      </c>
      <c r="E1307" t="str">
        <f ca="1"/>
        <v/>
      </c>
      <c r="F1307" t="str">
        <f ca="1"/>
        <v/>
      </c>
      <c r="G1307" t="str">
        <f ca="1"/>
        <v/>
      </c>
      <c r="H1307" s="17" t="str">
        <f ca="1"/>
        <v/>
      </c>
    </row>
    <row r="1308" spans="2:8" x14ac:dyDescent="0.35">
      <c r="B1308" t="str">
        <f ca="1"/>
        <v/>
      </c>
      <c r="C1308" t="str">
        <f ca="1"/>
        <v/>
      </c>
      <c r="D1308" t="str">
        <f ca="1"/>
        <v/>
      </c>
      <c r="E1308" t="str">
        <f ca="1"/>
        <v/>
      </c>
      <c r="F1308" t="str">
        <f ca="1"/>
        <v/>
      </c>
      <c r="G1308" t="str">
        <f ca="1"/>
        <v/>
      </c>
      <c r="H1308" s="17" t="str">
        <f ca="1"/>
        <v/>
      </c>
    </row>
    <row r="1309" spans="2:8" x14ac:dyDescent="0.35">
      <c r="B1309" t="str">
        <f ca="1"/>
        <v/>
      </c>
      <c r="C1309" t="str">
        <f ca="1"/>
        <v/>
      </c>
      <c r="D1309" t="str">
        <f ca="1"/>
        <v/>
      </c>
      <c r="E1309" t="str">
        <f ca="1"/>
        <v/>
      </c>
      <c r="F1309" t="str">
        <f ca="1"/>
        <v/>
      </c>
      <c r="G1309" t="str">
        <f ca="1"/>
        <v/>
      </c>
      <c r="H1309" s="17" t="str">
        <f ca="1"/>
        <v/>
      </c>
    </row>
    <row r="1310" spans="2:8" x14ac:dyDescent="0.35">
      <c r="B1310" t="str">
        <f ca="1"/>
        <v/>
      </c>
      <c r="C1310" t="str">
        <f ca="1"/>
        <v/>
      </c>
      <c r="D1310" t="str">
        <f ca="1"/>
        <v/>
      </c>
      <c r="E1310" t="str">
        <f ca="1"/>
        <v/>
      </c>
      <c r="F1310" t="str">
        <f ca="1"/>
        <v/>
      </c>
      <c r="G1310" t="str">
        <f ca="1"/>
        <v/>
      </c>
      <c r="H1310" s="17" t="str">
        <f ca="1"/>
        <v/>
      </c>
    </row>
    <row r="1311" spans="2:8" x14ac:dyDescent="0.35">
      <c r="B1311" t="str">
        <f ca="1"/>
        <v/>
      </c>
      <c r="C1311" t="str">
        <f ca="1"/>
        <v/>
      </c>
      <c r="D1311" t="str">
        <f ca="1"/>
        <v/>
      </c>
      <c r="E1311" t="str">
        <f ca="1"/>
        <v/>
      </c>
      <c r="F1311" t="str">
        <f ca="1"/>
        <v/>
      </c>
      <c r="G1311" t="str">
        <f ca="1"/>
        <v/>
      </c>
      <c r="H1311" s="17" t="str">
        <f ca="1"/>
        <v/>
      </c>
    </row>
    <row r="1312" spans="2:8" x14ac:dyDescent="0.35">
      <c r="B1312" t="str">
        <f ca="1"/>
        <v/>
      </c>
      <c r="C1312" t="str">
        <f ca="1"/>
        <v/>
      </c>
      <c r="D1312" t="str">
        <f ca="1"/>
        <v/>
      </c>
      <c r="E1312" t="str">
        <f ca="1"/>
        <v/>
      </c>
      <c r="F1312" t="str">
        <f ca="1"/>
        <v/>
      </c>
      <c r="G1312" t="str">
        <f ca="1"/>
        <v/>
      </c>
      <c r="H1312" s="17" t="str">
        <f ca="1"/>
        <v/>
      </c>
    </row>
    <row r="1313" spans="2:8" x14ac:dyDescent="0.35">
      <c r="B1313" t="str">
        <f ca="1"/>
        <v/>
      </c>
      <c r="C1313" t="str">
        <f ca="1"/>
        <v/>
      </c>
      <c r="D1313" t="str">
        <f ca="1"/>
        <v/>
      </c>
      <c r="E1313" t="str">
        <f ca="1"/>
        <v/>
      </c>
      <c r="F1313" t="str">
        <f ca="1"/>
        <v/>
      </c>
      <c r="G1313" t="str">
        <f ca="1"/>
        <v/>
      </c>
      <c r="H1313" s="17" t="str">
        <f ca="1"/>
        <v/>
      </c>
    </row>
    <row r="1314" spans="2:8" x14ac:dyDescent="0.35">
      <c r="B1314" t="str">
        <f ca="1"/>
        <v/>
      </c>
      <c r="C1314" t="str">
        <f ca="1"/>
        <v/>
      </c>
      <c r="D1314" t="str">
        <f ca="1"/>
        <v/>
      </c>
      <c r="E1314" t="str">
        <f ca="1"/>
        <v/>
      </c>
      <c r="F1314" t="str">
        <f ca="1"/>
        <v/>
      </c>
      <c r="G1314" t="str">
        <f ca="1"/>
        <v/>
      </c>
      <c r="H1314" s="17" t="str">
        <f ca="1"/>
        <v/>
      </c>
    </row>
    <row r="1315" spans="2:8" x14ac:dyDescent="0.35">
      <c r="B1315" t="str">
        <f ca="1"/>
        <v/>
      </c>
      <c r="C1315" t="str">
        <f ca="1"/>
        <v/>
      </c>
      <c r="D1315" t="str">
        <f ca="1"/>
        <v/>
      </c>
      <c r="E1315" t="str">
        <f ca="1"/>
        <v/>
      </c>
      <c r="F1315" t="str">
        <f ca="1"/>
        <v/>
      </c>
      <c r="G1315" t="str">
        <f ca="1"/>
        <v/>
      </c>
      <c r="H1315" s="17" t="str">
        <f ca="1"/>
        <v/>
      </c>
    </row>
    <row r="1316" spans="2:8" x14ac:dyDescent="0.35">
      <c r="B1316" t="str">
        <f ca="1"/>
        <v/>
      </c>
      <c r="C1316" t="str">
        <f ca="1"/>
        <v/>
      </c>
      <c r="D1316" t="str">
        <f ca="1"/>
        <v/>
      </c>
      <c r="E1316" t="str">
        <f ca="1"/>
        <v/>
      </c>
      <c r="F1316" t="str">
        <f ca="1"/>
        <v/>
      </c>
      <c r="G1316" t="str">
        <f ca="1"/>
        <v/>
      </c>
      <c r="H1316" s="17" t="str">
        <f ca="1"/>
        <v/>
      </c>
    </row>
    <row r="1317" spans="2:8" x14ac:dyDescent="0.35">
      <c r="B1317" t="str">
        <f ca="1"/>
        <v/>
      </c>
      <c r="C1317" t="str">
        <f ca="1"/>
        <v/>
      </c>
      <c r="D1317" t="str">
        <f ca="1"/>
        <v/>
      </c>
      <c r="E1317" t="str">
        <f ca="1"/>
        <v/>
      </c>
      <c r="F1317" t="str">
        <f ca="1"/>
        <v/>
      </c>
      <c r="G1317" t="str">
        <f ca="1"/>
        <v/>
      </c>
      <c r="H1317" s="17" t="str">
        <f ca="1"/>
        <v/>
      </c>
    </row>
    <row r="1318" spans="2:8" x14ac:dyDescent="0.35">
      <c r="B1318" t="str">
        <f ca="1"/>
        <v/>
      </c>
      <c r="C1318" t="str">
        <f ca="1"/>
        <v/>
      </c>
      <c r="D1318" t="str">
        <f ca="1"/>
        <v/>
      </c>
      <c r="E1318" t="str">
        <f ca="1"/>
        <v/>
      </c>
      <c r="F1318" t="str">
        <f ca="1"/>
        <v/>
      </c>
      <c r="G1318" t="str">
        <f ca="1"/>
        <v/>
      </c>
      <c r="H1318" s="17" t="str">
        <f ca="1"/>
        <v/>
      </c>
    </row>
    <row r="1319" spans="2:8" x14ac:dyDescent="0.35">
      <c r="B1319" t="str">
        <f ca="1"/>
        <v/>
      </c>
      <c r="C1319" t="str">
        <f ca="1"/>
        <v/>
      </c>
      <c r="D1319" t="str">
        <f ca="1"/>
        <v/>
      </c>
      <c r="E1319" t="str">
        <f ca="1"/>
        <v/>
      </c>
      <c r="F1319" t="str">
        <f ca="1"/>
        <v/>
      </c>
      <c r="G1319" t="str">
        <f ca="1"/>
        <v/>
      </c>
      <c r="H1319" s="17" t="str">
        <f ca="1"/>
        <v/>
      </c>
    </row>
    <row r="1320" spans="2:8" x14ac:dyDescent="0.35">
      <c r="B1320" t="str">
        <f ca="1"/>
        <v/>
      </c>
      <c r="C1320" t="str">
        <f ca="1"/>
        <v/>
      </c>
      <c r="D1320" t="str">
        <f ca="1"/>
        <v/>
      </c>
      <c r="E1320" t="str">
        <f ca="1"/>
        <v/>
      </c>
      <c r="F1320" t="str">
        <f ca="1"/>
        <v/>
      </c>
      <c r="G1320" t="str">
        <f ca="1"/>
        <v/>
      </c>
      <c r="H1320" s="17" t="str">
        <f ca="1"/>
        <v/>
      </c>
    </row>
    <row r="1321" spans="2:8" x14ac:dyDescent="0.35">
      <c r="B1321" t="str">
        <f ca="1"/>
        <v/>
      </c>
      <c r="C1321" t="str">
        <f ca="1"/>
        <v/>
      </c>
      <c r="D1321" t="str">
        <f ca="1"/>
        <v/>
      </c>
      <c r="E1321" t="str">
        <f ca="1"/>
        <v/>
      </c>
      <c r="F1321" t="str">
        <f ca="1"/>
        <v/>
      </c>
      <c r="G1321" t="str">
        <f ca="1"/>
        <v/>
      </c>
      <c r="H1321" s="17" t="str">
        <f ca="1"/>
        <v/>
      </c>
    </row>
    <row r="1322" spans="2:8" x14ac:dyDescent="0.35">
      <c r="B1322" t="str">
        <f ca="1"/>
        <v/>
      </c>
      <c r="C1322" t="str">
        <f ca="1"/>
        <v/>
      </c>
      <c r="D1322" t="str">
        <f ca="1"/>
        <v/>
      </c>
      <c r="E1322" t="str">
        <f ca="1"/>
        <v/>
      </c>
      <c r="F1322" t="str">
        <f ca="1"/>
        <v/>
      </c>
      <c r="G1322" t="str">
        <f ca="1"/>
        <v/>
      </c>
      <c r="H1322" s="17" t="str">
        <f ca="1"/>
        <v/>
      </c>
    </row>
    <row r="1323" spans="2:8" x14ac:dyDescent="0.35">
      <c r="B1323" t="str">
        <f ca="1"/>
        <v/>
      </c>
      <c r="C1323" t="str">
        <f ca="1"/>
        <v/>
      </c>
      <c r="D1323" t="str">
        <f ca="1"/>
        <v/>
      </c>
      <c r="E1323" t="str">
        <f ca="1"/>
        <v/>
      </c>
      <c r="F1323" t="str">
        <f ca="1"/>
        <v/>
      </c>
      <c r="G1323" t="str">
        <f ca="1"/>
        <v/>
      </c>
      <c r="H1323" s="17" t="str">
        <f ca="1"/>
        <v/>
      </c>
    </row>
    <row r="1324" spans="2:8" x14ac:dyDescent="0.35">
      <c r="B1324" t="str">
        <f ca="1"/>
        <v/>
      </c>
      <c r="C1324" t="str">
        <f ca="1"/>
        <v/>
      </c>
      <c r="D1324" t="str">
        <f ca="1"/>
        <v/>
      </c>
      <c r="E1324" t="str">
        <f ca="1"/>
        <v/>
      </c>
      <c r="F1324" t="str">
        <f ca="1"/>
        <v/>
      </c>
      <c r="G1324" t="str">
        <f ca="1"/>
        <v/>
      </c>
      <c r="H1324" s="17" t="str">
        <f ca="1"/>
        <v/>
      </c>
    </row>
    <row r="1325" spans="2:8" x14ac:dyDescent="0.35">
      <c r="B1325" t="str">
        <f ca="1"/>
        <v/>
      </c>
      <c r="C1325" t="str">
        <f ca="1"/>
        <v/>
      </c>
      <c r="D1325" t="str">
        <f ca="1"/>
        <v/>
      </c>
      <c r="E1325" t="str">
        <f ca="1"/>
        <v/>
      </c>
      <c r="F1325" t="str">
        <f ca="1"/>
        <v/>
      </c>
      <c r="G1325" t="str">
        <f ca="1"/>
        <v/>
      </c>
      <c r="H1325" s="17" t="str">
        <f ca="1"/>
        <v/>
      </c>
    </row>
    <row r="1326" spans="2:8" x14ac:dyDescent="0.35">
      <c r="B1326" t="str">
        <f ca="1"/>
        <v/>
      </c>
      <c r="C1326" t="str">
        <f ca="1"/>
        <v/>
      </c>
      <c r="D1326" t="str">
        <f ca="1"/>
        <v/>
      </c>
      <c r="E1326" t="str">
        <f ca="1"/>
        <v/>
      </c>
      <c r="F1326" t="str">
        <f ca="1"/>
        <v/>
      </c>
      <c r="G1326" t="str">
        <f ca="1"/>
        <v/>
      </c>
      <c r="H1326" s="17" t="str">
        <f ca="1"/>
        <v/>
      </c>
    </row>
    <row r="1327" spans="2:8" x14ac:dyDescent="0.35">
      <c r="B1327" t="str">
        <f ca="1"/>
        <v/>
      </c>
      <c r="C1327" t="str">
        <f ca="1"/>
        <v/>
      </c>
      <c r="D1327" t="str">
        <f ca="1"/>
        <v/>
      </c>
      <c r="E1327" t="str">
        <f ca="1"/>
        <v/>
      </c>
      <c r="F1327" t="str">
        <f ca="1"/>
        <v/>
      </c>
      <c r="G1327" t="str">
        <f ca="1"/>
        <v/>
      </c>
      <c r="H1327" s="17" t="str">
        <f ca="1"/>
        <v/>
      </c>
    </row>
    <row r="1328" spans="2:8" x14ac:dyDescent="0.35">
      <c r="B1328" t="str">
        <f ca="1"/>
        <v/>
      </c>
      <c r="C1328" t="str">
        <f ca="1"/>
        <v/>
      </c>
      <c r="D1328" t="str">
        <f ca="1"/>
        <v/>
      </c>
      <c r="E1328" t="str">
        <f ca="1"/>
        <v/>
      </c>
      <c r="F1328" t="str">
        <f ca="1"/>
        <v/>
      </c>
      <c r="G1328" t="str">
        <f ca="1"/>
        <v/>
      </c>
      <c r="H1328" s="17" t="str">
        <f ca="1"/>
        <v/>
      </c>
    </row>
    <row r="1329" spans="2:8" x14ac:dyDescent="0.35">
      <c r="B1329" t="str">
        <f ca="1"/>
        <v/>
      </c>
      <c r="C1329" t="str">
        <f ca="1"/>
        <v/>
      </c>
      <c r="D1329" t="str">
        <f ca="1"/>
        <v/>
      </c>
      <c r="E1329" t="str">
        <f ca="1"/>
        <v/>
      </c>
      <c r="F1329" t="str">
        <f ca="1"/>
        <v/>
      </c>
      <c r="G1329" t="str">
        <f ca="1"/>
        <v/>
      </c>
      <c r="H1329" s="17" t="str">
        <f ca="1"/>
        <v/>
      </c>
    </row>
    <row r="1330" spans="2:8" x14ac:dyDescent="0.35">
      <c r="B1330" t="str">
        <f ca="1"/>
        <v/>
      </c>
      <c r="C1330" t="str">
        <f ca="1"/>
        <v/>
      </c>
      <c r="D1330" t="str">
        <f ca="1"/>
        <v/>
      </c>
      <c r="E1330" t="str">
        <f ca="1"/>
        <v/>
      </c>
      <c r="F1330" t="str">
        <f ca="1"/>
        <v/>
      </c>
      <c r="G1330" t="str">
        <f ca="1"/>
        <v/>
      </c>
      <c r="H1330" s="17" t="str">
        <f ca="1"/>
        <v/>
      </c>
    </row>
    <row r="1331" spans="2:8" x14ac:dyDescent="0.35">
      <c r="B1331" t="str">
        <f ca="1"/>
        <v/>
      </c>
      <c r="C1331" t="str">
        <f ca="1"/>
        <v/>
      </c>
      <c r="D1331" t="str">
        <f ca="1"/>
        <v/>
      </c>
      <c r="E1331" t="str">
        <f ca="1"/>
        <v/>
      </c>
      <c r="F1331" t="str">
        <f ca="1"/>
        <v/>
      </c>
      <c r="G1331" t="str">
        <f ca="1"/>
        <v/>
      </c>
      <c r="H1331" s="17" t="str">
        <f ca="1"/>
        <v/>
      </c>
    </row>
    <row r="1332" spans="2:8" x14ac:dyDescent="0.35">
      <c r="B1332" t="str">
        <f ca="1"/>
        <v/>
      </c>
      <c r="C1332" t="str">
        <f ca="1"/>
        <v/>
      </c>
      <c r="D1332" t="str">
        <f ca="1"/>
        <v/>
      </c>
      <c r="E1332" t="str">
        <f ca="1"/>
        <v/>
      </c>
      <c r="F1332" t="str">
        <f ca="1"/>
        <v/>
      </c>
      <c r="G1332" t="str">
        <f ca="1"/>
        <v/>
      </c>
      <c r="H1332" s="17" t="str">
        <f ca="1"/>
        <v/>
      </c>
    </row>
    <row r="1333" spans="2:8" x14ac:dyDescent="0.35">
      <c r="B1333" t="str">
        <f ca="1"/>
        <v/>
      </c>
      <c r="C1333" t="str">
        <f ca="1"/>
        <v/>
      </c>
      <c r="D1333" t="str">
        <f ca="1"/>
        <v/>
      </c>
      <c r="E1333" t="str">
        <f ca="1"/>
        <v/>
      </c>
      <c r="F1333" t="str">
        <f ca="1"/>
        <v/>
      </c>
      <c r="G1333" t="str">
        <f ca="1"/>
        <v/>
      </c>
      <c r="H1333" s="17" t="str">
        <f ca="1"/>
        <v/>
      </c>
    </row>
    <row r="1334" spans="2:8" x14ac:dyDescent="0.35">
      <c r="B1334" t="str">
        <f ca="1"/>
        <v/>
      </c>
      <c r="C1334" t="str">
        <f ca="1"/>
        <v/>
      </c>
      <c r="D1334" t="str">
        <f ca="1"/>
        <v/>
      </c>
      <c r="E1334" t="str">
        <f ca="1"/>
        <v/>
      </c>
      <c r="F1334" t="str">
        <f ca="1"/>
        <v/>
      </c>
      <c r="G1334" t="str">
        <f ca="1"/>
        <v/>
      </c>
      <c r="H1334" s="17" t="str">
        <f ca="1"/>
        <v/>
      </c>
    </row>
    <row r="1335" spans="2:8" x14ac:dyDescent="0.35">
      <c r="B1335" t="str">
        <f ca="1"/>
        <v/>
      </c>
      <c r="C1335" t="str">
        <f ca="1"/>
        <v/>
      </c>
      <c r="D1335" t="str">
        <f ca="1"/>
        <v/>
      </c>
      <c r="E1335" t="str">
        <f ca="1"/>
        <v/>
      </c>
      <c r="F1335" t="str">
        <f ca="1"/>
        <v/>
      </c>
      <c r="G1335" t="str">
        <f ca="1"/>
        <v/>
      </c>
      <c r="H1335" s="17" t="str">
        <f ca="1"/>
        <v/>
      </c>
    </row>
    <row r="1336" spans="2:8" x14ac:dyDescent="0.35">
      <c r="B1336" t="str">
        <f ca="1"/>
        <v/>
      </c>
      <c r="C1336" t="str">
        <f ca="1"/>
        <v/>
      </c>
      <c r="D1336" t="str">
        <f ca="1"/>
        <v/>
      </c>
      <c r="E1336" t="str">
        <f ca="1"/>
        <v/>
      </c>
      <c r="F1336" t="str">
        <f ca="1"/>
        <v/>
      </c>
      <c r="G1336" t="str">
        <f ca="1"/>
        <v/>
      </c>
      <c r="H1336" s="17" t="str">
        <f ca="1"/>
        <v/>
      </c>
    </row>
    <row r="1337" spans="2:8" x14ac:dyDescent="0.35">
      <c r="B1337" t="str">
        <f ca="1"/>
        <v/>
      </c>
      <c r="C1337" t="str">
        <f ca="1"/>
        <v/>
      </c>
      <c r="D1337" t="str">
        <f ca="1"/>
        <v/>
      </c>
      <c r="E1337" t="str">
        <f ca="1"/>
        <v/>
      </c>
      <c r="F1337" t="str">
        <f ca="1"/>
        <v/>
      </c>
      <c r="G1337" t="str">
        <f ca="1"/>
        <v/>
      </c>
      <c r="H1337" s="17" t="str">
        <f ca="1"/>
        <v/>
      </c>
    </row>
    <row r="1338" spans="2:8" x14ac:dyDescent="0.35">
      <c r="B1338" t="str">
        <f ca="1"/>
        <v/>
      </c>
      <c r="C1338" t="str">
        <f ca="1"/>
        <v/>
      </c>
      <c r="D1338" t="str">
        <f ca="1"/>
        <v/>
      </c>
      <c r="E1338" t="str">
        <f ca="1"/>
        <v/>
      </c>
      <c r="F1338" t="str">
        <f ca="1"/>
        <v/>
      </c>
      <c r="G1338" t="str">
        <f ca="1"/>
        <v/>
      </c>
      <c r="H1338" s="17" t="str">
        <f ca="1"/>
        <v/>
      </c>
    </row>
    <row r="1339" spans="2:8" x14ac:dyDescent="0.35">
      <c r="B1339" t="str">
        <f ca="1"/>
        <v/>
      </c>
      <c r="C1339" t="str">
        <f ca="1"/>
        <v/>
      </c>
      <c r="D1339" t="str">
        <f ca="1"/>
        <v/>
      </c>
      <c r="E1339" t="str">
        <f ca="1"/>
        <v/>
      </c>
      <c r="F1339" t="str">
        <f ca="1"/>
        <v/>
      </c>
      <c r="G1339" t="str">
        <f ca="1"/>
        <v/>
      </c>
      <c r="H1339" s="17" t="str">
        <f ca="1"/>
        <v/>
      </c>
    </row>
    <row r="1340" spans="2:8" x14ac:dyDescent="0.35">
      <c r="B1340" t="str">
        <f ca="1"/>
        <v/>
      </c>
      <c r="C1340" t="str">
        <f ca="1"/>
        <v/>
      </c>
      <c r="D1340" t="str">
        <f ca="1"/>
        <v/>
      </c>
      <c r="E1340" t="str">
        <f ca="1"/>
        <v/>
      </c>
      <c r="F1340" t="str">
        <f ca="1"/>
        <v/>
      </c>
      <c r="G1340" t="str">
        <f ca="1"/>
        <v/>
      </c>
      <c r="H1340" s="17" t="str">
        <f ca="1"/>
        <v/>
      </c>
    </row>
    <row r="1341" spans="2:8" x14ac:dyDescent="0.35">
      <c r="B1341" t="str">
        <f ca="1"/>
        <v/>
      </c>
      <c r="C1341" t="str">
        <f ca="1"/>
        <v/>
      </c>
      <c r="D1341" t="str">
        <f ca="1"/>
        <v/>
      </c>
      <c r="E1341" t="str">
        <f ca="1"/>
        <v/>
      </c>
      <c r="F1341" t="str">
        <f ca="1"/>
        <v/>
      </c>
      <c r="G1341" t="str">
        <f ca="1"/>
        <v/>
      </c>
      <c r="H1341" s="17" t="str">
        <f ca="1"/>
        <v/>
      </c>
    </row>
    <row r="1342" spans="2:8" x14ac:dyDescent="0.35">
      <c r="B1342" t="str">
        <f ca="1"/>
        <v/>
      </c>
      <c r="C1342" t="str">
        <f ca="1"/>
        <v/>
      </c>
      <c r="D1342" t="str">
        <f ca="1"/>
        <v/>
      </c>
      <c r="E1342" t="str">
        <f ca="1"/>
        <v/>
      </c>
      <c r="F1342" t="str">
        <f ca="1"/>
        <v/>
      </c>
      <c r="G1342" t="str">
        <f ca="1"/>
        <v/>
      </c>
      <c r="H1342" s="17" t="str">
        <f ca="1"/>
        <v/>
      </c>
    </row>
    <row r="1343" spans="2:8" x14ac:dyDescent="0.35">
      <c r="B1343" t="str">
        <f ca="1"/>
        <v/>
      </c>
      <c r="C1343" t="str">
        <f ca="1"/>
        <v/>
      </c>
      <c r="D1343" t="str">
        <f ca="1"/>
        <v/>
      </c>
      <c r="E1343" t="str">
        <f ca="1"/>
        <v/>
      </c>
      <c r="F1343" t="str">
        <f ca="1"/>
        <v/>
      </c>
      <c r="G1343" t="str">
        <f ca="1"/>
        <v/>
      </c>
      <c r="H1343" s="17" t="str">
        <f ca="1"/>
        <v/>
      </c>
    </row>
    <row r="1344" spans="2:8" x14ac:dyDescent="0.35">
      <c r="B1344" t="str">
        <f ca="1"/>
        <v/>
      </c>
      <c r="C1344" t="str">
        <f ca="1"/>
        <v/>
      </c>
      <c r="D1344" t="str">
        <f ca="1"/>
        <v/>
      </c>
      <c r="E1344" t="str">
        <f ca="1"/>
        <v/>
      </c>
      <c r="F1344" t="str">
        <f ca="1"/>
        <v/>
      </c>
      <c r="G1344" t="str">
        <f ca="1"/>
        <v/>
      </c>
      <c r="H1344" s="17" t="str">
        <f ca="1"/>
        <v/>
      </c>
    </row>
    <row r="1345" spans="2:8" x14ac:dyDescent="0.35">
      <c r="B1345" t="str">
        <f ca="1"/>
        <v/>
      </c>
      <c r="C1345" t="str">
        <f ca="1"/>
        <v/>
      </c>
      <c r="D1345" t="str">
        <f ca="1"/>
        <v/>
      </c>
      <c r="E1345" t="str">
        <f ca="1"/>
        <v/>
      </c>
      <c r="F1345" t="str">
        <f ca="1"/>
        <v/>
      </c>
      <c r="G1345" t="str">
        <f ca="1"/>
        <v/>
      </c>
      <c r="H1345" s="17" t="str">
        <f ca="1"/>
        <v/>
      </c>
    </row>
    <row r="1346" spans="2:8" x14ac:dyDescent="0.35">
      <c r="B1346" t="str">
        <f ca="1"/>
        <v/>
      </c>
      <c r="C1346" t="str">
        <f ca="1"/>
        <v/>
      </c>
      <c r="D1346" t="str">
        <f ca="1"/>
        <v/>
      </c>
      <c r="E1346" t="str">
        <f ca="1"/>
        <v/>
      </c>
      <c r="F1346" t="str">
        <f ca="1"/>
        <v/>
      </c>
      <c r="G1346" t="str">
        <f ca="1"/>
        <v/>
      </c>
      <c r="H1346" s="17" t="str">
        <f ca="1"/>
        <v/>
      </c>
    </row>
    <row r="1347" spans="2:8" x14ac:dyDescent="0.35">
      <c r="B1347" t="str">
        <f ca="1"/>
        <v/>
      </c>
      <c r="C1347" t="str">
        <f ca="1"/>
        <v/>
      </c>
      <c r="D1347" t="str">
        <f ca="1"/>
        <v/>
      </c>
      <c r="E1347" t="str">
        <f ca="1"/>
        <v/>
      </c>
      <c r="F1347" t="str">
        <f ca="1"/>
        <v/>
      </c>
      <c r="G1347" t="str">
        <f ca="1"/>
        <v/>
      </c>
      <c r="H1347" s="17" t="str">
        <f ca="1"/>
        <v/>
      </c>
    </row>
    <row r="1348" spans="2:8" x14ac:dyDescent="0.35">
      <c r="B1348" t="str">
        <f ca="1"/>
        <v/>
      </c>
      <c r="C1348" t="str">
        <f ca="1"/>
        <v/>
      </c>
      <c r="D1348" t="str">
        <f ca="1"/>
        <v/>
      </c>
      <c r="E1348" t="str">
        <f ca="1"/>
        <v/>
      </c>
      <c r="F1348" t="str">
        <f ca="1"/>
        <v/>
      </c>
      <c r="G1348" t="str">
        <f ca="1"/>
        <v/>
      </c>
      <c r="H1348" s="17" t="str">
        <f ca="1"/>
        <v/>
      </c>
    </row>
    <row r="1349" spans="2:8" x14ac:dyDescent="0.35">
      <c r="B1349" t="str">
        <f ca="1"/>
        <v/>
      </c>
      <c r="C1349" t="str">
        <f ca="1"/>
        <v/>
      </c>
      <c r="D1349" t="str">
        <f ca="1"/>
        <v/>
      </c>
      <c r="E1349" t="str">
        <f ca="1"/>
        <v/>
      </c>
      <c r="F1349" t="str">
        <f ca="1"/>
        <v/>
      </c>
      <c r="G1349" t="str">
        <f ca="1"/>
        <v/>
      </c>
      <c r="H1349" s="17" t="str">
        <f ca="1"/>
        <v/>
      </c>
    </row>
    <row r="1350" spans="2:8" x14ac:dyDescent="0.35">
      <c r="B1350" t="str">
        <f ca="1"/>
        <v/>
      </c>
      <c r="C1350" t="str">
        <f ca="1"/>
        <v/>
      </c>
      <c r="D1350" t="str">
        <f ca="1"/>
        <v/>
      </c>
      <c r="E1350" t="str">
        <f ca="1"/>
        <v/>
      </c>
      <c r="F1350" t="str">
        <f ca="1"/>
        <v/>
      </c>
      <c r="G1350" t="str">
        <f ca="1"/>
        <v/>
      </c>
      <c r="H1350" s="17" t="str">
        <f ca="1"/>
        <v/>
      </c>
    </row>
    <row r="1351" spans="2:8" x14ac:dyDescent="0.35">
      <c r="B1351" t="str">
        <f ca="1"/>
        <v/>
      </c>
      <c r="C1351" t="str">
        <f ca="1"/>
        <v/>
      </c>
      <c r="D1351" t="str">
        <f ca="1"/>
        <v/>
      </c>
      <c r="E1351" t="str">
        <f ca="1"/>
        <v/>
      </c>
      <c r="F1351" t="str">
        <f ca="1"/>
        <v/>
      </c>
      <c r="G1351" t="str">
        <f ca="1"/>
        <v/>
      </c>
      <c r="H1351" s="17" t="str">
        <f ca="1"/>
        <v/>
      </c>
    </row>
    <row r="1352" spans="2:8" x14ac:dyDescent="0.35">
      <c r="B1352" t="str">
        <f ca="1"/>
        <v/>
      </c>
      <c r="C1352" t="str">
        <f ca="1"/>
        <v/>
      </c>
      <c r="D1352" t="str">
        <f ca="1"/>
        <v/>
      </c>
      <c r="E1352" t="str">
        <f ca="1"/>
        <v/>
      </c>
      <c r="F1352" t="str">
        <f ca="1"/>
        <v/>
      </c>
      <c r="G1352" t="str">
        <f ca="1"/>
        <v/>
      </c>
      <c r="H1352" s="17" t="str">
        <f ca="1"/>
        <v/>
      </c>
    </row>
    <row r="1353" spans="2:8" x14ac:dyDescent="0.35">
      <c r="B1353" t="str">
        <f ca="1"/>
        <v/>
      </c>
      <c r="C1353" t="str">
        <f ca="1"/>
        <v/>
      </c>
      <c r="D1353" t="str">
        <f ca="1"/>
        <v/>
      </c>
      <c r="E1353" t="str">
        <f ca="1"/>
        <v/>
      </c>
      <c r="F1353" t="str">
        <f ca="1"/>
        <v/>
      </c>
      <c r="G1353" t="str">
        <f ca="1"/>
        <v/>
      </c>
      <c r="H1353" s="17" t="str">
        <f ca="1"/>
        <v/>
      </c>
    </row>
    <row r="1354" spans="2:8" x14ac:dyDescent="0.35">
      <c r="B1354" t="str">
        <f ca="1"/>
        <v/>
      </c>
      <c r="C1354" t="str">
        <f ca="1"/>
        <v/>
      </c>
      <c r="D1354" t="str">
        <f ca="1"/>
        <v/>
      </c>
      <c r="E1354" t="str">
        <f ca="1"/>
        <v/>
      </c>
      <c r="F1354" t="str">
        <f ca="1"/>
        <v/>
      </c>
      <c r="G1354" t="str">
        <f ca="1"/>
        <v/>
      </c>
      <c r="H1354" s="17" t="str">
        <f ca="1"/>
        <v/>
      </c>
    </row>
    <row r="1355" spans="2:8" x14ac:dyDescent="0.35">
      <c r="B1355" t="str">
        <f ca="1"/>
        <v/>
      </c>
      <c r="C1355" t="str">
        <f ca="1"/>
        <v/>
      </c>
      <c r="D1355" t="str">
        <f ca="1"/>
        <v/>
      </c>
      <c r="E1355" t="str">
        <f ca="1"/>
        <v/>
      </c>
      <c r="F1355" t="str">
        <f ca="1"/>
        <v/>
      </c>
      <c r="G1355" t="str">
        <f ca="1"/>
        <v/>
      </c>
      <c r="H1355" s="17" t="str">
        <f ca="1"/>
        <v/>
      </c>
    </row>
    <row r="1356" spans="2:8" x14ac:dyDescent="0.35">
      <c r="B1356" t="str">
        <f ca="1"/>
        <v/>
      </c>
      <c r="C1356" t="str">
        <f ca="1"/>
        <v/>
      </c>
      <c r="D1356" t="str">
        <f ca="1"/>
        <v/>
      </c>
      <c r="E1356" t="str">
        <f ca="1"/>
        <v/>
      </c>
      <c r="F1356" t="str">
        <f ca="1"/>
        <v/>
      </c>
      <c r="G1356" t="str">
        <f ca="1"/>
        <v/>
      </c>
      <c r="H1356" s="17" t="str">
        <f ca="1"/>
        <v/>
      </c>
    </row>
    <row r="1357" spans="2:8" x14ac:dyDescent="0.35">
      <c r="B1357" t="str">
        <f ca="1"/>
        <v/>
      </c>
      <c r="C1357" t="str">
        <f ca="1"/>
        <v/>
      </c>
      <c r="D1357" t="str">
        <f ca="1"/>
        <v/>
      </c>
      <c r="E1357" t="str">
        <f ca="1"/>
        <v/>
      </c>
      <c r="F1357" t="str">
        <f ca="1"/>
        <v/>
      </c>
      <c r="G1357" t="str">
        <f ca="1"/>
        <v/>
      </c>
      <c r="H1357" s="17" t="str">
        <f ca="1"/>
        <v/>
      </c>
    </row>
    <row r="1358" spans="2:8" x14ac:dyDescent="0.35">
      <c r="B1358" t="str">
        <f ca="1"/>
        <v/>
      </c>
      <c r="C1358" t="str">
        <f ca="1"/>
        <v/>
      </c>
      <c r="D1358" t="str">
        <f ca="1"/>
        <v/>
      </c>
      <c r="E1358" t="str">
        <f ca="1"/>
        <v/>
      </c>
      <c r="F1358" t="str">
        <f ca="1"/>
        <v/>
      </c>
      <c r="G1358" t="str">
        <f ca="1"/>
        <v/>
      </c>
      <c r="H1358" s="17" t="str">
        <f ca="1"/>
        <v/>
      </c>
    </row>
    <row r="1359" spans="2:8" x14ac:dyDescent="0.35">
      <c r="B1359" t="str">
        <f ca="1"/>
        <v/>
      </c>
      <c r="C1359" t="str">
        <f ca="1"/>
        <v/>
      </c>
      <c r="D1359" t="str">
        <f ca="1"/>
        <v/>
      </c>
      <c r="E1359" t="str">
        <f ca="1"/>
        <v/>
      </c>
      <c r="F1359" t="str">
        <f ca="1"/>
        <v/>
      </c>
      <c r="G1359" t="str">
        <f ca="1"/>
        <v/>
      </c>
      <c r="H1359" s="17" t="str">
        <f ca="1"/>
        <v/>
      </c>
    </row>
    <row r="1360" spans="2:8" x14ac:dyDescent="0.35">
      <c r="B1360" t="str">
        <f ca="1"/>
        <v/>
      </c>
      <c r="C1360" t="str">
        <f ca="1"/>
        <v/>
      </c>
      <c r="D1360" t="str">
        <f ca="1"/>
        <v/>
      </c>
      <c r="E1360" t="str">
        <f ca="1"/>
        <v/>
      </c>
      <c r="F1360" t="str">
        <f ca="1"/>
        <v/>
      </c>
      <c r="G1360" t="str">
        <f ca="1"/>
        <v/>
      </c>
      <c r="H1360" s="17" t="str">
        <f ca="1"/>
        <v/>
      </c>
    </row>
    <row r="1361" spans="2:8" x14ac:dyDescent="0.35">
      <c r="B1361" t="str">
        <f ca="1"/>
        <v/>
      </c>
      <c r="C1361" t="str">
        <f ca="1"/>
        <v/>
      </c>
      <c r="D1361" t="str">
        <f ca="1"/>
        <v/>
      </c>
      <c r="E1361" t="str">
        <f ca="1"/>
        <v/>
      </c>
      <c r="F1361" t="str">
        <f ca="1"/>
        <v/>
      </c>
      <c r="G1361" t="str">
        <f ca="1"/>
        <v/>
      </c>
      <c r="H1361" s="17" t="str">
        <f ca="1"/>
        <v/>
      </c>
    </row>
    <row r="1362" spans="2:8" x14ac:dyDescent="0.35">
      <c r="B1362" t="str">
        <f ca="1"/>
        <v/>
      </c>
      <c r="C1362" t="str">
        <f ca="1"/>
        <v/>
      </c>
      <c r="D1362" t="str">
        <f ca="1"/>
        <v/>
      </c>
      <c r="E1362" t="str">
        <f ca="1"/>
        <v/>
      </c>
      <c r="F1362" t="str">
        <f ca="1"/>
        <v/>
      </c>
      <c r="G1362" t="str">
        <f ca="1"/>
        <v/>
      </c>
      <c r="H1362" s="17" t="str">
        <f ca="1"/>
        <v/>
      </c>
    </row>
    <row r="1363" spans="2:8" x14ac:dyDescent="0.35">
      <c r="B1363" t="str">
        <f ca="1"/>
        <v/>
      </c>
      <c r="C1363" t="str">
        <f ca="1"/>
        <v/>
      </c>
      <c r="D1363" t="str">
        <f ca="1"/>
        <v/>
      </c>
      <c r="E1363" t="str">
        <f ca="1"/>
        <v/>
      </c>
      <c r="F1363" t="str">
        <f ca="1"/>
        <v/>
      </c>
      <c r="G1363" t="str">
        <f ca="1"/>
        <v/>
      </c>
      <c r="H1363" s="17" t="str">
        <f ca="1"/>
        <v/>
      </c>
    </row>
    <row r="1364" spans="2:8" x14ac:dyDescent="0.35">
      <c r="B1364" t="str">
        <f ca="1"/>
        <v/>
      </c>
      <c r="C1364" t="str">
        <f ca="1"/>
        <v/>
      </c>
      <c r="D1364" t="str">
        <f ca="1"/>
        <v/>
      </c>
      <c r="E1364" t="str">
        <f ca="1"/>
        <v/>
      </c>
      <c r="F1364" t="str">
        <f ca="1"/>
        <v/>
      </c>
      <c r="G1364" t="str">
        <f ca="1"/>
        <v/>
      </c>
      <c r="H1364" s="17" t="str">
        <f ca="1"/>
        <v/>
      </c>
    </row>
    <row r="1365" spans="2:8" x14ac:dyDescent="0.35">
      <c r="B1365" t="str">
        <f ca="1"/>
        <v/>
      </c>
      <c r="C1365" t="str">
        <f ca="1"/>
        <v/>
      </c>
      <c r="D1365" t="str">
        <f ca="1"/>
        <v/>
      </c>
      <c r="E1365" t="str">
        <f ca="1"/>
        <v/>
      </c>
      <c r="F1365" t="str">
        <f ca="1"/>
        <v/>
      </c>
      <c r="G1365" t="str">
        <f ca="1"/>
        <v/>
      </c>
      <c r="H1365" s="17" t="str">
        <f ca="1"/>
        <v/>
      </c>
    </row>
    <row r="1366" spans="2:8" x14ac:dyDescent="0.35">
      <c r="B1366" t="str">
        <f ca="1"/>
        <v/>
      </c>
      <c r="C1366" t="str">
        <f ca="1"/>
        <v/>
      </c>
      <c r="D1366" t="str">
        <f ca="1"/>
        <v/>
      </c>
      <c r="E1366" t="str">
        <f ca="1"/>
        <v/>
      </c>
      <c r="F1366" t="str">
        <f ca="1"/>
        <v/>
      </c>
      <c r="G1366" t="str">
        <f ca="1"/>
        <v/>
      </c>
      <c r="H1366" s="17" t="str">
        <f ca="1"/>
        <v/>
      </c>
    </row>
    <row r="1367" spans="2:8" x14ac:dyDescent="0.35">
      <c r="B1367" t="str">
        <f ca="1"/>
        <v/>
      </c>
      <c r="C1367" t="str">
        <f ca="1"/>
        <v/>
      </c>
      <c r="D1367" t="str">
        <f ca="1"/>
        <v/>
      </c>
      <c r="E1367" t="str">
        <f ca="1"/>
        <v/>
      </c>
      <c r="F1367" t="str">
        <f ca="1"/>
        <v/>
      </c>
      <c r="G1367" t="str">
        <f ca="1"/>
        <v/>
      </c>
      <c r="H1367" s="17" t="str">
        <f ca="1"/>
        <v/>
      </c>
    </row>
    <row r="1368" spans="2:8" x14ac:dyDescent="0.35">
      <c r="B1368" t="str">
        <f ca="1"/>
        <v/>
      </c>
      <c r="C1368" t="str">
        <f ca="1"/>
        <v/>
      </c>
      <c r="D1368" t="str">
        <f ca="1"/>
        <v/>
      </c>
      <c r="E1368" t="str">
        <f ca="1"/>
        <v/>
      </c>
      <c r="F1368" t="str">
        <f ca="1"/>
        <v/>
      </c>
      <c r="G1368" t="str">
        <f ca="1"/>
        <v/>
      </c>
      <c r="H1368" s="17" t="str">
        <f ca="1"/>
        <v/>
      </c>
    </row>
    <row r="1369" spans="2:8" x14ac:dyDescent="0.35">
      <c r="B1369" t="str">
        <f ca="1"/>
        <v/>
      </c>
      <c r="C1369" t="str">
        <f ca="1"/>
        <v/>
      </c>
      <c r="D1369" t="str">
        <f ca="1"/>
        <v/>
      </c>
      <c r="E1369" t="str">
        <f ca="1"/>
        <v/>
      </c>
      <c r="F1369" t="str">
        <f ca="1"/>
        <v/>
      </c>
      <c r="G1369" t="str">
        <f ca="1"/>
        <v/>
      </c>
      <c r="H1369" s="17" t="str">
        <f ca="1"/>
        <v/>
      </c>
    </row>
    <row r="1370" spans="2:8" x14ac:dyDescent="0.35">
      <c r="B1370" t="str">
        <f ca="1"/>
        <v/>
      </c>
      <c r="C1370" t="str">
        <f ca="1"/>
        <v/>
      </c>
      <c r="D1370" t="str">
        <f ca="1"/>
        <v/>
      </c>
      <c r="E1370" t="str">
        <f ca="1"/>
        <v/>
      </c>
      <c r="F1370" t="str">
        <f ca="1"/>
        <v/>
      </c>
      <c r="G1370" t="str">
        <f ca="1"/>
        <v/>
      </c>
      <c r="H1370" s="17" t="str">
        <f ca="1"/>
        <v/>
      </c>
    </row>
    <row r="1371" spans="2:8" x14ac:dyDescent="0.35">
      <c r="B1371" t="str">
        <f ca="1"/>
        <v/>
      </c>
      <c r="C1371" t="str">
        <f ca="1"/>
        <v/>
      </c>
      <c r="D1371" t="str">
        <f ca="1"/>
        <v/>
      </c>
      <c r="E1371" t="str">
        <f ca="1"/>
        <v/>
      </c>
      <c r="F1371" t="str">
        <f ca="1"/>
        <v/>
      </c>
      <c r="G1371" t="str">
        <f ca="1"/>
        <v/>
      </c>
      <c r="H1371" s="17" t="str">
        <f ca="1"/>
        <v/>
      </c>
    </row>
    <row r="1372" spans="2:8" x14ac:dyDescent="0.35">
      <c r="B1372" t="str">
        <f ca="1"/>
        <v/>
      </c>
      <c r="C1372" t="str">
        <f ca="1"/>
        <v/>
      </c>
      <c r="D1372" t="str">
        <f ca="1"/>
        <v/>
      </c>
      <c r="E1372" t="str">
        <f ca="1"/>
        <v/>
      </c>
      <c r="F1372" t="str">
        <f ca="1"/>
        <v/>
      </c>
      <c r="G1372" t="str">
        <f ca="1"/>
        <v/>
      </c>
      <c r="H1372" s="17" t="str">
        <f ca="1"/>
        <v/>
      </c>
    </row>
    <row r="1373" spans="2:8" x14ac:dyDescent="0.35">
      <c r="B1373" t="str">
        <f ca="1"/>
        <v/>
      </c>
      <c r="C1373" t="str">
        <f ca="1"/>
        <v/>
      </c>
      <c r="D1373" t="str">
        <f ca="1"/>
        <v/>
      </c>
      <c r="E1373" t="str">
        <f ca="1"/>
        <v/>
      </c>
      <c r="F1373" t="str">
        <f ca="1"/>
        <v/>
      </c>
      <c r="G1373" t="str">
        <f ca="1"/>
        <v/>
      </c>
      <c r="H1373" s="17" t="str">
        <f ca="1"/>
        <v/>
      </c>
    </row>
    <row r="1374" spans="2:8" x14ac:dyDescent="0.35">
      <c r="B1374" t="str">
        <f ca="1"/>
        <v/>
      </c>
      <c r="C1374" t="str">
        <f ca="1"/>
        <v/>
      </c>
      <c r="D1374" t="str">
        <f ca="1"/>
        <v/>
      </c>
      <c r="E1374" t="str">
        <f ca="1"/>
        <v/>
      </c>
      <c r="F1374" t="str">
        <f ca="1"/>
        <v/>
      </c>
      <c r="G1374" t="str">
        <f ca="1"/>
        <v/>
      </c>
      <c r="H1374" s="17" t="str">
        <f ca="1"/>
        <v/>
      </c>
    </row>
    <row r="1375" spans="2:8" x14ac:dyDescent="0.35">
      <c r="B1375" t="str">
        <f ca="1"/>
        <v/>
      </c>
      <c r="C1375" t="str">
        <f ca="1"/>
        <v/>
      </c>
      <c r="D1375" t="str">
        <f ca="1"/>
        <v/>
      </c>
      <c r="E1375" t="str">
        <f ca="1"/>
        <v/>
      </c>
      <c r="F1375" t="str">
        <f ca="1"/>
        <v/>
      </c>
      <c r="G1375" t="str">
        <f ca="1"/>
        <v/>
      </c>
      <c r="H1375" s="17" t="str">
        <f ca="1"/>
        <v/>
      </c>
    </row>
    <row r="1376" spans="2:8" x14ac:dyDescent="0.35">
      <c r="B1376" t="str">
        <f ca="1"/>
        <v/>
      </c>
      <c r="C1376" t="str">
        <f ca="1"/>
        <v/>
      </c>
      <c r="D1376" t="str">
        <f ca="1"/>
        <v/>
      </c>
      <c r="E1376" t="str">
        <f ca="1"/>
        <v/>
      </c>
      <c r="F1376" t="str">
        <f ca="1"/>
        <v/>
      </c>
      <c r="G1376" t="str">
        <f ca="1"/>
        <v/>
      </c>
      <c r="H1376" s="17" t="str">
        <f ca="1"/>
        <v/>
      </c>
    </row>
    <row r="1377" spans="2:8" x14ac:dyDescent="0.35">
      <c r="B1377" t="str">
        <f ca="1"/>
        <v/>
      </c>
      <c r="C1377" t="str">
        <f ca="1"/>
        <v/>
      </c>
      <c r="D1377" t="str">
        <f ca="1"/>
        <v/>
      </c>
      <c r="E1377" t="str">
        <f ca="1"/>
        <v/>
      </c>
      <c r="F1377" t="str">
        <f ca="1"/>
        <v/>
      </c>
      <c r="G1377" t="str">
        <f ca="1"/>
        <v/>
      </c>
      <c r="H1377" s="17" t="str">
        <f ca="1"/>
        <v/>
      </c>
    </row>
    <row r="1378" spans="2:8" x14ac:dyDescent="0.35">
      <c r="B1378" t="str">
        <f ca="1"/>
        <v/>
      </c>
      <c r="C1378" t="str">
        <f ca="1"/>
        <v/>
      </c>
      <c r="D1378" t="str">
        <f ca="1"/>
        <v/>
      </c>
      <c r="E1378" t="str">
        <f ca="1"/>
        <v/>
      </c>
      <c r="F1378" t="str">
        <f ca="1"/>
        <v/>
      </c>
      <c r="G1378" t="str">
        <f ca="1"/>
        <v/>
      </c>
      <c r="H1378" s="17" t="str">
        <f ca="1"/>
        <v/>
      </c>
    </row>
    <row r="1379" spans="2:8" x14ac:dyDescent="0.35">
      <c r="B1379" t="str">
        <f ca="1"/>
        <v/>
      </c>
      <c r="C1379" t="str">
        <f ca="1"/>
        <v/>
      </c>
      <c r="D1379" t="str">
        <f ca="1"/>
        <v/>
      </c>
      <c r="E1379" t="str">
        <f ca="1"/>
        <v/>
      </c>
      <c r="F1379" t="str">
        <f ca="1"/>
        <v/>
      </c>
      <c r="G1379" t="str">
        <f ca="1"/>
        <v/>
      </c>
      <c r="H1379" s="17" t="str">
        <f ca="1"/>
        <v/>
      </c>
    </row>
    <row r="1380" spans="2:8" x14ac:dyDescent="0.35">
      <c r="B1380" t="str">
        <f ca="1"/>
        <v/>
      </c>
      <c r="C1380" t="str">
        <f ca="1"/>
        <v/>
      </c>
      <c r="D1380" t="str">
        <f ca="1"/>
        <v/>
      </c>
      <c r="E1380" t="str">
        <f ca="1"/>
        <v/>
      </c>
      <c r="F1380" t="str">
        <f ca="1"/>
        <v/>
      </c>
      <c r="G1380" t="str">
        <f ca="1"/>
        <v/>
      </c>
      <c r="H1380" s="17" t="str">
        <f ca="1"/>
        <v/>
      </c>
    </row>
    <row r="1381" spans="2:8" x14ac:dyDescent="0.35">
      <c r="B1381" t="str">
        <f ca="1"/>
        <v/>
      </c>
      <c r="C1381" t="str">
        <f ca="1"/>
        <v/>
      </c>
      <c r="D1381" t="str">
        <f ca="1"/>
        <v/>
      </c>
      <c r="E1381" t="str">
        <f ca="1"/>
        <v/>
      </c>
      <c r="F1381" t="str">
        <f ca="1"/>
        <v/>
      </c>
      <c r="G1381" t="str">
        <f ca="1"/>
        <v/>
      </c>
      <c r="H1381" s="17" t="str">
        <f ca="1"/>
        <v/>
      </c>
    </row>
    <row r="1382" spans="2:8" x14ac:dyDescent="0.35">
      <c r="B1382" t="str">
        <f ca="1"/>
        <v/>
      </c>
      <c r="C1382" t="str">
        <f ca="1"/>
        <v/>
      </c>
      <c r="D1382" t="str">
        <f ca="1"/>
        <v/>
      </c>
      <c r="E1382" t="str">
        <f ca="1"/>
        <v/>
      </c>
      <c r="F1382" t="str">
        <f ca="1"/>
        <v/>
      </c>
      <c r="G1382" t="str">
        <f ca="1"/>
        <v/>
      </c>
      <c r="H1382" s="17" t="str">
        <f ca="1"/>
        <v/>
      </c>
    </row>
    <row r="1383" spans="2:8" x14ac:dyDescent="0.35">
      <c r="B1383" t="str">
        <f ca="1"/>
        <v/>
      </c>
      <c r="C1383" t="str">
        <f ca="1"/>
        <v/>
      </c>
      <c r="D1383" t="str">
        <f ca="1"/>
        <v/>
      </c>
      <c r="E1383" t="str">
        <f ca="1"/>
        <v/>
      </c>
      <c r="F1383" t="str">
        <f ca="1"/>
        <v/>
      </c>
      <c r="G1383" t="str">
        <f ca="1"/>
        <v/>
      </c>
      <c r="H1383" s="17" t="str">
        <f ca="1"/>
        <v/>
      </c>
    </row>
    <row r="1384" spans="2:8" x14ac:dyDescent="0.35">
      <c r="B1384" t="str">
        <f ca="1"/>
        <v/>
      </c>
      <c r="C1384" t="str">
        <f ca="1"/>
        <v/>
      </c>
      <c r="D1384" t="str">
        <f ca="1"/>
        <v/>
      </c>
      <c r="E1384" t="str">
        <f ca="1"/>
        <v/>
      </c>
      <c r="F1384" t="str">
        <f ca="1"/>
        <v/>
      </c>
      <c r="G1384" t="str">
        <f ca="1"/>
        <v/>
      </c>
      <c r="H1384" s="17" t="str">
        <f ca="1"/>
        <v/>
      </c>
    </row>
    <row r="1385" spans="2:8" x14ac:dyDescent="0.35">
      <c r="B1385" t="str">
        <f ca="1"/>
        <v/>
      </c>
      <c r="C1385" t="str">
        <f ca="1"/>
        <v/>
      </c>
      <c r="D1385" t="str">
        <f ca="1"/>
        <v/>
      </c>
      <c r="E1385" t="str">
        <f ca="1"/>
        <v/>
      </c>
      <c r="F1385" t="str">
        <f ca="1"/>
        <v/>
      </c>
      <c r="G1385" t="str">
        <f ca="1"/>
        <v/>
      </c>
      <c r="H1385" s="17" t="str">
        <f ca="1"/>
        <v/>
      </c>
    </row>
    <row r="1386" spans="2:8" x14ac:dyDescent="0.35">
      <c r="B1386" t="str">
        <f ca="1"/>
        <v/>
      </c>
      <c r="C1386" t="str">
        <f ca="1"/>
        <v/>
      </c>
      <c r="D1386" t="str">
        <f ca="1"/>
        <v/>
      </c>
      <c r="E1386" t="str">
        <f ca="1"/>
        <v/>
      </c>
      <c r="F1386" t="str">
        <f ca="1"/>
        <v/>
      </c>
      <c r="G1386" t="str">
        <f ca="1"/>
        <v/>
      </c>
      <c r="H1386" s="17" t="str">
        <f ca="1"/>
        <v/>
      </c>
    </row>
    <row r="1387" spans="2:8" x14ac:dyDescent="0.35">
      <c r="B1387" t="str">
        <f ca="1"/>
        <v/>
      </c>
      <c r="C1387" t="str">
        <f ca="1"/>
        <v/>
      </c>
      <c r="D1387" t="str">
        <f ca="1"/>
        <v/>
      </c>
      <c r="E1387" t="str">
        <f ca="1"/>
        <v/>
      </c>
      <c r="F1387" t="str">
        <f ca="1"/>
        <v/>
      </c>
      <c r="G1387" t="str">
        <f ca="1"/>
        <v/>
      </c>
      <c r="H1387" s="17" t="str">
        <f ca="1"/>
        <v/>
      </c>
    </row>
    <row r="1388" spans="2:8" x14ac:dyDescent="0.35">
      <c r="B1388" t="str">
        <f ca="1"/>
        <v/>
      </c>
      <c r="C1388" t="str">
        <f ca="1"/>
        <v/>
      </c>
      <c r="D1388" t="str">
        <f ca="1"/>
        <v/>
      </c>
      <c r="E1388" t="str">
        <f ca="1"/>
        <v/>
      </c>
      <c r="F1388" t="str">
        <f ca="1"/>
        <v/>
      </c>
      <c r="G1388" t="str">
        <f ca="1"/>
        <v/>
      </c>
      <c r="H1388" s="17" t="str">
        <f ca="1"/>
        <v/>
      </c>
    </row>
    <row r="1389" spans="2:8" x14ac:dyDescent="0.35">
      <c r="B1389" t="str">
        <f ca="1"/>
        <v/>
      </c>
      <c r="C1389" t="str">
        <f ca="1"/>
        <v/>
      </c>
      <c r="D1389" t="str">
        <f ca="1"/>
        <v/>
      </c>
      <c r="E1389" t="str">
        <f ca="1"/>
        <v/>
      </c>
      <c r="F1389" t="str">
        <f ca="1"/>
        <v/>
      </c>
      <c r="G1389" t="str">
        <f ca="1"/>
        <v/>
      </c>
      <c r="H1389" s="17" t="str">
        <f ca="1"/>
        <v/>
      </c>
    </row>
    <row r="1390" spans="2:8" x14ac:dyDescent="0.35">
      <c r="B1390" t="str">
        <f ca="1"/>
        <v/>
      </c>
      <c r="C1390" t="str">
        <f ca="1"/>
        <v/>
      </c>
      <c r="D1390" t="str">
        <f ca="1"/>
        <v/>
      </c>
      <c r="E1390" t="str">
        <f ca="1"/>
        <v/>
      </c>
      <c r="F1390" t="str">
        <f ca="1"/>
        <v/>
      </c>
      <c r="G1390" t="str">
        <f ca="1"/>
        <v/>
      </c>
      <c r="H1390" s="17" t="str">
        <f ca="1"/>
        <v/>
      </c>
    </row>
    <row r="1391" spans="2:8" x14ac:dyDescent="0.35">
      <c r="B1391" t="str">
        <f ca="1"/>
        <v/>
      </c>
      <c r="C1391" t="str">
        <f ca="1"/>
        <v/>
      </c>
      <c r="D1391" t="str">
        <f ca="1"/>
        <v/>
      </c>
      <c r="E1391" t="str">
        <f ca="1"/>
        <v/>
      </c>
      <c r="F1391" t="str">
        <f ca="1"/>
        <v/>
      </c>
      <c r="G1391" t="str">
        <f ca="1"/>
        <v/>
      </c>
      <c r="H1391" s="17" t="str">
        <f ca="1"/>
        <v/>
      </c>
    </row>
    <row r="1392" spans="2:8" x14ac:dyDescent="0.35">
      <c r="B1392" t="str">
        <f ca="1"/>
        <v/>
      </c>
      <c r="C1392" t="str">
        <f ca="1"/>
        <v/>
      </c>
      <c r="D1392" t="str">
        <f ca="1"/>
        <v/>
      </c>
      <c r="E1392" t="str">
        <f ca="1"/>
        <v/>
      </c>
      <c r="F1392" t="str">
        <f ca="1"/>
        <v/>
      </c>
      <c r="G1392" t="str">
        <f ca="1"/>
        <v/>
      </c>
      <c r="H1392" s="17" t="str">
        <f ca="1"/>
        <v/>
      </c>
    </row>
    <row r="1393" spans="2:8" x14ac:dyDescent="0.35">
      <c r="B1393" t="str">
        <f ca="1"/>
        <v/>
      </c>
      <c r="C1393" t="str">
        <f ca="1"/>
        <v/>
      </c>
      <c r="D1393" t="str">
        <f ca="1"/>
        <v/>
      </c>
      <c r="E1393" t="str">
        <f ca="1"/>
        <v/>
      </c>
      <c r="F1393" t="str">
        <f ca="1"/>
        <v/>
      </c>
      <c r="G1393" t="str">
        <f ca="1"/>
        <v/>
      </c>
      <c r="H1393" s="17" t="str">
        <f ca="1"/>
        <v/>
      </c>
    </row>
    <row r="1394" spans="2:8" x14ac:dyDescent="0.35">
      <c r="B1394" t="str">
        <f ca="1"/>
        <v/>
      </c>
      <c r="C1394" t="str">
        <f ca="1"/>
        <v/>
      </c>
      <c r="D1394" t="str">
        <f ca="1"/>
        <v/>
      </c>
      <c r="E1394" t="str">
        <f ca="1"/>
        <v/>
      </c>
      <c r="F1394" t="str">
        <f ca="1"/>
        <v/>
      </c>
      <c r="G1394" t="str">
        <f ca="1"/>
        <v/>
      </c>
      <c r="H1394" s="17" t="str">
        <f ca="1"/>
        <v/>
      </c>
    </row>
    <row r="1395" spans="2:8" x14ac:dyDescent="0.35">
      <c r="B1395" t="str">
        <f ca="1"/>
        <v/>
      </c>
      <c r="C1395" t="str">
        <f ca="1"/>
        <v/>
      </c>
      <c r="D1395" t="str">
        <f ca="1"/>
        <v/>
      </c>
      <c r="E1395" t="str">
        <f ca="1"/>
        <v/>
      </c>
      <c r="F1395" t="str">
        <f ca="1"/>
        <v/>
      </c>
      <c r="G1395" t="str">
        <f ca="1"/>
        <v/>
      </c>
      <c r="H1395" s="17" t="str">
        <f ca="1"/>
        <v/>
      </c>
    </row>
    <row r="1396" spans="2:8" x14ac:dyDescent="0.35">
      <c r="B1396" t="str">
        <f ca="1"/>
        <v/>
      </c>
      <c r="C1396" t="str">
        <f ca="1"/>
        <v/>
      </c>
      <c r="D1396" t="str">
        <f ca="1"/>
        <v/>
      </c>
      <c r="E1396" t="str">
        <f ca="1"/>
        <v/>
      </c>
      <c r="F1396" t="str">
        <f ca="1"/>
        <v/>
      </c>
      <c r="G1396" t="str">
        <f ca="1"/>
        <v/>
      </c>
      <c r="H1396" s="17" t="str">
        <f ca="1"/>
        <v/>
      </c>
    </row>
    <row r="1397" spans="2:8" x14ac:dyDescent="0.35">
      <c r="B1397" t="str">
        <f ca="1"/>
        <v/>
      </c>
      <c r="C1397" t="str">
        <f ca="1"/>
        <v/>
      </c>
      <c r="D1397" t="str">
        <f ca="1"/>
        <v/>
      </c>
      <c r="E1397" t="str">
        <f ca="1"/>
        <v/>
      </c>
      <c r="F1397" t="str">
        <f ca="1"/>
        <v/>
      </c>
      <c r="G1397" t="str">
        <f ca="1"/>
        <v/>
      </c>
      <c r="H1397" s="17" t="str">
        <f ca="1"/>
        <v/>
      </c>
    </row>
    <row r="1398" spans="2:8" x14ac:dyDescent="0.35">
      <c r="B1398" t="str">
        <f ca="1"/>
        <v/>
      </c>
      <c r="C1398" t="str">
        <f ca="1"/>
        <v/>
      </c>
      <c r="D1398" t="str">
        <f ca="1"/>
        <v/>
      </c>
      <c r="E1398" t="str">
        <f ca="1"/>
        <v/>
      </c>
      <c r="F1398" t="str">
        <f ca="1"/>
        <v/>
      </c>
      <c r="G1398" t="str">
        <f ca="1"/>
        <v/>
      </c>
      <c r="H1398" s="17" t="str">
        <f ca="1"/>
        <v/>
      </c>
    </row>
    <row r="1399" spans="2:8" x14ac:dyDescent="0.35">
      <c r="B1399" t="str">
        <f ca="1"/>
        <v/>
      </c>
      <c r="C1399" t="str">
        <f ca="1"/>
        <v/>
      </c>
      <c r="D1399" t="str">
        <f ca="1"/>
        <v/>
      </c>
      <c r="E1399" t="str">
        <f ca="1"/>
        <v/>
      </c>
      <c r="F1399" t="str">
        <f ca="1"/>
        <v/>
      </c>
      <c r="G1399" t="str">
        <f ca="1"/>
        <v/>
      </c>
      <c r="H1399" s="17" t="str">
        <f ca="1"/>
        <v/>
      </c>
    </row>
    <row r="1400" spans="2:8" x14ac:dyDescent="0.35">
      <c r="B1400" t="str">
        <f ca="1"/>
        <v/>
      </c>
      <c r="C1400" t="str">
        <f ca="1"/>
        <v/>
      </c>
      <c r="D1400" t="str">
        <f ca="1"/>
        <v/>
      </c>
      <c r="E1400" t="str">
        <f ca="1"/>
        <v/>
      </c>
      <c r="F1400" t="str">
        <f ca="1"/>
        <v/>
      </c>
      <c r="G1400" t="str">
        <f ca="1"/>
        <v/>
      </c>
      <c r="H1400" s="17" t="str">
        <f ca="1"/>
        <v/>
      </c>
    </row>
    <row r="1401" spans="2:8" x14ac:dyDescent="0.35">
      <c r="B1401" t="str">
        <f ca="1"/>
        <v/>
      </c>
      <c r="C1401" t="str">
        <f ca="1"/>
        <v/>
      </c>
      <c r="D1401" t="str">
        <f ca="1"/>
        <v/>
      </c>
      <c r="E1401" t="str">
        <f ca="1"/>
        <v/>
      </c>
      <c r="F1401" t="str">
        <f ca="1"/>
        <v/>
      </c>
      <c r="G1401" t="str">
        <f ca="1"/>
        <v/>
      </c>
      <c r="H1401" s="17" t="str">
        <f ca="1"/>
        <v/>
      </c>
    </row>
    <row r="1402" spans="2:8" x14ac:dyDescent="0.35">
      <c r="B1402" t="str">
        <f ca="1"/>
        <v/>
      </c>
      <c r="C1402" t="str">
        <f ca="1"/>
        <v/>
      </c>
      <c r="D1402" t="str">
        <f ca="1"/>
        <v/>
      </c>
      <c r="E1402" t="str">
        <f ca="1"/>
        <v/>
      </c>
      <c r="F1402" t="str">
        <f ca="1"/>
        <v/>
      </c>
      <c r="G1402" t="str">
        <f ca="1"/>
        <v/>
      </c>
      <c r="H1402" s="17" t="str">
        <f ca="1"/>
        <v/>
      </c>
    </row>
    <row r="1403" spans="2:8" x14ac:dyDescent="0.35">
      <c r="B1403" t="str">
        <f ca="1"/>
        <v/>
      </c>
      <c r="C1403" t="str">
        <f ca="1"/>
        <v/>
      </c>
      <c r="D1403" t="str">
        <f ca="1"/>
        <v/>
      </c>
      <c r="E1403" t="str">
        <f ca="1"/>
        <v/>
      </c>
      <c r="F1403" t="str">
        <f ca="1"/>
        <v/>
      </c>
      <c r="G1403" t="str">
        <f ca="1"/>
        <v/>
      </c>
      <c r="H1403" s="17" t="str">
        <f ca="1"/>
        <v/>
      </c>
    </row>
    <row r="1404" spans="2:8" x14ac:dyDescent="0.35">
      <c r="B1404" t="str">
        <f ca="1"/>
        <v/>
      </c>
      <c r="C1404" t="str">
        <f ca="1"/>
        <v/>
      </c>
      <c r="D1404" t="str">
        <f ca="1"/>
        <v/>
      </c>
      <c r="E1404" t="str">
        <f ca="1"/>
        <v/>
      </c>
      <c r="F1404" t="str">
        <f ca="1"/>
        <v/>
      </c>
      <c r="G1404" t="str">
        <f ca="1"/>
        <v/>
      </c>
      <c r="H1404" s="17" t="str">
        <f ca="1"/>
        <v/>
      </c>
    </row>
    <row r="1405" spans="2:8" x14ac:dyDescent="0.35">
      <c r="B1405" t="str">
        <f ca="1"/>
        <v/>
      </c>
      <c r="C1405" t="str">
        <f ca="1"/>
        <v/>
      </c>
      <c r="D1405" t="str">
        <f ca="1"/>
        <v/>
      </c>
      <c r="E1405" t="str">
        <f ca="1"/>
        <v/>
      </c>
      <c r="F1405" t="str">
        <f ca="1"/>
        <v/>
      </c>
      <c r="G1405" t="str">
        <f ca="1"/>
        <v/>
      </c>
      <c r="H1405" s="17" t="str">
        <f ca="1"/>
        <v/>
      </c>
    </row>
    <row r="1406" spans="2:8" x14ac:dyDescent="0.35">
      <c r="B1406" t="str">
        <f ca="1"/>
        <v/>
      </c>
      <c r="C1406" t="str">
        <f ca="1"/>
        <v/>
      </c>
      <c r="D1406" t="str">
        <f ca="1"/>
        <v/>
      </c>
      <c r="E1406" t="str">
        <f ca="1"/>
        <v/>
      </c>
      <c r="F1406" t="str">
        <f ca="1"/>
        <v/>
      </c>
      <c r="G1406" t="str">
        <f ca="1"/>
        <v/>
      </c>
      <c r="H1406" s="17" t="str">
        <f ca="1"/>
        <v/>
      </c>
    </row>
    <row r="1407" spans="2:8" x14ac:dyDescent="0.35">
      <c r="B1407" t="str">
        <f ca="1"/>
        <v/>
      </c>
      <c r="C1407" t="str">
        <f ca="1"/>
        <v/>
      </c>
      <c r="D1407" t="str">
        <f ca="1"/>
        <v/>
      </c>
      <c r="E1407" t="str">
        <f ca="1"/>
        <v/>
      </c>
      <c r="F1407" t="str">
        <f ca="1"/>
        <v/>
      </c>
      <c r="G1407" t="str">
        <f ca="1"/>
        <v/>
      </c>
      <c r="H1407" s="17" t="str">
        <f ca="1"/>
        <v/>
      </c>
    </row>
    <row r="1408" spans="2:8" x14ac:dyDescent="0.35">
      <c r="B1408" t="str">
        <f ca="1"/>
        <v/>
      </c>
      <c r="C1408" t="str">
        <f ca="1"/>
        <v/>
      </c>
      <c r="D1408" t="str">
        <f ca="1"/>
        <v/>
      </c>
      <c r="E1408" t="str">
        <f ca="1"/>
        <v/>
      </c>
      <c r="F1408" t="str">
        <f ca="1"/>
        <v/>
      </c>
      <c r="G1408" t="str">
        <f ca="1"/>
        <v/>
      </c>
      <c r="H1408" s="17" t="str">
        <f ca="1"/>
        <v/>
      </c>
    </row>
    <row r="1409" spans="2:8" x14ac:dyDescent="0.35">
      <c r="B1409" t="str">
        <f ca="1"/>
        <v/>
      </c>
      <c r="C1409" t="str">
        <f ca="1"/>
        <v/>
      </c>
      <c r="D1409" t="str">
        <f ca="1"/>
        <v/>
      </c>
      <c r="E1409" t="str">
        <f ca="1"/>
        <v/>
      </c>
      <c r="F1409" t="str">
        <f ca="1"/>
        <v/>
      </c>
      <c r="G1409" t="str">
        <f ca="1"/>
        <v/>
      </c>
      <c r="H1409" s="17" t="str">
        <f ca="1"/>
        <v/>
      </c>
    </row>
    <row r="1410" spans="2:8" x14ac:dyDescent="0.35">
      <c r="B1410" t="str">
        <f ca="1"/>
        <v/>
      </c>
      <c r="C1410" t="str">
        <f ca="1"/>
        <v/>
      </c>
      <c r="D1410" t="str">
        <f ca="1"/>
        <v/>
      </c>
      <c r="E1410" t="str">
        <f ca="1"/>
        <v/>
      </c>
      <c r="F1410" t="str">
        <f ca="1"/>
        <v/>
      </c>
      <c r="G1410" t="str">
        <f ca="1"/>
        <v/>
      </c>
      <c r="H1410" s="17" t="str">
        <f ca="1"/>
        <v/>
      </c>
    </row>
    <row r="1411" spans="2:8" x14ac:dyDescent="0.35">
      <c r="B1411" t="str">
        <f ca="1"/>
        <v/>
      </c>
      <c r="C1411" t="str">
        <f ca="1"/>
        <v/>
      </c>
      <c r="D1411" t="str">
        <f ca="1"/>
        <v/>
      </c>
      <c r="E1411" t="str">
        <f ca="1"/>
        <v/>
      </c>
      <c r="F1411" t="str">
        <f ca="1"/>
        <v/>
      </c>
      <c r="G1411" t="str">
        <f ca="1"/>
        <v/>
      </c>
      <c r="H1411" s="17" t="str">
        <f ca="1"/>
        <v/>
      </c>
    </row>
    <row r="1412" spans="2:8" x14ac:dyDescent="0.35">
      <c r="B1412" t="str">
        <f ca="1"/>
        <v/>
      </c>
      <c r="C1412" t="str">
        <f ca="1"/>
        <v/>
      </c>
      <c r="D1412" t="str">
        <f ca="1"/>
        <v/>
      </c>
      <c r="E1412" t="str">
        <f ca="1"/>
        <v/>
      </c>
      <c r="F1412" t="str">
        <f ca="1"/>
        <v/>
      </c>
      <c r="G1412" t="str">
        <f ca="1"/>
        <v/>
      </c>
      <c r="H1412" s="17" t="str">
        <f ca="1"/>
        <v/>
      </c>
    </row>
    <row r="1413" spans="2:8" x14ac:dyDescent="0.35">
      <c r="B1413" t="str">
        <f ca="1"/>
        <v/>
      </c>
      <c r="C1413" t="str">
        <f ca="1"/>
        <v/>
      </c>
      <c r="D1413" t="str">
        <f ca="1"/>
        <v/>
      </c>
      <c r="E1413" t="str">
        <f ca="1"/>
        <v/>
      </c>
      <c r="F1413" t="str">
        <f ca="1"/>
        <v/>
      </c>
      <c r="G1413" t="str">
        <f ca="1"/>
        <v/>
      </c>
      <c r="H1413" s="17" t="str">
        <f ca="1"/>
        <v/>
      </c>
    </row>
    <row r="1414" spans="2:8" x14ac:dyDescent="0.35">
      <c r="B1414" t="str">
        <f ca="1"/>
        <v/>
      </c>
      <c r="C1414" t="str">
        <f ca="1"/>
        <v/>
      </c>
      <c r="D1414" t="str">
        <f ca="1"/>
        <v/>
      </c>
      <c r="E1414" t="str">
        <f ca="1"/>
        <v/>
      </c>
      <c r="F1414" t="str">
        <f ca="1"/>
        <v/>
      </c>
      <c r="G1414" t="str">
        <f ca="1"/>
        <v/>
      </c>
      <c r="H1414" s="17" t="str">
        <f ca="1"/>
        <v/>
      </c>
    </row>
    <row r="1415" spans="2:8" x14ac:dyDescent="0.35">
      <c r="B1415" t="str">
        <f ca="1"/>
        <v/>
      </c>
      <c r="C1415" t="str">
        <f ca="1"/>
        <v/>
      </c>
      <c r="D1415" t="str">
        <f ca="1"/>
        <v/>
      </c>
      <c r="E1415" t="str">
        <f ca="1"/>
        <v/>
      </c>
      <c r="F1415" t="str">
        <f ca="1"/>
        <v/>
      </c>
      <c r="G1415" t="str">
        <f ca="1"/>
        <v/>
      </c>
      <c r="H1415" s="17" t="str">
        <f ca="1"/>
        <v/>
      </c>
    </row>
    <row r="1416" spans="2:8" x14ac:dyDescent="0.35">
      <c r="B1416" t="str">
        <f ca="1"/>
        <v/>
      </c>
      <c r="C1416" t="str">
        <f ca="1"/>
        <v/>
      </c>
      <c r="D1416" t="str">
        <f ca="1"/>
        <v/>
      </c>
      <c r="E1416" t="str">
        <f ca="1"/>
        <v/>
      </c>
      <c r="F1416" t="str">
        <f ca="1"/>
        <v/>
      </c>
      <c r="G1416" t="str">
        <f ca="1"/>
        <v/>
      </c>
      <c r="H1416" s="17" t="str">
        <f ca="1"/>
        <v/>
      </c>
    </row>
    <row r="1417" spans="2:8" x14ac:dyDescent="0.35">
      <c r="B1417" t="str">
        <f ca="1"/>
        <v/>
      </c>
      <c r="C1417" t="str">
        <f ca="1"/>
        <v/>
      </c>
      <c r="D1417" t="str">
        <f ca="1"/>
        <v/>
      </c>
      <c r="E1417" t="str">
        <f ca="1"/>
        <v/>
      </c>
      <c r="F1417" t="str">
        <f ca="1"/>
        <v/>
      </c>
      <c r="G1417" t="str">
        <f ca="1"/>
        <v/>
      </c>
      <c r="H1417" s="17" t="str">
        <f ca="1"/>
        <v/>
      </c>
    </row>
    <row r="1418" spans="2:8" x14ac:dyDescent="0.35">
      <c r="B1418" t="str">
        <f ca="1"/>
        <v/>
      </c>
      <c r="C1418" t="str">
        <f ca="1"/>
        <v/>
      </c>
      <c r="D1418" t="str">
        <f ca="1"/>
        <v/>
      </c>
      <c r="E1418" t="str">
        <f ca="1"/>
        <v/>
      </c>
      <c r="F1418" t="str">
        <f ca="1"/>
        <v/>
      </c>
      <c r="G1418" t="str">
        <f ca="1"/>
        <v/>
      </c>
      <c r="H1418" s="17" t="str">
        <f ca="1"/>
        <v/>
      </c>
    </row>
    <row r="1419" spans="2:8" x14ac:dyDescent="0.35">
      <c r="B1419" t="str">
        <f ca="1"/>
        <v/>
      </c>
      <c r="C1419" t="str">
        <f ca="1"/>
        <v/>
      </c>
      <c r="D1419" t="str">
        <f ca="1"/>
        <v/>
      </c>
      <c r="E1419" t="str">
        <f ca="1"/>
        <v/>
      </c>
      <c r="F1419" t="str">
        <f ca="1"/>
        <v/>
      </c>
      <c r="G1419" t="str">
        <f ca="1"/>
        <v/>
      </c>
      <c r="H1419" s="17" t="str">
        <f ca="1"/>
        <v/>
      </c>
    </row>
    <row r="1420" spans="2:8" x14ac:dyDescent="0.35">
      <c r="B1420" t="str">
        <f ca="1"/>
        <v/>
      </c>
      <c r="C1420" t="str">
        <f ca="1"/>
        <v/>
      </c>
      <c r="D1420" t="str">
        <f ca="1"/>
        <v/>
      </c>
      <c r="E1420" t="str">
        <f ca="1"/>
        <v/>
      </c>
      <c r="F1420" t="str">
        <f ca="1"/>
        <v/>
      </c>
      <c r="G1420" t="str">
        <f ca="1"/>
        <v/>
      </c>
      <c r="H1420" s="17" t="str">
        <f ca="1"/>
        <v/>
      </c>
    </row>
    <row r="1421" spans="2:8" x14ac:dyDescent="0.35">
      <c r="B1421" t="str">
        <f ca="1"/>
        <v/>
      </c>
      <c r="C1421" t="str">
        <f ca="1"/>
        <v/>
      </c>
      <c r="D1421" t="str">
        <f ca="1"/>
        <v/>
      </c>
      <c r="E1421" t="str">
        <f ca="1"/>
        <v/>
      </c>
      <c r="F1421" t="str">
        <f ca="1"/>
        <v/>
      </c>
      <c r="G1421" t="str">
        <f ca="1"/>
        <v/>
      </c>
      <c r="H1421" s="17" t="str">
        <f ca="1"/>
        <v/>
      </c>
    </row>
    <row r="1422" spans="2:8" x14ac:dyDescent="0.35">
      <c r="B1422" t="str">
        <f ca="1"/>
        <v/>
      </c>
      <c r="C1422" t="str">
        <f ca="1"/>
        <v/>
      </c>
      <c r="D1422" t="str">
        <f ca="1"/>
        <v/>
      </c>
      <c r="E1422" t="str">
        <f ca="1"/>
        <v/>
      </c>
      <c r="F1422" t="str">
        <f ca="1"/>
        <v/>
      </c>
      <c r="G1422" t="str">
        <f ca="1"/>
        <v/>
      </c>
      <c r="H1422" s="17" t="str">
        <f ca="1"/>
        <v/>
      </c>
    </row>
    <row r="1423" spans="2:8" x14ac:dyDescent="0.35">
      <c r="B1423" t="str">
        <f ca="1"/>
        <v/>
      </c>
      <c r="C1423" t="str">
        <f ca="1"/>
        <v/>
      </c>
      <c r="D1423" t="str">
        <f ca="1"/>
        <v/>
      </c>
      <c r="E1423" t="str">
        <f ca="1"/>
        <v/>
      </c>
      <c r="F1423" t="str">
        <f ca="1"/>
        <v/>
      </c>
      <c r="G1423" t="str">
        <f ca="1"/>
        <v/>
      </c>
      <c r="H1423" s="17" t="str">
        <f ca="1"/>
        <v/>
      </c>
    </row>
    <row r="1424" spans="2:8" x14ac:dyDescent="0.35">
      <c r="B1424" t="str">
        <f ca="1"/>
        <v/>
      </c>
      <c r="C1424" t="str">
        <f ca="1"/>
        <v/>
      </c>
      <c r="D1424" t="str">
        <f ca="1"/>
        <v/>
      </c>
      <c r="E1424" t="str">
        <f ca="1"/>
        <v/>
      </c>
      <c r="F1424" t="str">
        <f ca="1"/>
        <v/>
      </c>
      <c r="G1424" t="str">
        <f ca="1"/>
        <v/>
      </c>
      <c r="H1424" s="17" t="str">
        <f ca="1"/>
        <v/>
      </c>
    </row>
    <row r="1425" spans="2:8" x14ac:dyDescent="0.35">
      <c r="B1425" t="str">
        <f ca="1"/>
        <v/>
      </c>
      <c r="C1425" t="str">
        <f ca="1"/>
        <v/>
      </c>
      <c r="D1425" t="str">
        <f ca="1"/>
        <v/>
      </c>
      <c r="E1425" t="str">
        <f ca="1"/>
        <v/>
      </c>
      <c r="F1425" t="str">
        <f ca="1"/>
        <v/>
      </c>
      <c r="G1425" t="str">
        <f ca="1"/>
        <v/>
      </c>
      <c r="H1425" s="17" t="str">
        <f ca="1"/>
        <v/>
      </c>
    </row>
    <row r="1426" spans="2:8" x14ac:dyDescent="0.35">
      <c r="B1426" t="str">
        <f ca="1"/>
        <v/>
      </c>
      <c r="C1426" t="str">
        <f ca="1"/>
        <v/>
      </c>
      <c r="D1426" t="str">
        <f ca="1"/>
        <v/>
      </c>
      <c r="E1426" t="str">
        <f ca="1"/>
        <v/>
      </c>
      <c r="F1426" t="str">
        <f ca="1"/>
        <v/>
      </c>
      <c r="G1426" t="str">
        <f ca="1"/>
        <v/>
      </c>
      <c r="H1426" s="17" t="str">
        <f ca="1"/>
        <v/>
      </c>
    </row>
    <row r="1427" spans="2:8" x14ac:dyDescent="0.35">
      <c r="B1427" t="str">
        <f ca="1"/>
        <v/>
      </c>
      <c r="C1427" t="str">
        <f ca="1"/>
        <v/>
      </c>
      <c r="D1427" t="str">
        <f ca="1"/>
        <v/>
      </c>
      <c r="E1427" t="str">
        <f ca="1"/>
        <v/>
      </c>
      <c r="F1427" t="str">
        <f ca="1"/>
        <v/>
      </c>
      <c r="G1427" t="str">
        <f ca="1"/>
        <v/>
      </c>
      <c r="H1427" s="17" t="str">
        <f ca="1"/>
        <v/>
      </c>
    </row>
    <row r="1428" spans="2:8" x14ac:dyDescent="0.35">
      <c r="B1428" t="str">
        <f ca="1"/>
        <v/>
      </c>
      <c r="C1428" t="str">
        <f ca="1"/>
        <v/>
      </c>
      <c r="D1428" t="str">
        <f ca="1"/>
        <v/>
      </c>
      <c r="E1428" t="str">
        <f ca="1"/>
        <v/>
      </c>
      <c r="F1428" t="str">
        <f ca="1"/>
        <v/>
      </c>
      <c r="G1428" t="str">
        <f ca="1"/>
        <v/>
      </c>
      <c r="H1428" s="17" t="str">
        <f ca="1"/>
        <v/>
      </c>
    </row>
    <row r="1429" spans="2:8" x14ac:dyDescent="0.35">
      <c r="B1429" t="str">
        <f ca="1"/>
        <v/>
      </c>
      <c r="C1429" t="str">
        <f ca="1"/>
        <v/>
      </c>
      <c r="D1429" t="str">
        <f ca="1"/>
        <v/>
      </c>
      <c r="E1429" t="str">
        <f ca="1"/>
        <v/>
      </c>
      <c r="F1429" t="str">
        <f ca="1"/>
        <v/>
      </c>
      <c r="G1429" t="str">
        <f ca="1"/>
        <v/>
      </c>
      <c r="H1429" s="17" t="str">
        <f ca="1"/>
        <v/>
      </c>
    </row>
    <row r="1430" spans="2:8" x14ac:dyDescent="0.35">
      <c r="B1430" t="str">
        <f ca="1"/>
        <v/>
      </c>
      <c r="C1430" t="str">
        <f ca="1"/>
        <v/>
      </c>
      <c r="D1430" t="str">
        <f ca="1"/>
        <v/>
      </c>
      <c r="E1430" t="str">
        <f ca="1"/>
        <v/>
      </c>
      <c r="F1430" t="str">
        <f ca="1"/>
        <v/>
      </c>
      <c r="G1430" t="str">
        <f ca="1"/>
        <v/>
      </c>
      <c r="H1430" s="17" t="str">
        <f ca="1"/>
        <v/>
      </c>
    </row>
    <row r="1431" spans="2:8" x14ac:dyDescent="0.35">
      <c r="B1431" t="str">
        <f ca="1"/>
        <v/>
      </c>
      <c r="C1431" t="str">
        <f ca="1"/>
        <v/>
      </c>
      <c r="D1431" t="str">
        <f ca="1"/>
        <v/>
      </c>
      <c r="E1431" t="str">
        <f ca="1"/>
        <v/>
      </c>
      <c r="F1431" t="str">
        <f ca="1"/>
        <v/>
      </c>
      <c r="G1431" t="str">
        <f ca="1"/>
        <v/>
      </c>
      <c r="H1431" s="17" t="str">
        <f ca="1"/>
        <v/>
      </c>
    </row>
    <row r="1432" spans="2:8" x14ac:dyDescent="0.35">
      <c r="B1432" t="str">
        <f ca="1"/>
        <v/>
      </c>
      <c r="C1432" t="str">
        <f ca="1"/>
        <v/>
      </c>
      <c r="D1432" t="str">
        <f ca="1"/>
        <v/>
      </c>
      <c r="E1432" t="str">
        <f ca="1"/>
        <v/>
      </c>
      <c r="F1432" t="str">
        <f ca="1"/>
        <v/>
      </c>
      <c r="G1432" t="str">
        <f ca="1"/>
        <v/>
      </c>
      <c r="H1432" s="17" t="str">
        <f ca="1"/>
        <v/>
      </c>
    </row>
    <row r="1433" spans="2:8" x14ac:dyDescent="0.35">
      <c r="B1433" t="str">
        <f ca="1"/>
        <v/>
      </c>
      <c r="C1433" t="str">
        <f ca="1"/>
        <v/>
      </c>
      <c r="D1433" t="str">
        <f ca="1"/>
        <v/>
      </c>
      <c r="E1433" t="str">
        <f ca="1"/>
        <v/>
      </c>
      <c r="F1433" t="str">
        <f ca="1"/>
        <v/>
      </c>
      <c r="G1433" t="str">
        <f ca="1"/>
        <v/>
      </c>
      <c r="H1433" s="17" t="str">
        <f ca="1"/>
        <v/>
      </c>
    </row>
    <row r="1434" spans="2:8" x14ac:dyDescent="0.35">
      <c r="B1434" t="str">
        <f ca="1"/>
        <v/>
      </c>
      <c r="C1434" t="str">
        <f ca="1"/>
        <v/>
      </c>
      <c r="D1434" t="str">
        <f ca="1"/>
        <v/>
      </c>
      <c r="E1434" t="str">
        <f ca="1"/>
        <v/>
      </c>
      <c r="F1434" t="str">
        <f ca="1"/>
        <v/>
      </c>
      <c r="G1434" t="str">
        <f ca="1"/>
        <v/>
      </c>
      <c r="H1434" s="17" t="str">
        <f ca="1"/>
        <v/>
      </c>
    </row>
    <row r="1435" spans="2:8" x14ac:dyDescent="0.35">
      <c r="B1435" t="str">
        <f ca="1"/>
        <v/>
      </c>
      <c r="C1435" t="str">
        <f ca="1"/>
        <v/>
      </c>
      <c r="D1435" t="str">
        <f ca="1"/>
        <v/>
      </c>
      <c r="E1435" t="str">
        <f ca="1"/>
        <v/>
      </c>
      <c r="F1435" t="str">
        <f ca="1"/>
        <v/>
      </c>
      <c r="G1435" t="str">
        <f ca="1"/>
        <v/>
      </c>
      <c r="H1435" s="17" t="str">
        <f ca="1"/>
        <v/>
      </c>
    </row>
    <row r="1436" spans="2:8" x14ac:dyDescent="0.35">
      <c r="B1436" t="str">
        <f ca="1"/>
        <v/>
      </c>
      <c r="C1436" t="str">
        <f ca="1"/>
        <v/>
      </c>
      <c r="D1436" t="str">
        <f ca="1"/>
        <v/>
      </c>
      <c r="E1436" t="str">
        <f ca="1"/>
        <v/>
      </c>
      <c r="F1436" t="str">
        <f ca="1"/>
        <v/>
      </c>
      <c r="G1436" t="str">
        <f ca="1"/>
        <v/>
      </c>
      <c r="H1436" s="17" t="str">
        <f ca="1"/>
        <v/>
      </c>
    </row>
    <row r="1437" spans="2:8" x14ac:dyDescent="0.35">
      <c r="B1437" t="str">
        <f ca="1"/>
        <v/>
      </c>
      <c r="C1437" t="str">
        <f ca="1"/>
        <v/>
      </c>
      <c r="D1437" t="str">
        <f ca="1"/>
        <v/>
      </c>
      <c r="E1437" t="str">
        <f ca="1"/>
        <v/>
      </c>
      <c r="F1437" t="str">
        <f ca="1"/>
        <v/>
      </c>
      <c r="G1437" t="str">
        <f ca="1"/>
        <v/>
      </c>
      <c r="H1437" s="17" t="str">
        <f ca="1"/>
        <v/>
      </c>
    </row>
    <row r="1438" spans="2:8" x14ac:dyDescent="0.35">
      <c r="B1438" t="str">
        <f ca="1"/>
        <v/>
      </c>
      <c r="C1438" t="str">
        <f ca="1"/>
        <v/>
      </c>
      <c r="D1438" t="str">
        <f ca="1"/>
        <v/>
      </c>
      <c r="E1438" t="str">
        <f ca="1"/>
        <v/>
      </c>
      <c r="F1438" t="str">
        <f ca="1"/>
        <v/>
      </c>
      <c r="G1438" t="str">
        <f ca="1"/>
        <v/>
      </c>
      <c r="H1438" s="17" t="str">
        <f ca="1"/>
        <v/>
      </c>
    </row>
    <row r="1439" spans="2:8" x14ac:dyDescent="0.35">
      <c r="B1439" t="str">
        <f ca="1"/>
        <v/>
      </c>
      <c r="C1439" t="str">
        <f ca="1"/>
        <v/>
      </c>
      <c r="D1439" t="str">
        <f ca="1"/>
        <v/>
      </c>
      <c r="E1439" t="str">
        <f ca="1"/>
        <v/>
      </c>
      <c r="F1439" t="str">
        <f ca="1"/>
        <v/>
      </c>
      <c r="G1439" t="str">
        <f ca="1"/>
        <v/>
      </c>
      <c r="H1439" s="17" t="str">
        <f ca="1"/>
        <v/>
      </c>
    </row>
    <row r="1440" spans="2:8" x14ac:dyDescent="0.35">
      <c r="B1440" t="str">
        <f ca="1"/>
        <v/>
      </c>
      <c r="C1440" t="str">
        <f ca="1"/>
        <v/>
      </c>
      <c r="D1440" t="str">
        <f ca="1"/>
        <v/>
      </c>
      <c r="E1440" t="str">
        <f ca="1"/>
        <v/>
      </c>
      <c r="F1440" t="str">
        <f ca="1"/>
        <v/>
      </c>
      <c r="G1440" t="str">
        <f ca="1"/>
        <v/>
      </c>
      <c r="H1440" s="17" t="str">
        <f ca="1"/>
        <v/>
      </c>
    </row>
    <row r="1441" spans="2:8" x14ac:dyDescent="0.35">
      <c r="B1441" t="str">
        <f ca="1"/>
        <v/>
      </c>
      <c r="C1441" t="str">
        <f ca="1"/>
        <v/>
      </c>
      <c r="D1441" t="str">
        <f ca="1"/>
        <v/>
      </c>
      <c r="E1441" t="str">
        <f ca="1"/>
        <v/>
      </c>
      <c r="F1441" t="str">
        <f ca="1"/>
        <v/>
      </c>
      <c r="G1441" t="str">
        <f ca="1"/>
        <v/>
      </c>
      <c r="H1441" s="17" t="str">
        <f ca="1"/>
        <v/>
      </c>
    </row>
    <row r="1442" spans="2:8" x14ac:dyDescent="0.35">
      <c r="B1442" t="str">
        <f ca="1"/>
        <v/>
      </c>
      <c r="C1442" t="str">
        <f ca="1"/>
        <v/>
      </c>
      <c r="D1442" t="str">
        <f ca="1"/>
        <v/>
      </c>
      <c r="E1442" t="str">
        <f ca="1"/>
        <v/>
      </c>
      <c r="F1442" t="str">
        <f ca="1"/>
        <v/>
      </c>
      <c r="G1442" t="str">
        <f ca="1"/>
        <v/>
      </c>
      <c r="H1442" s="17" t="str">
        <f ca="1"/>
        <v/>
      </c>
    </row>
    <row r="1443" spans="2:8" x14ac:dyDescent="0.35">
      <c r="B1443" t="str">
        <f ca="1"/>
        <v/>
      </c>
      <c r="C1443" t="str">
        <f ca="1"/>
        <v/>
      </c>
      <c r="D1443" t="str">
        <f ca="1"/>
        <v/>
      </c>
      <c r="E1443" t="str">
        <f ca="1"/>
        <v/>
      </c>
      <c r="F1443" t="str">
        <f ca="1"/>
        <v/>
      </c>
      <c r="G1443" t="str">
        <f ca="1"/>
        <v/>
      </c>
      <c r="H1443" s="17" t="str">
        <f ca="1"/>
        <v/>
      </c>
    </row>
    <row r="1444" spans="2:8" x14ac:dyDescent="0.35">
      <c r="B1444" t="str">
        <f ca="1"/>
        <v/>
      </c>
      <c r="C1444" t="str">
        <f ca="1"/>
        <v/>
      </c>
      <c r="D1444" t="str">
        <f ca="1"/>
        <v/>
      </c>
      <c r="E1444" t="str">
        <f ca="1"/>
        <v/>
      </c>
      <c r="F1444" t="str">
        <f ca="1"/>
        <v/>
      </c>
      <c r="G1444" t="str">
        <f ca="1"/>
        <v/>
      </c>
      <c r="H1444" s="17" t="str">
        <f ca="1"/>
        <v/>
      </c>
    </row>
    <row r="1445" spans="2:8" x14ac:dyDescent="0.35">
      <c r="B1445" t="str">
        <f ca="1"/>
        <v/>
      </c>
      <c r="C1445" t="str">
        <f ca="1"/>
        <v/>
      </c>
      <c r="D1445" t="str">
        <f ca="1"/>
        <v/>
      </c>
      <c r="E1445" t="str">
        <f ca="1"/>
        <v/>
      </c>
      <c r="F1445" t="str">
        <f ca="1"/>
        <v/>
      </c>
      <c r="G1445" t="str">
        <f ca="1"/>
        <v/>
      </c>
      <c r="H1445" s="17" t="str">
        <f ca="1"/>
        <v/>
      </c>
    </row>
    <row r="1446" spans="2:8" x14ac:dyDescent="0.35">
      <c r="B1446" t="str">
        <f ca="1"/>
        <v/>
      </c>
      <c r="C1446" t="str">
        <f ca="1"/>
        <v/>
      </c>
      <c r="D1446" t="str">
        <f ca="1"/>
        <v/>
      </c>
      <c r="E1446" t="str">
        <f ca="1"/>
        <v/>
      </c>
      <c r="F1446" t="str">
        <f ca="1"/>
        <v/>
      </c>
      <c r="G1446" t="str">
        <f ca="1"/>
        <v/>
      </c>
      <c r="H1446" s="17" t="str">
        <f ca="1"/>
        <v/>
      </c>
    </row>
    <row r="1447" spans="2:8" x14ac:dyDescent="0.35">
      <c r="B1447" t="str">
        <f ca="1"/>
        <v/>
      </c>
      <c r="C1447" t="str">
        <f ca="1"/>
        <v/>
      </c>
      <c r="D1447" t="str">
        <f ca="1"/>
        <v/>
      </c>
      <c r="E1447" t="str">
        <f ca="1"/>
        <v/>
      </c>
      <c r="F1447" t="str">
        <f ca="1"/>
        <v/>
      </c>
      <c r="G1447" t="str">
        <f ca="1"/>
        <v/>
      </c>
      <c r="H1447" s="17" t="str">
        <f ca="1"/>
        <v/>
      </c>
    </row>
    <row r="1448" spans="2:8" x14ac:dyDescent="0.35">
      <c r="B1448" t="str">
        <f ca="1"/>
        <v/>
      </c>
      <c r="C1448" t="str">
        <f ca="1"/>
        <v/>
      </c>
      <c r="D1448" t="str">
        <f ca="1"/>
        <v/>
      </c>
      <c r="E1448" t="str">
        <f ca="1"/>
        <v/>
      </c>
      <c r="F1448" t="str">
        <f ca="1"/>
        <v/>
      </c>
      <c r="G1448" t="str">
        <f ca="1"/>
        <v/>
      </c>
      <c r="H1448" s="17" t="str">
        <f ca="1"/>
        <v/>
      </c>
    </row>
    <row r="1449" spans="2:8" x14ac:dyDescent="0.35">
      <c r="B1449" t="str">
        <f ca="1"/>
        <v/>
      </c>
      <c r="C1449" t="str">
        <f ca="1"/>
        <v/>
      </c>
      <c r="D1449" t="str">
        <f ca="1"/>
        <v/>
      </c>
      <c r="E1449" t="str">
        <f ca="1"/>
        <v/>
      </c>
      <c r="F1449" t="str">
        <f ca="1"/>
        <v/>
      </c>
      <c r="G1449" t="str">
        <f ca="1"/>
        <v/>
      </c>
      <c r="H1449" s="17" t="str">
        <f ca="1"/>
        <v/>
      </c>
    </row>
    <row r="1450" spans="2:8" x14ac:dyDescent="0.35">
      <c r="B1450" t="str">
        <f ca="1"/>
        <v/>
      </c>
      <c r="C1450" t="str">
        <f ca="1"/>
        <v/>
      </c>
      <c r="D1450" t="str">
        <f ca="1"/>
        <v/>
      </c>
      <c r="E1450" t="str">
        <f ca="1"/>
        <v/>
      </c>
      <c r="F1450" t="str">
        <f ca="1"/>
        <v/>
      </c>
      <c r="G1450" t="str">
        <f ca="1"/>
        <v/>
      </c>
      <c r="H1450" s="17" t="str">
        <f ca="1"/>
        <v/>
      </c>
    </row>
    <row r="1451" spans="2:8" x14ac:dyDescent="0.35">
      <c r="B1451" t="str">
        <f ca="1"/>
        <v/>
      </c>
      <c r="C1451" t="str">
        <f ca="1"/>
        <v/>
      </c>
      <c r="D1451" t="str">
        <f ca="1"/>
        <v/>
      </c>
      <c r="E1451" t="str">
        <f ca="1"/>
        <v/>
      </c>
      <c r="F1451" t="str">
        <f ca="1"/>
        <v/>
      </c>
      <c r="G1451" t="str">
        <f ca="1"/>
        <v/>
      </c>
      <c r="H1451" s="17" t="str">
        <f ca="1"/>
        <v/>
      </c>
    </row>
    <row r="1452" spans="2:8" x14ac:dyDescent="0.35">
      <c r="B1452" t="str">
        <f ca="1"/>
        <v/>
      </c>
      <c r="C1452" t="str">
        <f ca="1"/>
        <v/>
      </c>
      <c r="D1452" t="str">
        <f ca="1"/>
        <v/>
      </c>
      <c r="E1452" t="str">
        <f ca="1"/>
        <v/>
      </c>
      <c r="F1452" t="str">
        <f ca="1"/>
        <v/>
      </c>
      <c r="G1452" t="str">
        <f ca="1"/>
        <v/>
      </c>
      <c r="H1452" s="17" t="str">
        <f ca="1"/>
        <v/>
      </c>
    </row>
    <row r="1453" spans="2:8" x14ac:dyDescent="0.35">
      <c r="B1453" t="str">
        <f ca="1"/>
        <v/>
      </c>
      <c r="C1453" t="str">
        <f ca="1"/>
        <v/>
      </c>
      <c r="D1453" t="str">
        <f ca="1"/>
        <v/>
      </c>
      <c r="E1453" t="str">
        <f ca="1"/>
        <v/>
      </c>
      <c r="F1453" t="str">
        <f ca="1"/>
        <v/>
      </c>
      <c r="G1453" t="str">
        <f ca="1"/>
        <v/>
      </c>
      <c r="H1453" s="17" t="str">
        <f ca="1"/>
        <v/>
      </c>
    </row>
    <row r="1454" spans="2:8" x14ac:dyDescent="0.35">
      <c r="B1454" t="str">
        <f ca="1"/>
        <v/>
      </c>
      <c r="C1454" t="str">
        <f ca="1"/>
        <v/>
      </c>
      <c r="D1454" t="str">
        <f ca="1"/>
        <v/>
      </c>
      <c r="E1454" t="str">
        <f ca="1"/>
        <v/>
      </c>
      <c r="F1454" t="str">
        <f ca="1"/>
        <v/>
      </c>
      <c r="G1454" t="str">
        <f ca="1"/>
        <v/>
      </c>
      <c r="H1454" s="17" t="str">
        <f ca="1"/>
        <v/>
      </c>
    </row>
    <row r="1455" spans="2:8" x14ac:dyDescent="0.35">
      <c r="B1455" t="str">
        <f ca="1"/>
        <v/>
      </c>
      <c r="C1455" t="str">
        <f ca="1"/>
        <v/>
      </c>
      <c r="D1455" t="str">
        <f ca="1"/>
        <v/>
      </c>
      <c r="E1455" t="str">
        <f ca="1"/>
        <v/>
      </c>
      <c r="F1455" t="str">
        <f ca="1"/>
        <v/>
      </c>
      <c r="G1455" t="str">
        <f ca="1"/>
        <v/>
      </c>
      <c r="H1455" s="17" t="str">
        <f ca="1"/>
        <v/>
      </c>
    </row>
    <row r="1456" spans="2:8" x14ac:dyDescent="0.35">
      <c r="B1456" t="str">
        <f ca="1"/>
        <v/>
      </c>
      <c r="C1456" t="str">
        <f ca="1"/>
        <v/>
      </c>
      <c r="D1456" t="str">
        <f ca="1"/>
        <v/>
      </c>
      <c r="E1456" t="str">
        <f ca="1"/>
        <v/>
      </c>
      <c r="F1456" t="str">
        <f ca="1"/>
        <v/>
      </c>
      <c r="G1456" t="str">
        <f ca="1"/>
        <v/>
      </c>
      <c r="H1456" s="17" t="str">
        <f ca="1"/>
        <v/>
      </c>
    </row>
    <row r="1457" spans="2:8" x14ac:dyDescent="0.35">
      <c r="B1457" t="str">
        <f ca="1"/>
        <v/>
      </c>
      <c r="C1457" t="str">
        <f ca="1"/>
        <v/>
      </c>
      <c r="D1457" t="str">
        <f ca="1"/>
        <v/>
      </c>
      <c r="E1457" t="str">
        <f ca="1"/>
        <v/>
      </c>
      <c r="F1457" t="str">
        <f ca="1"/>
        <v/>
      </c>
      <c r="G1457" t="str">
        <f ca="1"/>
        <v/>
      </c>
      <c r="H1457" s="17" t="str">
        <f ca="1"/>
        <v/>
      </c>
    </row>
    <row r="1458" spans="2:8" x14ac:dyDescent="0.35">
      <c r="B1458" t="str">
        <f ca="1"/>
        <v/>
      </c>
      <c r="C1458" t="str">
        <f ca="1"/>
        <v/>
      </c>
      <c r="D1458" t="str">
        <f ca="1"/>
        <v/>
      </c>
      <c r="E1458" t="str">
        <f ca="1"/>
        <v/>
      </c>
      <c r="F1458" t="str">
        <f ca="1"/>
        <v/>
      </c>
      <c r="G1458" t="str">
        <f ca="1"/>
        <v/>
      </c>
      <c r="H1458" s="17" t="str">
        <f ca="1"/>
        <v/>
      </c>
    </row>
    <row r="1459" spans="2:8" x14ac:dyDescent="0.35">
      <c r="B1459" t="str">
        <f ca="1"/>
        <v/>
      </c>
      <c r="C1459" t="str">
        <f ca="1"/>
        <v/>
      </c>
      <c r="D1459" t="str">
        <f ca="1"/>
        <v/>
      </c>
      <c r="E1459" t="str">
        <f ca="1"/>
        <v/>
      </c>
      <c r="F1459" t="str">
        <f ca="1"/>
        <v/>
      </c>
      <c r="G1459" t="str">
        <f ca="1"/>
        <v/>
      </c>
      <c r="H1459" s="17" t="str">
        <f ca="1"/>
        <v/>
      </c>
    </row>
    <row r="1460" spans="2:8" x14ac:dyDescent="0.35">
      <c r="B1460" t="str">
        <f ca="1"/>
        <v/>
      </c>
      <c r="C1460" t="str">
        <f ca="1"/>
        <v/>
      </c>
      <c r="D1460" t="str">
        <f ca="1"/>
        <v/>
      </c>
      <c r="E1460" t="str">
        <f ca="1"/>
        <v/>
      </c>
      <c r="F1460" t="str">
        <f ca="1"/>
        <v/>
      </c>
      <c r="G1460" t="str">
        <f ca="1"/>
        <v/>
      </c>
      <c r="H1460" s="17" t="str">
        <f ca="1"/>
        <v/>
      </c>
    </row>
    <row r="1461" spans="2:8" x14ac:dyDescent="0.35">
      <c r="B1461" t="str">
        <f ca="1"/>
        <v/>
      </c>
      <c r="C1461" t="str">
        <f ca="1"/>
        <v/>
      </c>
      <c r="D1461" t="str">
        <f ca="1"/>
        <v/>
      </c>
      <c r="E1461" t="str">
        <f ca="1"/>
        <v/>
      </c>
      <c r="F1461" t="str">
        <f ca="1"/>
        <v/>
      </c>
      <c r="G1461" t="str">
        <f ca="1"/>
        <v/>
      </c>
      <c r="H1461" s="17" t="str">
        <f ca="1"/>
        <v/>
      </c>
    </row>
    <row r="1462" spans="2:8" x14ac:dyDescent="0.35">
      <c r="B1462" t="str">
        <f ca="1"/>
        <v/>
      </c>
      <c r="C1462" t="str">
        <f ca="1"/>
        <v/>
      </c>
      <c r="D1462" t="str">
        <f ca="1"/>
        <v/>
      </c>
      <c r="E1462" t="str">
        <f ca="1"/>
        <v/>
      </c>
      <c r="F1462" t="str">
        <f ca="1"/>
        <v/>
      </c>
      <c r="G1462" t="str">
        <f ca="1"/>
        <v/>
      </c>
      <c r="H1462" s="17" t="str">
        <f ca="1"/>
        <v/>
      </c>
    </row>
    <row r="1463" spans="2:8" x14ac:dyDescent="0.35">
      <c r="B1463" t="str">
        <f ca="1"/>
        <v/>
      </c>
      <c r="C1463" t="str">
        <f ca="1"/>
        <v/>
      </c>
      <c r="D1463" t="str">
        <f ca="1"/>
        <v/>
      </c>
      <c r="E1463" t="str">
        <f ca="1"/>
        <v/>
      </c>
      <c r="F1463" t="str">
        <f ca="1"/>
        <v/>
      </c>
      <c r="G1463" t="str">
        <f ca="1"/>
        <v/>
      </c>
      <c r="H1463" s="17" t="str">
        <f ca="1"/>
        <v/>
      </c>
    </row>
    <row r="1464" spans="2:8" x14ac:dyDescent="0.35">
      <c r="B1464" t="str">
        <f ca="1"/>
        <v/>
      </c>
      <c r="C1464" t="str">
        <f ca="1"/>
        <v/>
      </c>
      <c r="D1464" t="str">
        <f ca="1"/>
        <v/>
      </c>
      <c r="E1464" t="str">
        <f ca="1"/>
        <v/>
      </c>
      <c r="F1464" t="str">
        <f ca="1"/>
        <v/>
      </c>
      <c r="G1464" t="str">
        <f ca="1"/>
        <v/>
      </c>
      <c r="H1464" s="17" t="str">
        <f ca="1"/>
        <v/>
      </c>
    </row>
    <row r="1465" spans="2:8" x14ac:dyDescent="0.35">
      <c r="B1465" t="str">
        <f ca="1"/>
        <v/>
      </c>
      <c r="C1465" t="str">
        <f ca="1"/>
        <v/>
      </c>
      <c r="D1465" t="str">
        <f ca="1"/>
        <v/>
      </c>
      <c r="E1465" t="str">
        <f ca="1"/>
        <v/>
      </c>
      <c r="F1465" t="str">
        <f ca="1"/>
        <v/>
      </c>
      <c r="G1465" t="str">
        <f ca="1"/>
        <v/>
      </c>
      <c r="H1465" s="17" t="str">
        <f ca="1"/>
        <v/>
      </c>
    </row>
    <row r="1466" spans="2:8" x14ac:dyDescent="0.35">
      <c r="B1466" t="str">
        <f ca="1"/>
        <v/>
      </c>
      <c r="C1466" t="str">
        <f ca="1"/>
        <v/>
      </c>
      <c r="D1466" t="str">
        <f ca="1"/>
        <v/>
      </c>
      <c r="E1466" t="str">
        <f ca="1"/>
        <v/>
      </c>
      <c r="F1466" t="str">
        <f ca="1"/>
        <v/>
      </c>
      <c r="G1466" t="str">
        <f ca="1"/>
        <v/>
      </c>
      <c r="H1466" s="17" t="str">
        <f ca="1"/>
        <v/>
      </c>
    </row>
    <row r="1467" spans="2:8" x14ac:dyDescent="0.35">
      <c r="B1467" t="str">
        <f ca="1"/>
        <v/>
      </c>
      <c r="C1467" t="str">
        <f ca="1"/>
        <v/>
      </c>
      <c r="D1467" t="str">
        <f ca="1"/>
        <v/>
      </c>
      <c r="E1467" t="str">
        <f ca="1"/>
        <v/>
      </c>
      <c r="F1467" t="str">
        <f ca="1"/>
        <v/>
      </c>
      <c r="G1467" t="str">
        <f ca="1"/>
        <v/>
      </c>
      <c r="H1467" s="17" t="str">
        <f ca="1"/>
        <v/>
      </c>
    </row>
    <row r="1468" spans="2:8" x14ac:dyDescent="0.35">
      <c r="B1468" t="str">
        <f ca="1"/>
        <v/>
      </c>
      <c r="C1468" t="str">
        <f ca="1"/>
        <v/>
      </c>
      <c r="D1468" t="str">
        <f ca="1"/>
        <v/>
      </c>
      <c r="E1468" t="str">
        <f ca="1"/>
        <v/>
      </c>
      <c r="F1468" t="str">
        <f ca="1"/>
        <v/>
      </c>
      <c r="G1468" t="str">
        <f ca="1"/>
        <v/>
      </c>
      <c r="H1468" s="17" t="str">
        <f ca="1"/>
        <v/>
      </c>
    </row>
    <row r="1469" spans="2:8" x14ac:dyDescent="0.35">
      <c r="B1469" t="str">
        <f ca="1"/>
        <v/>
      </c>
      <c r="C1469" t="str">
        <f ca="1"/>
        <v/>
      </c>
      <c r="D1469" t="str">
        <f ca="1"/>
        <v/>
      </c>
      <c r="E1469" t="str">
        <f ca="1"/>
        <v/>
      </c>
      <c r="F1469" t="str">
        <f ca="1"/>
        <v/>
      </c>
      <c r="G1469" t="str">
        <f ca="1"/>
        <v/>
      </c>
      <c r="H1469" s="17" t="str">
        <f ca="1"/>
        <v/>
      </c>
    </row>
    <row r="1470" spans="2:8" x14ac:dyDescent="0.35">
      <c r="B1470" t="str">
        <f ca="1"/>
        <v/>
      </c>
      <c r="C1470" t="str">
        <f ca="1"/>
        <v/>
      </c>
      <c r="D1470" t="str">
        <f ca="1"/>
        <v/>
      </c>
      <c r="E1470" t="str">
        <f ca="1"/>
        <v/>
      </c>
      <c r="F1470" t="str">
        <f ca="1"/>
        <v/>
      </c>
      <c r="G1470" t="str">
        <f ca="1"/>
        <v/>
      </c>
      <c r="H1470" s="17" t="str">
        <f ca="1"/>
        <v/>
      </c>
    </row>
    <row r="1471" spans="2:8" x14ac:dyDescent="0.35">
      <c r="B1471" t="str">
        <f ca="1"/>
        <v/>
      </c>
      <c r="C1471" t="str">
        <f ca="1"/>
        <v/>
      </c>
      <c r="D1471" t="str">
        <f ca="1"/>
        <v/>
      </c>
      <c r="E1471" t="str">
        <f ca="1"/>
        <v/>
      </c>
      <c r="F1471" t="str">
        <f ca="1"/>
        <v/>
      </c>
      <c r="G1471" t="str">
        <f ca="1"/>
        <v/>
      </c>
      <c r="H1471" s="17" t="str">
        <f ca="1"/>
        <v/>
      </c>
    </row>
    <row r="1472" spans="2:8" x14ac:dyDescent="0.35">
      <c r="B1472" t="str">
        <f ca="1"/>
        <v/>
      </c>
      <c r="C1472" t="str">
        <f ca="1"/>
        <v/>
      </c>
      <c r="D1472" t="str">
        <f ca="1"/>
        <v/>
      </c>
      <c r="E1472" t="str">
        <f ca="1"/>
        <v/>
      </c>
      <c r="F1472" t="str">
        <f ca="1"/>
        <v/>
      </c>
      <c r="G1472" t="str">
        <f ca="1"/>
        <v/>
      </c>
      <c r="H1472" s="17" t="str">
        <f ca="1"/>
        <v/>
      </c>
    </row>
    <row r="1473" spans="2:8" x14ac:dyDescent="0.35">
      <c r="B1473" t="str">
        <f ca="1"/>
        <v/>
      </c>
      <c r="C1473" t="str">
        <f ca="1"/>
        <v/>
      </c>
      <c r="D1473" t="str">
        <f ca="1"/>
        <v/>
      </c>
      <c r="E1473" t="str">
        <f ca="1"/>
        <v/>
      </c>
      <c r="F1473" t="str">
        <f ca="1"/>
        <v/>
      </c>
      <c r="G1473" t="str">
        <f ca="1"/>
        <v/>
      </c>
      <c r="H1473" s="17" t="str">
        <f ca="1"/>
        <v/>
      </c>
    </row>
    <row r="1474" spans="2:8" x14ac:dyDescent="0.35">
      <c r="B1474" t="str">
        <f ca="1"/>
        <v/>
      </c>
      <c r="C1474" t="str">
        <f ca="1"/>
        <v/>
      </c>
      <c r="D1474" t="str">
        <f ca="1"/>
        <v/>
      </c>
      <c r="E1474" t="str">
        <f ca="1"/>
        <v/>
      </c>
      <c r="F1474" t="str">
        <f ca="1"/>
        <v/>
      </c>
      <c r="G1474" t="str">
        <f ca="1"/>
        <v/>
      </c>
      <c r="H1474" s="17" t="str">
        <f ca="1"/>
        <v/>
      </c>
    </row>
    <row r="1475" spans="2:8" x14ac:dyDescent="0.35">
      <c r="B1475" t="str">
        <f ca="1"/>
        <v/>
      </c>
      <c r="C1475" t="str">
        <f ca="1"/>
        <v/>
      </c>
      <c r="D1475" t="str">
        <f ca="1"/>
        <v/>
      </c>
      <c r="E1475" t="str">
        <f ca="1"/>
        <v/>
      </c>
      <c r="F1475" t="str">
        <f ca="1"/>
        <v/>
      </c>
      <c r="G1475" t="str">
        <f ca="1"/>
        <v/>
      </c>
      <c r="H1475" s="17" t="str">
        <f ca="1"/>
        <v/>
      </c>
    </row>
    <row r="1476" spans="2:8" x14ac:dyDescent="0.35">
      <c r="B1476" t="str">
        <f ca="1"/>
        <v/>
      </c>
      <c r="C1476" t="str">
        <f ca="1"/>
        <v/>
      </c>
      <c r="D1476" t="str">
        <f ca="1"/>
        <v/>
      </c>
      <c r="E1476" t="str">
        <f ca="1"/>
        <v/>
      </c>
      <c r="F1476" t="str">
        <f ca="1"/>
        <v/>
      </c>
      <c r="G1476" t="str">
        <f ca="1"/>
        <v/>
      </c>
      <c r="H1476" s="17" t="str">
        <f ca="1"/>
        <v/>
      </c>
    </row>
    <row r="1477" spans="2:8" x14ac:dyDescent="0.35">
      <c r="B1477" t="str">
        <f ca="1"/>
        <v/>
      </c>
      <c r="C1477" t="str">
        <f ca="1"/>
        <v/>
      </c>
      <c r="D1477" t="str">
        <f ca="1"/>
        <v/>
      </c>
      <c r="E1477" t="str">
        <f ca="1"/>
        <v/>
      </c>
      <c r="F1477" t="str">
        <f ca="1"/>
        <v/>
      </c>
      <c r="G1477" t="str">
        <f ca="1"/>
        <v/>
      </c>
      <c r="H1477" s="17" t="str">
        <f ca="1"/>
        <v/>
      </c>
    </row>
    <row r="1478" spans="2:8" x14ac:dyDescent="0.35">
      <c r="B1478" t="str">
        <f ca="1"/>
        <v/>
      </c>
      <c r="C1478" t="str">
        <f ca="1"/>
        <v/>
      </c>
      <c r="D1478" t="str">
        <f ca="1"/>
        <v/>
      </c>
      <c r="E1478" t="str">
        <f ca="1"/>
        <v/>
      </c>
      <c r="F1478" t="str">
        <f ca="1"/>
        <v/>
      </c>
      <c r="G1478" t="str">
        <f ca="1"/>
        <v/>
      </c>
      <c r="H1478" s="17" t="str">
        <f ca="1"/>
        <v/>
      </c>
    </row>
    <row r="1479" spans="2:8" x14ac:dyDescent="0.35">
      <c r="B1479" t="str">
        <f ca="1"/>
        <v/>
      </c>
      <c r="C1479" t="str">
        <f ca="1"/>
        <v/>
      </c>
      <c r="D1479" t="str">
        <f ca="1"/>
        <v/>
      </c>
      <c r="E1479" t="str">
        <f ca="1"/>
        <v/>
      </c>
      <c r="F1479" t="str">
        <f ca="1"/>
        <v/>
      </c>
      <c r="G1479" t="str">
        <f ca="1"/>
        <v/>
      </c>
      <c r="H1479" s="17" t="str">
        <f ca="1"/>
        <v/>
      </c>
    </row>
    <row r="1480" spans="2:8" x14ac:dyDescent="0.35">
      <c r="B1480" t="str">
        <f ca="1"/>
        <v/>
      </c>
      <c r="C1480" t="str">
        <f ca="1"/>
        <v/>
      </c>
      <c r="D1480" t="str">
        <f ca="1"/>
        <v/>
      </c>
      <c r="E1480" t="str">
        <f ca="1"/>
        <v/>
      </c>
      <c r="F1480" t="str">
        <f ca="1"/>
        <v/>
      </c>
      <c r="G1480" t="str">
        <f ca="1"/>
        <v/>
      </c>
      <c r="H1480" s="17" t="str">
        <f ca="1"/>
        <v/>
      </c>
    </row>
    <row r="1481" spans="2:8" x14ac:dyDescent="0.35">
      <c r="B1481" t="str">
        <f ca="1"/>
        <v/>
      </c>
      <c r="C1481" t="str">
        <f ca="1"/>
        <v/>
      </c>
      <c r="D1481" t="str">
        <f ca="1"/>
        <v/>
      </c>
      <c r="E1481" t="str">
        <f ca="1"/>
        <v/>
      </c>
      <c r="F1481" t="str">
        <f ca="1"/>
        <v/>
      </c>
      <c r="G1481" t="str">
        <f ca="1"/>
        <v/>
      </c>
      <c r="H1481" s="17" t="str">
        <f ca="1"/>
        <v/>
      </c>
    </row>
    <row r="1482" spans="2:8" x14ac:dyDescent="0.35">
      <c r="B1482" t="str">
        <f ca="1"/>
        <v/>
      </c>
      <c r="C1482" t="str">
        <f ca="1"/>
        <v/>
      </c>
      <c r="D1482" t="str">
        <f ca="1"/>
        <v/>
      </c>
      <c r="E1482" t="str">
        <f ca="1"/>
        <v/>
      </c>
      <c r="F1482" t="str">
        <f ca="1"/>
        <v/>
      </c>
      <c r="G1482" t="str">
        <f ca="1"/>
        <v/>
      </c>
      <c r="H1482" s="17" t="str">
        <f ca="1"/>
        <v/>
      </c>
    </row>
    <row r="1483" spans="2:8" x14ac:dyDescent="0.35">
      <c r="B1483" t="str">
        <f ca="1"/>
        <v/>
      </c>
      <c r="C1483" t="str">
        <f ca="1"/>
        <v/>
      </c>
      <c r="D1483" t="str">
        <f ca="1"/>
        <v/>
      </c>
      <c r="E1483" t="str">
        <f ca="1"/>
        <v/>
      </c>
      <c r="F1483" t="str">
        <f ca="1"/>
        <v/>
      </c>
      <c r="G1483" t="str">
        <f ca="1"/>
        <v/>
      </c>
      <c r="H1483" s="17" t="str">
        <f ca="1"/>
        <v/>
      </c>
    </row>
    <row r="1484" spans="2:8" x14ac:dyDescent="0.35">
      <c r="B1484" t="str">
        <f ca="1"/>
        <v/>
      </c>
      <c r="C1484" t="str">
        <f ca="1"/>
        <v/>
      </c>
      <c r="D1484" t="str">
        <f ca="1"/>
        <v/>
      </c>
      <c r="E1484" t="str">
        <f ca="1"/>
        <v/>
      </c>
      <c r="F1484" t="str">
        <f ca="1"/>
        <v/>
      </c>
      <c r="G1484" t="str">
        <f ca="1"/>
        <v/>
      </c>
      <c r="H1484" s="17" t="str">
        <f ca="1"/>
        <v/>
      </c>
    </row>
    <row r="1485" spans="2:8" x14ac:dyDescent="0.35">
      <c r="B1485" t="str">
        <f ca="1"/>
        <v/>
      </c>
      <c r="C1485" t="str">
        <f ca="1"/>
        <v/>
      </c>
      <c r="D1485" t="str">
        <f ca="1"/>
        <v/>
      </c>
      <c r="E1485" t="str">
        <f ca="1"/>
        <v/>
      </c>
      <c r="F1485" t="str">
        <f ca="1"/>
        <v/>
      </c>
      <c r="G1485" t="str">
        <f ca="1"/>
        <v/>
      </c>
      <c r="H1485" s="17" t="str">
        <f ca="1"/>
        <v/>
      </c>
    </row>
    <row r="1486" spans="2:8" x14ac:dyDescent="0.35">
      <c r="B1486" t="str">
        <f ca="1"/>
        <v/>
      </c>
      <c r="C1486" t="str">
        <f ca="1"/>
        <v/>
      </c>
      <c r="D1486" t="str">
        <f ca="1"/>
        <v/>
      </c>
      <c r="E1486" t="str">
        <f ca="1"/>
        <v/>
      </c>
      <c r="F1486" t="str">
        <f ca="1"/>
        <v/>
      </c>
      <c r="G1486" t="str">
        <f ca="1"/>
        <v/>
      </c>
      <c r="H1486" s="17" t="str">
        <f ca="1"/>
        <v/>
      </c>
    </row>
    <row r="1487" spans="2:8" x14ac:dyDescent="0.35">
      <c r="B1487" t="str">
        <f ca="1"/>
        <v/>
      </c>
      <c r="C1487" t="str">
        <f ca="1"/>
        <v/>
      </c>
      <c r="D1487" t="str">
        <f ca="1"/>
        <v/>
      </c>
      <c r="E1487" t="str">
        <f ca="1"/>
        <v/>
      </c>
      <c r="F1487" t="str">
        <f ca="1"/>
        <v/>
      </c>
      <c r="G1487" t="str">
        <f ca="1"/>
        <v/>
      </c>
      <c r="H1487" s="17" t="str">
        <f ca="1"/>
        <v/>
      </c>
    </row>
    <row r="1488" spans="2:8" x14ac:dyDescent="0.35">
      <c r="B1488" t="str">
        <f ca="1"/>
        <v/>
      </c>
      <c r="C1488" t="str">
        <f ca="1"/>
        <v/>
      </c>
      <c r="D1488" t="str">
        <f ca="1"/>
        <v/>
      </c>
      <c r="E1488" t="str">
        <f ca="1"/>
        <v/>
      </c>
      <c r="F1488" t="str">
        <f ca="1"/>
        <v/>
      </c>
      <c r="G1488" t="str">
        <f ca="1"/>
        <v/>
      </c>
      <c r="H1488" s="17" t="str">
        <f ca="1"/>
        <v/>
      </c>
    </row>
    <row r="1489" spans="2:8" x14ac:dyDescent="0.35">
      <c r="B1489" t="str">
        <f ca="1"/>
        <v/>
      </c>
      <c r="C1489" t="str">
        <f ca="1"/>
        <v/>
      </c>
      <c r="D1489" t="str">
        <f ca="1"/>
        <v/>
      </c>
      <c r="E1489" t="str">
        <f ca="1"/>
        <v/>
      </c>
      <c r="F1489" t="str">
        <f ca="1"/>
        <v/>
      </c>
      <c r="G1489" t="str">
        <f ca="1"/>
        <v/>
      </c>
      <c r="H1489" s="17" t="str">
        <f ca="1"/>
        <v/>
      </c>
    </row>
    <row r="1490" spans="2:8" x14ac:dyDescent="0.35">
      <c r="B1490" t="str">
        <f ca="1"/>
        <v/>
      </c>
      <c r="C1490" t="str">
        <f ca="1"/>
        <v/>
      </c>
      <c r="D1490" t="str">
        <f ca="1"/>
        <v/>
      </c>
      <c r="E1490" t="str">
        <f ca="1"/>
        <v/>
      </c>
      <c r="F1490" t="str">
        <f ca="1"/>
        <v/>
      </c>
      <c r="G1490" t="str">
        <f ca="1"/>
        <v/>
      </c>
      <c r="H1490" s="17" t="str">
        <f ca="1"/>
        <v/>
      </c>
    </row>
    <row r="1491" spans="2:8" x14ac:dyDescent="0.35">
      <c r="B1491" t="str">
        <f ca="1"/>
        <v/>
      </c>
      <c r="C1491" t="str">
        <f ca="1"/>
        <v/>
      </c>
      <c r="D1491" t="str">
        <f ca="1"/>
        <v/>
      </c>
      <c r="E1491" t="str">
        <f ca="1"/>
        <v/>
      </c>
      <c r="F1491" t="str">
        <f ca="1"/>
        <v/>
      </c>
      <c r="G1491" t="str">
        <f ca="1"/>
        <v/>
      </c>
      <c r="H1491" s="17" t="str">
        <f ca="1"/>
        <v/>
      </c>
    </row>
    <row r="1492" spans="2:8" x14ac:dyDescent="0.35">
      <c r="B1492" t="str">
        <f ca="1"/>
        <v/>
      </c>
      <c r="C1492" t="str">
        <f ca="1"/>
        <v/>
      </c>
      <c r="D1492" t="str">
        <f ca="1"/>
        <v/>
      </c>
      <c r="E1492" t="str">
        <f ca="1"/>
        <v/>
      </c>
      <c r="F1492" t="str">
        <f ca="1"/>
        <v/>
      </c>
      <c r="G1492" t="str">
        <f ca="1"/>
        <v/>
      </c>
      <c r="H1492" s="17" t="str">
        <f ca="1"/>
        <v/>
      </c>
    </row>
    <row r="1493" spans="2:8" x14ac:dyDescent="0.35">
      <c r="B1493" t="str">
        <f ca="1"/>
        <v/>
      </c>
      <c r="C1493" t="str">
        <f ca="1"/>
        <v/>
      </c>
      <c r="D1493" t="str">
        <f ca="1"/>
        <v/>
      </c>
      <c r="E1493" t="str">
        <f ca="1"/>
        <v/>
      </c>
      <c r="F1493" t="str">
        <f ca="1"/>
        <v/>
      </c>
      <c r="G1493" t="str">
        <f ca="1"/>
        <v/>
      </c>
      <c r="H1493" s="17" t="str">
        <f ca="1"/>
        <v/>
      </c>
    </row>
    <row r="1494" spans="2:8" x14ac:dyDescent="0.35">
      <c r="B1494" t="str">
        <f ca="1"/>
        <v/>
      </c>
      <c r="C1494" t="str">
        <f ca="1"/>
        <v/>
      </c>
      <c r="D1494" t="str">
        <f ca="1"/>
        <v/>
      </c>
      <c r="E1494" t="str">
        <f ca="1"/>
        <v/>
      </c>
      <c r="F1494" t="str">
        <f ca="1"/>
        <v/>
      </c>
      <c r="G1494" t="str">
        <f ca="1"/>
        <v/>
      </c>
      <c r="H1494" s="17" t="str">
        <f ca="1"/>
        <v/>
      </c>
    </row>
    <row r="1495" spans="2:8" x14ac:dyDescent="0.35">
      <c r="B1495" t="str">
        <f ca="1"/>
        <v/>
      </c>
      <c r="C1495" t="str">
        <f ca="1"/>
        <v/>
      </c>
      <c r="D1495" t="str">
        <f ca="1"/>
        <v/>
      </c>
      <c r="E1495" t="str">
        <f ca="1"/>
        <v/>
      </c>
      <c r="F1495" t="str">
        <f ca="1"/>
        <v/>
      </c>
      <c r="G1495" t="str">
        <f ca="1"/>
        <v/>
      </c>
      <c r="H1495" s="17" t="str">
        <f ca="1"/>
        <v/>
      </c>
    </row>
    <row r="1496" spans="2:8" x14ac:dyDescent="0.35">
      <c r="B1496" t="str">
        <f ca="1"/>
        <v/>
      </c>
      <c r="C1496" t="str">
        <f ca="1"/>
        <v/>
      </c>
      <c r="D1496" t="str">
        <f ca="1"/>
        <v/>
      </c>
      <c r="E1496" t="str">
        <f ca="1"/>
        <v/>
      </c>
      <c r="F1496" t="str">
        <f ca="1"/>
        <v/>
      </c>
      <c r="G1496" t="str">
        <f ca="1"/>
        <v/>
      </c>
      <c r="H1496" s="17" t="str">
        <f ca="1"/>
        <v/>
      </c>
    </row>
    <row r="1497" spans="2:8" x14ac:dyDescent="0.35">
      <c r="B1497" t="str">
        <f ca="1"/>
        <v/>
      </c>
      <c r="C1497" t="str">
        <f ca="1"/>
        <v/>
      </c>
      <c r="D1497" t="str">
        <f ca="1"/>
        <v/>
      </c>
      <c r="E1497" t="str">
        <f ca="1"/>
        <v/>
      </c>
      <c r="F1497" t="str">
        <f ca="1"/>
        <v/>
      </c>
      <c r="G1497" t="str">
        <f ca="1"/>
        <v/>
      </c>
      <c r="H1497" s="17" t="str">
        <f ca="1"/>
        <v/>
      </c>
    </row>
    <row r="1498" spans="2:8" x14ac:dyDescent="0.35">
      <c r="B1498" t="str">
        <f ca="1"/>
        <v/>
      </c>
      <c r="C1498" t="str">
        <f ca="1"/>
        <v/>
      </c>
      <c r="D1498" t="str">
        <f ca="1"/>
        <v/>
      </c>
      <c r="E1498" t="str">
        <f ca="1"/>
        <v/>
      </c>
      <c r="F1498" t="str">
        <f ca="1"/>
        <v/>
      </c>
      <c r="G1498" t="str">
        <f ca="1"/>
        <v/>
      </c>
      <c r="H1498" s="17" t="str">
        <f ca="1"/>
        <v/>
      </c>
    </row>
    <row r="1499" spans="2:8" x14ac:dyDescent="0.35">
      <c r="B1499" t="str">
        <f ca="1"/>
        <v/>
      </c>
      <c r="C1499" t="str">
        <f ca="1"/>
        <v/>
      </c>
      <c r="D1499" t="str">
        <f ca="1"/>
        <v/>
      </c>
      <c r="E1499" t="str">
        <f ca="1"/>
        <v/>
      </c>
      <c r="F1499" t="str">
        <f ca="1"/>
        <v/>
      </c>
      <c r="G1499" t="str">
        <f ca="1"/>
        <v/>
      </c>
      <c r="H1499" s="17" t="str">
        <f ca="1"/>
        <v/>
      </c>
    </row>
    <row r="1500" spans="2:8" x14ac:dyDescent="0.35">
      <c r="B1500" t="str">
        <f ca="1"/>
        <v/>
      </c>
      <c r="C1500" t="str">
        <f ca="1"/>
        <v/>
      </c>
      <c r="D1500" t="str">
        <f ca="1"/>
        <v/>
      </c>
      <c r="E1500" t="str">
        <f ca="1"/>
        <v/>
      </c>
      <c r="F1500" t="str">
        <f ca="1"/>
        <v/>
      </c>
      <c r="G1500" t="str">
        <f ca="1"/>
        <v/>
      </c>
      <c r="H1500" s="17" t="str">
        <f ca="1"/>
        <v/>
      </c>
    </row>
    <row r="1501" spans="2:8" x14ac:dyDescent="0.35">
      <c r="B1501" t="str">
        <f ca="1"/>
        <v/>
      </c>
      <c r="C1501" t="str">
        <f ca="1"/>
        <v/>
      </c>
      <c r="D1501" t="str">
        <f ca="1"/>
        <v/>
      </c>
      <c r="E1501" t="str">
        <f ca="1"/>
        <v/>
      </c>
      <c r="F1501" t="str">
        <f ca="1"/>
        <v/>
      </c>
      <c r="G1501" t="str">
        <f ca="1"/>
        <v/>
      </c>
      <c r="H1501" s="17" t="str">
        <f ca="1"/>
        <v/>
      </c>
    </row>
    <row r="1502" spans="2:8" x14ac:dyDescent="0.35">
      <c r="B1502" t="str">
        <f ca="1"/>
        <v/>
      </c>
      <c r="C1502" t="str">
        <f ca="1"/>
        <v/>
      </c>
      <c r="D1502" t="str">
        <f ca="1"/>
        <v/>
      </c>
      <c r="E1502" t="str">
        <f ca="1"/>
        <v/>
      </c>
      <c r="F1502" t="str">
        <f ca="1"/>
        <v/>
      </c>
      <c r="G1502" t="str">
        <f ca="1"/>
        <v/>
      </c>
      <c r="H1502" s="17" t="str">
        <f ca="1"/>
        <v/>
      </c>
    </row>
    <row r="1503" spans="2:8" x14ac:dyDescent="0.35">
      <c r="B1503" t="str">
        <f ca="1"/>
        <v/>
      </c>
      <c r="C1503" t="str">
        <f ca="1"/>
        <v/>
      </c>
      <c r="D1503" t="str">
        <f ca="1"/>
        <v/>
      </c>
      <c r="E1503" t="str">
        <f ca="1"/>
        <v/>
      </c>
      <c r="F1503" t="str">
        <f ca="1"/>
        <v/>
      </c>
      <c r="G1503" t="str">
        <f ca="1"/>
        <v/>
      </c>
      <c r="H1503" s="17" t="str">
        <f ca="1"/>
        <v/>
      </c>
    </row>
    <row r="1504" spans="2:8" x14ac:dyDescent="0.35">
      <c r="B1504" t="str">
        <f ca="1"/>
        <v/>
      </c>
      <c r="C1504" t="str">
        <f ca="1"/>
        <v/>
      </c>
      <c r="D1504" t="str">
        <f ca="1"/>
        <v/>
      </c>
      <c r="E1504" t="str">
        <f ca="1"/>
        <v/>
      </c>
      <c r="F1504" t="str">
        <f ca="1"/>
        <v/>
      </c>
      <c r="G1504" t="str">
        <f ca="1"/>
        <v/>
      </c>
      <c r="H1504" s="17" t="str">
        <f ca="1"/>
        <v/>
      </c>
    </row>
    <row r="1505" spans="2:8" x14ac:dyDescent="0.35">
      <c r="B1505" t="str">
        <f ca="1"/>
        <v/>
      </c>
      <c r="C1505" t="str">
        <f ca="1"/>
        <v/>
      </c>
      <c r="D1505" t="str">
        <f ca="1"/>
        <v/>
      </c>
      <c r="E1505" t="str">
        <f ca="1"/>
        <v/>
      </c>
      <c r="F1505" t="str">
        <f ca="1"/>
        <v/>
      </c>
      <c r="G1505" t="str">
        <f ca="1"/>
        <v/>
      </c>
      <c r="H1505" s="17" t="str">
        <f ca="1"/>
        <v/>
      </c>
    </row>
    <row r="1506" spans="2:8" x14ac:dyDescent="0.35">
      <c r="B1506" t="str">
        <f ca="1"/>
        <v/>
      </c>
      <c r="C1506" t="str">
        <f ca="1"/>
        <v/>
      </c>
      <c r="D1506" t="str">
        <f ca="1"/>
        <v/>
      </c>
      <c r="E1506" t="str">
        <f ca="1"/>
        <v/>
      </c>
      <c r="F1506" t="str">
        <f ca="1"/>
        <v/>
      </c>
      <c r="G1506" t="str">
        <f ca="1"/>
        <v/>
      </c>
      <c r="H1506" s="17" t="str">
        <f ca="1"/>
        <v/>
      </c>
    </row>
    <row r="1507" spans="2:8" x14ac:dyDescent="0.35">
      <c r="B1507" t="str">
        <f ca="1"/>
        <v/>
      </c>
      <c r="C1507" t="str">
        <f ca="1"/>
        <v/>
      </c>
      <c r="D1507" t="str">
        <f ca="1"/>
        <v/>
      </c>
      <c r="E1507" t="str">
        <f ca="1"/>
        <v/>
      </c>
      <c r="F1507" t="str">
        <f ca="1"/>
        <v/>
      </c>
      <c r="G1507" t="str">
        <f ca="1"/>
        <v/>
      </c>
      <c r="H1507" s="17" t="str">
        <f ca="1"/>
        <v/>
      </c>
    </row>
    <row r="1508" spans="2:8" x14ac:dyDescent="0.35">
      <c r="B1508" t="str">
        <f ca="1"/>
        <v/>
      </c>
      <c r="C1508" t="str">
        <f ca="1"/>
        <v/>
      </c>
      <c r="D1508" t="str">
        <f ca="1"/>
        <v/>
      </c>
      <c r="E1508" t="str">
        <f ca="1"/>
        <v/>
      </c>
      <c r="F1508" t="str">
        <f ca="1"/>
        <v/>
      </c>
      <c r="G1508" t="str">
        <f ca="1"/>
        <v/>
      </c>
      <c r="H1508" s="17" t="str">
        <f ca="1"/>
        <v/>
      </c>
    </row>
    <row r="1509" spans="2:8" x14ac:dyDescent="0.35">
      <c r="B1509" t="str">
        <f ca="1"/>
        <v/>
      </c>
      <c r="C1509" t="str">
        <f ca="1"/>
        <v/>
      </c>
      <c r="D1509" t="str">
        <f ca="1"/>
        <v/>
      </c>
      <c r="E1509" t="str">
        <f ca="1"/>
        <v/>
      </c>
      <c r="F1509" t="str">
        <f ca="1"/>
        <v/>
      </c>
      <c r="G1509" t="str">
        <f ca="1"/>
        <v/>
      </c>
      <c r="H1509" s="17" t="str">
        <f ca="1"/>
        <v/>
      </c>
    </row>
    <row r="1510" spans="2:8" x14ac:dyDescent="0.35">
      <c r="B1510" t="str">
        <f ca="1"/>
        <v/>
      </c>
      <c r="C1510" t="str">
        <f ca="1"/>
        <v/>
      </c>
      <c r="D1510" t="str">
        <f ca="1"/>
        <v/>
      </c>
      <c r="E1510" t="str">
        <f ca="1"/>
        <v/>
      </c>
      <c r="F1510" t="str">
        <f ca="1"/>
        <v/>
      </c>
      <c r="G1510" t="str">
        <f ca="1"/>
        <v/>
      </c>
      <c r="H1510" s="17" t="str">
        <f ca="1"/>
        <v/>
      </c>
    </row>
    <row r="1511" spans="2:8" x14ac:dyDescent="0.35">
      <c r="B1511" t="str">
        <f ca="1"/>
        <v/>
      </c>
      <c r="C1511" t="str">
        <f ca="1"/>
        <v/>
      </c>
      <c r="D1511" t="str">
        <f ca="1"/>
        <v/>
      </c>
      <c r="E1511" t="str">
        <f ca="1"/>
        <v/>
      </c>
      <c r="F1511" t="str">
        <f ca="1"/>
        <v/>
      </c>
      <c r="G1511" t="str">
        <f ca="1"/>
        <v/>
      </c>
      <c r="H1511" s="17" t="str">
        <f ca="1"/>
        <v/>
      </c>
    </row>
    <row r="1512" spans="2:8" x14ac:dyDescent="0.35">
      <c r="B1512" t="str">
        <f ca="1"/>
        <v/>
      </c>
      <c r="C1512" t="str">
        <f ca="1"/>
        <v/>
      </c>
      <c r="D1512" t="str">
        <f ca="1"/>
        <v/>
      </c>
      <c r="E1512" t="str">
        <f ca="1"/>
        <v/>
      </c>
      <c r="F1512" t="str">
        <f ca="1"/>
        <v/>
      </c>
      <c r="G1512" t="str">
        <f ca="1"/>
        <v/>
      </c>
      <c r="H1512" s="17" t="str">
        <f ca="1"/>
        <v/>
      </c>
    </row>
    <row r="1513" spans="2:8" x14ac:dyDescent="0.35">
      <c r="B1513" t="str">
        <f ca="1"/>
        <v/>
      </c>
      <c r="C1513" t="str">
        <f ca="1"/>
        <v/>
      </c>
      <c r="D1513" t="str">
        <f ca="1"/>
        <v/>
      </c>
      <c r="E1513" t="str">
        <f ca="1"/>
        <v/>
      </c>
      <c r="F1513" t="str">
        <f ca="1"/>
        <v/>
      </c>
      <c r="G1513" t="str">
        <f ca="1"/>
        <v/>
      </c>
      <c r="H1513" s="17" t="str">
        <f ca="1"/>
        <v/>
      </c>
    </row>
    <row r="1514" spans="2:8" x14ac:dyDescent="0.35">
      <c r="B1514" t="str">
        <f ca="1"/>
        <v/>
      </c>
      <c r="C1514" t="str">
        <f ca="1"/>
        <v/>
      </c>
      <c r="D1514" t="str">
        <f ca="1"/>
        <v/>
      </c>
      <c r="E1514" t="str">
        <f ca="1"/>
        <v/>
      </c>
      <c r="F1514" t="str">
        <f ca="1"/>
        <v/>
      </c>
      <c r="G1514" t="str">
        <f ca="1"/>
        <v/>
      </c>
      <c r="H1514" s="17" t="str">
        <f ca="1"/>
        <v/>
      </c>
    </row>
    <row r="1515" spans="2:8" x14ac:dyDescent="0.35">
      <c r="B1515" t="str">
        <f ca="1"/>
        <v/>
      </c>
      <c r="C1515" t="str">
        <f ca="1"/>
        <v/>
      </c>
      <c r="D1515" t="str">
        <f ca="1"/>
        <v/>
      </c>
      <c r="E1515" t="str">
        <f ca="1"/>
        <v/>
      </c>
      <c r="F1515" t="str">
        <f ca="1"/>
        <v/>
      </c>
      <c r="G1515" t="str">
        <f ca="1"/>
        <v/>
      </c>
      <c r="H1515" s="17" t="str">
        <f ca="1"/>
        <v/>
      </c>
    </row>
    <row r="1516" spans="2:8" x14ac:dyDescent="0.35">
      <c r="B1516" t="str">
        <f ca="1"/>
        <v/>
      </c>
      <c r="C1516" t="str">
        <f ca="1"/>
        <v/>
      </c>
      <c r="D1516" t="str">
        <f ca="1"/>
        <v/>
      </c>
      <c r="E1516" t="str">
        <f ca="1"/>
        <v/>
      </c>
      <c r="F1516" t="str">
        <f ca="1"/>
        <v/>
      </c>
      <c r="G1516" t="str">
        <f ca="1"/>
        <v/>
      </c>
      <c r="H1516" s="17" t="str">
        <f ca="1"/>
        <v/>
      </c>
    </row>
    <row r="1517" spans="2:8" x14ac:dyDescent="0.35">
      <c r="B1517" t="str">
        <f ca="1"/>
        <v/>
      </c>
      <c r="C1517" t="str">
        <f ca="1"/>
        <v/>
      </c>
      <c r="D1517" t="str">
        <f ca="1"/>
        <v/>
      </c>
      <c r="E1517" t="str">
        <f ca="1"/>
        <v/>
      </c>
      <c r="F1517" t="str">
        <f ca="1"/>
        <v/>
      </c>
      <c r="G1517" t="str">
        <f ca="1"/>
        <v/>
      </c>
      <c r="H1517" s="17" t="str">
        <f ca="1"/>
        <v/>
      </c>
    </row>
    <row r="1518" spans="2:8" x14ac:dyDescent="0.35">
      <c r="B1518" t="str">
        <f ca="1"/>
        <v/>
      </c>
      <c r="C1518" t="str">
        <f ca="1"/>
        <v/>
      </c>
      <c r="D1518" t="str">
        <f ca="1"/>
        <v/>
      </c>
      <c r="E1518" t="str">
        <f ca="1"/>
        <v/>
      </c>
      <c r="F1518" t="str">
        <f ca="1"/>
        <v/>
      </c>
      <c r="G1518" t="str">
        <f ca="1"/>
        <v/>
      </c>
      <c r="H1518" s="17" t="str">
        <f ca="1"/>
        <v/>
      </c>
    </row>
    <row r="1519" spans="2:8" x14ac:dyDescent="0.35">
      <c r="B1519" t="str">
        <f ca="1"/>
        <v/>
      </c>
      <c r="C1519" t="str">
        <f ca="1"/>
        <v/>
      </c>
      <c r="D1519" t="str">
        <f ca="1"/>
        <v/>
      </c>
      <c r="E1519" t="str">
        <f ca="1"/>
        <v/>
      </c>
      <c r="F1519" t="str">
        <f ca="1"/>
        <v/>
      </c>
      <c r="G1519" t="str">
        <f ca="1"/>
        <v/>
      </c>
      <c r="H1519" s="17" t="str">
        <f ca="1"/>
        <v/>
      </c>
    </row>
    <row r="1520" spans="2:8" x14ac:dyDescent="0.35">
      <c r="B1520" t="str">
        <f ca="1"/>
        <v/>
      </c>
      <c r="C1520" t="str">
        <f ca="1"/>
        <v/>
      </c>
      <c r="D1520" t="str">
        <f ca="1"/>
        <v/>
      </c>
      <c r="E1520" t="str">
        <f ca="1"/>
        <v/>
      </c>
      <c r="F1520" t="str">
        <f ca="1"/>
        <v/>
      </c>
      <c r="G1520" t="str">
        <f ca="1"/>
        <v/>
      </c>
      <c r="H1520" s="17" t="str">
        <f ca="1"/>
        <v/>
      </c>
    </row>
    <row r="1521" spans="2:8" x14ac:dyDescent="0.35">
      <c r="B1521" t="str">
        <f ca="1"/>
        <v/>
      </c>
      <c r="C1521" t="str">
        <f ca="1"/>
        <v/>
      </c>
      <c r="D1521" t="str">
        <f ca="1"/>
        <v/>
      </c>
      <c r="E1521" t="str">
        <f ca="1"/>
        <v/>
      </c>
      <c r="F1521" t="str">
        <f ca="1"/>
        <v/>
      </c>
      <c r="G1521" t="str">
        <f ca="1"/>
        <v/>
      </c>
      <c r="H1521" s="17" t="str">
        <f ca="1"/>
        <v/>
      </c>
    </row>
    <row r="1522" spans="2:8" x14ac:dyDescent="0.35">
      <c r="B1522" t="str">
        <f ca="1"/>
        <v/>
      </c>
      <c r="C1522" t="str">
        <f ca="1"/>
        <v/>
      </c>
      <c r="D1522" t="str">
        <f ca="1"/>
        <v/>
      </c>
      <c r="E1522" t="str">
        <f ca="1"/>
        <v/>
      </c>
      <c r="F1522" t="str">
        <f ca="1"/>
        <v/>
      </c>
      <c r="G1522" t="str">
        <f ca="1"/>
        <v/>
      </c>
      <c r="H1522" s="17" t="str">
        <f ca="1"/>
        <v/>
      </c>
    </row>
    <row r="1523" spans="2:8" x14ac:dyDescent="0.35">
      <c r="B1523" t="str">
        <f ca="1"/>
        <v/>
      </c>
      <c r="C1523" t="str">
        <f ca="1"/>
        <v/>
      </c>
      <c r="D1523" t="str">
        <f ca="1"/>
        <v/>
      </c>
      <c r="E1523" t="str">
        <f ca="1"/>
        <v/>
      </c>
      <c r="F1523" t="str">
        <f ca="1"/>
        <v/>
      </c>
      <c r="G1523" t="str">
        <f ca="1"/>
        <v/>
      </c>
      <c r="H1523" s="17" t="str">
        <f ca="1"/>
        <v/>
      </c>
    </row>
    <row r="1524" spans="2:8" x14ac:dyDescent="0.35">
      <c r="B1524" t="str">
        <f ca="1"/>
        <v/>
      </c>
      <c r="C1524" t="str">
        <f ca="1"/>
        <v/>
      </c>
      <c r="D1524" t="str">
        <f ca="1"/>
        <v/>
      </c>
      <c r="E1524" t="str">
        <f ca="1"/>
        <v/>
      </c>
      <c r="F1524" t="str">
        <f ca="1"/>
        <v/>
      </c>
      <c r="G1524" t="str">
        <f ca="1"/>
        <v/>
      </c>
      <c r="H1524" s="17" t="str">
        <f ca="1"/>
        <v/>
      </c>
    </row>
    <row r="1525" spans="2:8" x14ac:dyDescent="0.35">
      <c r="B1525" t="str">
        <f ca="1"/>
        <v/>
      </c>
      <c r="C1525" t="str">
        <f ca="1"/>
        <v/>
      </c>
      <c r="D1525" t="str">
        <f ca="1"/>
        <v/>
      </c>
      <c r="E1525" t="str">
        <f ca="1"/>
        <v/>
      </c>
      <c r="F1525" t="str">
        <f ca="1"/>
        <v/>
      </c>
      <c r="G1525" t="str">
        <f ca="1"/>
        <v/>
      </c>
      <c r="H1525" s="17" t="str">
        <f ca="1"/>
        <v/>
      </c>
    </row>
    <row r="1526" spans="2:8" x14ac:dyDescent="0.35">
      <c r="B1526" t="str">
        <f ca="1"/>
        <v/>
      </c>
      <c r="C1526" t="str">
        <f ca="1"/>
        <v/>
      </c>
      <c r="D1526" t="str">
        <f ca="1"/>
        <v/>
      </c>
      <c r="E1526" t="str">
        <f ca="1"/>
        <v/>
      </c>
      <c r="F1526" t="str">
        <f ca="1"/>
        <v/>
      </c>
      <c r="G1526" t="str">
        <f ca="1"/>
        <v/>
      </c>
      <c r="H1526" s="17" t="str">
        <f ca="1"/>
        <v/>
      </c>
    </row>
    <row r="1527" spans="2:8" x14ac:dyDescent="0.35">
      <c r="B1527" t="str">
        <f ca="1"/>
        <v/>
      </c>
      <c r="C1527" t="str">
        <f ca="1"/>
        <v/>
      </c>
      <c r="D1527" t="str">
        <f ca="1"/>
        <v/>
      </c>
      <c r="E1527" t="str">
        <f ca="1"/>
        <v/>
      </c>
      <c r="F1527" t="str">
        <f ca="1"/>
        <v/>
      </c>
      <c r="G1527" t="str">
        <f ca="1"/>
        <v/>
      </c>
      <c r="H1527" s="17" t="str">
        <f ca="1"/>
        <v/>
      </c>
    </row>
    <row r="1528" spans="2:8" x14ac:dyDescent="0.35">
      <c r="B1528" t="str">
        <f ca="1"/>
        <v/>
      </c>
      <c r="C1528" t="str">
        <f ca="1"/>
        <v/>
      </c>
      <c r="D1528" t="str">
        <f ca="1"/>
        <v/>
      </c>
      <c r="E1528" t="str">
        <f ca="1"/>
        <v/>
      </c>
      <c r="F1528" t="str">
        <f ca="1"/>
        <v/>
      </c>
      <c r="G1528" t="str">
        <f ca="1"/>
        <v/>
      </c>
      <c r="H1528" s="17" t="str">
        <f ca="1"/>
        <v/>
      </c>
    </row>
    <row r="1529" spans="2:8" x14ac:dyDescent="0.35">
      <c r="B1529" t="str">
        <f ca="1"/>
        <v/>
      </c>
      <c r="C1529" t="str">
        <f ca="1"/>
        <v/>
      </c>
      <c r="D1529" t="str">
        <f ca="1"/>
        <v/>
      </c>
      <c r="E1529" t="str">
        <f ca="1"/>
        <v/>
      </c>
      <c r="F1529" t="str">
        <f ca="1"/>
        <v/>
      </c>
      <c r="G1529" t="str">
        <f ca="1"/>
        <v/>
      </c>
      <c r="H1529" s="17" t="str">
        <f ca="1"/>
        <v/>
      </c>
    </row>
    <row r="1530" spans="2:8" x14ac:dyDescent="0.35">
      <c r="B1530" t="str">
        <f ca="1"/>
        <v/>
      </c>
      <c r="C1530" t="str">
        <f ca="1"/>
        <v/>
      </c>
      <c r="D1530" t="str">
        <f ca="1"/>
        <v/>
      </c>
      <c r="E1530" t="str">
        <f ca="1"/>
        <v/>
      </c>
      <c r="F1530" t="str">
        <f ca="1"/>
        <v/>
      </c>
      <c r="G1530" t="str">
        <f ca="1"/>
        <v/>
      </c>
      <c r="H1530" s="17" t="str">
        <f ca="1"/>
        <v/>
      </c>
    </row>
    <row r="1531" spans="2:8" x14ac:dyDescent="0.35">
      <c r="B1531" t="str">
        <f ca="1"/>
        <v/>
      </c>
      <c r="C1531" t="str">
        <f ca="1"/>
        <v/>
      </c>
      <c r="D1531" t="str">
        <f ca="1"/>
        <v/>
      </c>
      <c r="E1531" t="str">
        <f ca="1"/>
        <v/>
      </c>
      <c r="F1531" t="str">
        <f ca="1"/>
        <v/>
      </c>
      <c r="G1531" t="str">
        <f ca="1"/>
        <v/>
      </c>
      <c r="H1531" s="17" t="str">
        <f ca="1"/>
        <v/>
      </c>
    </row>
    <row r="1532" spans="2:8" x14ac:dyDescent="0.35">
      <c r="B1532" t="str">
        <f ca="1"/>
        <v/>
      </c>
      <c r="C1532" t="str">
        <f ca="1"/>
        <v/>
      </c>
      <c r="D1532" t="str">
        <f ca="1"/>
        <v/>
      </c>
      <c r="E1532" t="str">
        <f ca="1"/>
        <v/>
      </c>
      <c r="F1532" t="str">
        <f ca="1"/>
        <v/>
      </c>
      <c r="G1532" t="str">
        <f ca="1"/>
        <v/>
      </c>
      <c r="H1532" s="17" t="str">
        <f ca="1"/>
        <v/>
      </c>
    </row>
    <row r="1533" spans="2:8" x14ac:dyDescent="0.35">
      <c r="B1533" t="str">
        <f ca="1"/>
        <v/>
      </c>
      <c r="C1533" t="str">
        <f ca="1"/>
        <v/>
      </c>
      <c r="D1533" t="str">
        <f ca="1"/>
        <v/>
      </c>
      <c r="E1533" t="str">
        <f ca="1"/>
        <v/>
      </c>
      <c r="F1533" t="str">
        <f ca="1"/>
        <v/>
      </c>
      <c r="G1533" t="str">
        <f ca="1"/>
        <v/>
      </c>
      <c r="H1533" s="17" t="str">
        <f ca="1"/>
        <v/>
      </c>
    </row>
    <row r="1534" spans="2:8" x14ac:dyDescent="0.35">
      <c r="B1534" t="str">
        <f ca="1"/>
        <v/>
      </c>
      <c r="C1534" t="str">
        <f ca="1"/>
        <v/>
      </c>
      <c r="D1534" t="str">
        <f ca="1"/>
        <v/>
      </c>
      <c r="E1534" t="str">
        <f ca="1"/>
        <v/>
      </c>
      <c r="F1534" t="str">
        <f ca="1"/>
        <v/>
      </c>
      <c r="G1534" t="str">
        <f ca="1"/>
        <v/>
      </c>
      <c r="H1534" s="17" t="str">
        <f ca="1"/>
        <v/>
      </c>
    </row>
    <row r="1535" spans="2:8" x14ac:dyDescent="0.35">
      <c r="B1535" t="str">
        <f ca="1"/>
        <v/>
      </c>
      <c r="C1535" t="str">
        <f ca="1"/>
        <v/>
      </c>
      <c r="D1535" t="str">
        <f ca="1"/>
        <v/>
      </c>
      <c r="E1535" t="str">
        <f ca="1"/>
        <v/>
      </c>
      <c r="F1535" t="str">
        <f ca="1"/>
        <v/>
      </c>
      <c r="G1535" t="str">
        <f ca="1"/>
        <v/>
      </c>
      <c r="H1535" s="17" t="str">
        <f ca="1"/>
        <v/>
      </c>
    </row>
    <row r="1536" spans="2:8" x14ac:dyDescent="0.35">
      <c r="B1536" t="str">
        <f ca="1"/>
        <v/>
      </c>
      <c r="C1536" t="str">
        <f ca="1"/>
        <v/>
      </c>
      <c r="D1536" t="str">
        <f ca="1"/>
        <v/>
      </c>
      <c r="E1536" t="str">
        <f ca="1"/>
        <v/>
      </c>
      <c r="F1536" t="str">
        <f ca="1"/>
        <v/>
      </c>
      <c r="G1536" t="str">
        <f ca="1"/>
        <v/>
      </c>
      <c r="H1536" s="17" t="str">
        <f ca="1"/>
        <v/>
      </c>
    </row>
    <row r="1537" spans="2:8" x14ac:dyDescent="0.35">
      <c r="B1537" t="str">
        <f ca="1"/>
        <v/>
      </c>
      <c r="C1537" t="str">
        <f ca="1"/>
        <v/>
      </c>
      <c r="D1537" t="str">
        <f ca="1"/>
        <v/>
      </c>
      <c r="E1537" t="str">
        <f ca="1"/>
        <v/>
      </c>
      <c r="F1537" t="str">
        <f ca="1"/>
        <v/>
      </c>
      <c r="G1537" t="str">
        <f ca="1"/>
        <v/>
      </c>
      <c r="H1537" s="17" t="str">
        <f ca="1"/>
        <v/>
      </c>
    </row>
    <row r="1538" spans="2:8" x14ac:dyDescent="0.35">
      <c r="B1538" t="str">
        <f ca="1"/>
        <v/>
      </c>
      <c r="C1538" t="str">
        <f ca="1"/>
        <v/>
      </c>
      <c r="D1538" t="str">
        <f ca="1"/>
        <v/>
      </c>
      <c r="E1538" t="str">
        <f ca="1"/>
        <v/>
      </c>
      <c r="F1538" t="str">
        <f ca="1"/>
        <v/>
      </c>
      <c r="G1538" t="str">
        <f ca="1"/>
        <v/>
      </c>
      <c r="H1538" s="17" t="str">
        <f ca="1"/>
        <v/>
      </c>
    </row>
    <row r="1539" spans="2:8" x14ac:dyDescent="0.35">
      <c r="B1539" t="str">
        <f ca="1"/>
        <v/>
      </c>
      <c r="C1539" t="str">
        <f ca="1"/>
        <v/>
      </c>
      <c r="D1539" t="str">
        <f ca="1"/>
        <v/>
      </c>
      <c r="E1539" t="str">
        <f ca="1"/>
        <v/>
      </c>
      <c r="F1539" t="str">
        <f ca="1"/>
        <v/>
      </c>
      <c r="G1539" t="str">
        <f ca="1"/>
        <v/>
      </c>
      <c r="H1539" s="17" t="str">
        <f ca="1"/>
        <v/>
      </c>
    </row>
    <row r="1540" spans="2:8" x14ac:dyDescent="0.35">
      <c r="B1540" t="str">
        <f ca="1"/>
        <v/>
      </c>
      <c r="C1540" t="str">
        <f ca="1"/>
        <v/>
      </c>
      <c r="D1540" t="str">
        <f ca="1"/>
        <v/>
      </c>
      <c r="E1540" t="str">
        <f ca="1"/>
        <v/>
      </c>
      <c r="F1540" t="str">
        <f ca="1"/>
        <v/>
      </c>
      <c r="G1540" t="str">
        <f ca="1"/>
        <v/>
      </c>
      <c r="H1540" s="17" t="str">
        <f ca="1"/>
        <v/>
      </c>
    </row>
    <row r="1541" spans="2:8" x14ac:dyDescent="0.35">
      <c r="B1541" t="str">
        <f ca="1"/>
        <v/>
      </c>
      <c r="C1541" t="str">
        <f ca="1"/>
        <v/>
      </c>
      <c r="D1541" t="str">
        <f ca="1"/>
        <v/>
      </c>
      <c r="E1541" t="str">
        <f ca="1"/>
        <v/>
      </c>
      <c r="F1541" t="str">
        <f ca="1"/>
        <v/>
      </c>
      <c r="G1541" t="str">
        <f ca="1"/>
        <v/>
      </c>
      <c r="H1541" s="17" t="str">
        <f ca="1"/>
        <v/>
      </c>
    </row>
    <row r="1542" spans="2:8" x14ac:dyDescent="0.35">
      <c r="B1542" t="str">
        <f ca="1"/>
        <v/>
      </c>
      <c r="C1542" t="str">
        <f ca="1"/>
        <v/>
      </c>
      <c r="D1542" t="str">
        <f ca="1"/>
        <v/>
      </c>
      <c r="E1542" t="str">
        <f ca="1"/>
        <v/>
      </c>
      <c r="F1542" t="str">
        <f ca="1"/>
        <v/>
      </c>
      <c r="G1542" t="str">
        <f ca="1"/>
        <v/>
      </c>
      <c r="H1542" s="17" t="str">
        <f ca="1"/>
        <v/>
      </c>
    </row>
    <row r="1543" spans="2:8" x14ac:dyDescent="0.35">
      <c r="B1543" t="str">
        <f ca="1"/>
        <v/>
      </c>
      <c r="C1543" t="str">
        <f ca="1"/>
        <v/>
      </c>
      <c r="D1543" t="str">
        <f ca="1"/>
        <v/>
      </c>
      <c r="E1543" t="str">
        <f ca="1"/>
        <v/>
      </c>
      <c r="F1543" t="str">
        <f ca="1"/>
        <v/>
      </c>
      <c r="G1543" t="str">
        <f ca="1"/>
        <v/>
      </c>
      <c r="H1543" s="17" t="str">
        <f ca="1"/>
        <v/>
      </c>
    </row>
    <row r="1544" spans="2:8" x14ac:dyDescent="0.35">
      <c r="B1544" t="str">
        <f ca="1"/>
        <v/>
      </c>
      <c r="C1544" t="str">
        <f ca="1"/>
        <v/>
      </c>
      <c r="D1544" t="str">
        <f ca="1"/>
        <v/>
      </c>
      <c r="E1544" t="str">
        <f ca="1"/>
        <v/>
      </c>
      <c r="F1544" t="str">
        <f ca="1"/>
        <v/>
      </c>
      <c r="G1544" t="str">
        <f ca="1"/>
        <v/>
      </c>
      <c r="H1544" s="17" t="str">
        <f ca="1"/>
        <v/>
      </c>
    </row>
    <row r="1545" spans="2:8" x14ac:dyDescent="0.35">
      <c r="B1545" t="str">
        <f ca="1"/>
        <v/>
      </c>
      <c r="C1545" t="str">
        <f ca="1"/>
        <v/>
      </c>
      <c r="D1545" t="str">
        <f ca="1"/>
        <v/>
      </c>
      <c r="E1545" t="str">
        <f ca="1"/>
        <v/>
      </c>
      <c r="F1545" t="str">
        <f ca="1"/>
        <v/>
      </c>
      <c r="G1545" t="str">
        <f ca="1"/>
        <v/>
      </c>
      <c r="H1545" s="17" t="str">
        <f ca="1"/>
        <v/>
      </c>
    </row>
    <row r="1546" spans="2:8" x14ac:dyDescent="0.35">
      <c r="B1546" t="str">
        <f ca="1"/>
        <v/>
      </c>
      <c r="C1546" t="str">
        <f ca="1"/>
        <v/>
      </c>
      <c r="D1546" t="str">
        <f ca="1"/>
        <v/>
      </c>
      <c r="E1546" t="str">
        <f ca="1"/>
        <v/>
      </c>
      <c r="F1546" t="str">
        <f ca="1"/>
        <v/>
      </c>
      <c r="G1546" t="str">
        <f ca="1"/>
        <v/>
      </c>
      <c r="H1546" s="17" t="str">
        <f ca="1"/>
        <v/>
      </c>
    </row>
    <row r="1547" spans="2:8" x14ac:dyDescent="0.35">
      <c r="B1547" t="str">
        <f ca="1"/>
        <v/>
      </c>
      <c r="C1547" t="str">
        <f ca="1"/>
        <v/>
      </c>
      <c r="D1547" t="str">
        <f ca="1"/>
        <v/>
      </c>
      <c r="E1547" t="str">
        <f ca="1"/>
        <v/>
      </c>
      <c r="F1547" t="str">
        <f ca="1"/>
        <v/>
      </c>
      <c r="G1547" t="str">
        <f ca="1"/>
        <v/>
      </c>
      <c r="H1547" s="17" t="str">
        <f ca="1"/>
        <v/>
      </c>
    </row>
    <row r="1548" spans="2:8" x14ac:dyDescent="0.35">
      <c r="B1548" t="str">
        <f ca="1"/>
        <v/>
      </c>
      <c r="C1548" t="str">
        <f ca="1"/>
        <v/>
      </c>
      <c r="D1548" t="str">
        <f ca="1"/>
        <v/>
      </c>
      <c r="E1548" t="str">
        <f ca="1"/>
        <v/>
      </c>
      <c r="F1548" t="str">
        <f ca="1"/>
        <v/>
      </c>
      <c r="G1548" t="str">
        <f ca="1"/>
        <v/>
      </c>
      <c r="H1548" s="17" t="str">
        <f ca="1"/>
        <v/>
      </c>
    </row>
    <row r="1549" spans="2:8" x14ac:dyDescent="0.35">
      <c r="B1549" t="str">
        <f ca="1"/>
        <v/>
      </c>
      <c r="C1549" t="str">
        <f ca="1"/>
        <v/>
      </c>
      <c r="D1549" t="str">
        <f ca="1"/>
        <v/>
      </c>
      <c r="E1549" t="str">
        <f ca="1"/>
        <v/>
      </c>
      <c r="F1549" t="str">
        <f ca="1"/>
        <v/>
      </c>
      <c r="G1549" t="str">
        <f ca="1"/>
        <v/>
      </c>
      <c r="H1549" s="17" t="str">
        <f ca="1"/>
        <v/>
      </c>
    </row>
    <row r="1550" spans="2:8" x14ac:dyDescent="0.35">
      <c r="B1550" t="str">
        <f ca="1"/>
        <v/>
      </c>
      <c r="C1550" t="str">
        <f ca="1"/>
        <v/>
      </c>
      <c r="D1550" t="str">
        <f ca="1"/>
        <v/>
      </c>
      <c r="E1550" t="str">
        <f ca="1"/>
        <v/>
      </c>
      <c r="F1550" t="str">
        <f ca="1"/>
        <v/>
      </c>
      <c r="G1550" t="str">
        <f ca="1"/>
        <v/>
      </c>
      <c r="H1550" s="17" t="str">
        <f ca="1"/>
        <v/>
      </c>
    </row>
    <row r="1551" spans="2:8" x14ac:dyDescent="0.35">
      <c r="B1551" t="str">
        <f ca="1"/>
        <v/>
      </c>
      <c r="C1551" t="str">
        <f ca="1"/>
        <v/>
      </c>
      <c r="D1551" t="str">
        <f ca="1"/>
        <v/>
      </c>
      <c r="E1551" t="str">
        <f ca="1"/>
        <v/>
      </c>
      <c r="F1551" t="str">
        <f ca="1"/>
        <v/>
      </c>
      <c r="G1551" t="str">
        <f ca="1"/>
        <v/>
      </c>
      <c r="H1551" s="17" t="str">
        <f ca="1"/>
        <v/>
      </c>
    </row>
    <row r="1552" spans="2:8" x14ac:dyDescent="0.35">
      <c r="B1552" t="str">
        <f ca="1"/>
        <v/>
      </c>
      <c r="C1552" t="str">
        <f ca="1"/>
        <v/>
      </c>
      <c r="D1552" t="str">
        <f ca="1"/>
        <v/>
      </c>
      <c r="E1552" t="str">
        <f ca="1"/>
        <v/>
      </c>
      <c r="F1552" t="str">
        <f ca="1"/>
        <v/>
      </c>
      <c r="G1552" t="str">
        <f ca="1"/>
        <v/>
      </c>
      <c r="H1552" s="17" t="str">
        <f ca="1"/>
        <v/>
      </c>
    </row>
    <row r="1553" spans="2:8" x14ac:dyDescent="0.35">
      <c r="B1553" t="str">
        <f ca="1"/>
        <v/>
      </c>
      <c r="C1553" t="str">
        <f ca="1"/>
        <v/>
      </c>
      <c r="D1553" t="str">
        <f ca="1"/>
        <v/>
      </c>
      <c r="E1553" t="str">
        <f ca="1"/>
        <v/>
      </c>
      <c r="F1553" t="str">
        <f ca="1"/>
        <v/>
      </c>
      <c r="G1553" t="str">
        <f ca="1"/>
        <v/>
      </c>
      <c r="H1553" s="17" t="str">
        <f ca="1"/>
        <v/>
      </c>
    </row>
    <row r="1554" spans="2:8" x14ac:dyDescent="0.35">
      <c r="B1554" t="str">
        <f ca="1"/>
        <v/>
      </c>
      <c r="C1554" t="str">
        <f ca="1"/>
        <v/>
      </c>
      <c r="D1554" t="str">
        <f ca="1"/>
        <v/>
      </c>
      <c r="E1554" t="str">
        <f ca="1"/>
        <v/>
      </c>
      <c r="F1554" t="str">
        <f ca="1"/>
        <v/>
      </c>
      <c r="G1554" t="str">
        <f ca="1"/>
        <v/>
      </c>
      <c r="H1554" s="17" t="str">
        <f ca="1"/>
        <v/>
      </c>
    </row>
    <row r="1555" spans="2:8" x14ac:dyDescent="0.35">
      <c r="B1555" t="str">
        <f ca="1"/>
        <v/>
      </c>
      <c r="C1555" t="str">
        <f ca="1"/>
        <v/>
      </c>
      <c r="D1555" t="str">
        <f ca="1"/>
        <v/>
      </c>
      <c r="E1555" t="str">
        <f ca="1"/>
        <v/>
      </c>
      <c r="F1555" t="str">
        <f ca="1"/>
        <v/>
      </c>
      <c r="G1555" t="str">
        <f ca="1"/>
        <v/>
      </c>
      <c r="H1555" s="17" t="str">
        <f ca="1"/>
        <v/>
      </c>
    </row>
    <row r="1556" spans="2:8" x14ac:dyDescent="0.35">
      <c r="B1556" t="str">
        <f ca="1"/>
        <v/>
      </c>
      <c r="C1556" t="str">
        <f ca="1"/>
        <v/>
      </c>
      <c r="D1556" t="str">
        <f ca="1"/>
        <v/>
      </c>
      <c r="E1556" t="str">
        <f ca="1"/>
        <v/>
      </c>
      <c r="F1556" t="str">
        <f ca="1"/>
        <v/>
      </c>
      <c r="G1556" t="str">
        <f ca="1"/>
        <v/>
      </c>
      <c r="H1556" s="17" t="str">
        <f ca="1"/>
        <v/>
      </c>
    </row>
    <row r="1557" spans="2:8" x14ac:dyDescent="0.35">
      <c r="B1557" t="str">
        <f ca="1"/>
        <v/>
      </c>
      <c r="C1557" t="str">
        <f ca="1"/>
        <v/>
      </c>
      <c r="D1557" t="str">
        <f ca="1"/>
        <v/>
      </c>
      <c r="E1557" t="str">
        <f ca="1"/>
        <v/>
      </c>
      <c r="F1557" t="str">
        <f ca="1"/>
        <v/>
      </c>
      <c r="G1557" t="str">
        <f ca="1"/>
        <v/>
      </c>
      <c r="H1557" s="17" t="str">
        <f ca="1"/>
        <v/>
      </c>
    </row>
    <row r="1558" spans="2:8" x14ac:dyDescent="0.35">
      <c r="B1558" t="str">
        <f ca="1"/>
        <v/>
      </c>
      <c r="C1558" t="str">
        <f ca="1"/>
        <v/>
      </c>
      <c r="D1558" t="str">
        <f ca="1"/>
        <v/>
      </c>
      <c r="E1558" t="str">
        <f ca="1"/>
        <v/>
      </c>
      <c r="F1558" t="str">
        <f ca="1"/>
        <v/>
      </c>
      <c r="G1558" t="str">
        <f ca="1"/>
        <v/>
      </c>
      <c r="H1558" s="17" t="str">
        <f ca="1"/>
        <v/>
      </c>
    </row>
    <row r="1559" spans="2:8" x14ac:dyDescent="0.35">
      <c r="B1559" t="str">
        <f ca="1"/>
        <v/>
      </c>
      <c r="C1559" t="str">
        <f ca="1"/>
        <v/>
      </c>
      <c r="D1559" t="str">
        <f ca="1"/>
        <v/>
      </c>
      <c r="E1559" t="str">
        <f ca="1"/>
        <v/>
      </c>
      <c r="F1559" t="str">
        <f ca="1"/>
        <v/>
      </c>
      <c r="G1559" t="str">
        <f ca="1"/>
        <v/>
      </c>
      <c r="H1559" s="17" t="str">
        <f ca="1"/>
        <v/>
      </c>
    </row>
    <row r="1560" spans="2:8" x14ac:dyDescent="0.35">
      <c r="B1560" t="str">
        <f ca="1"/>
        <v/>
      </c>
      <c r="C1560" t="str">
        <f ca="1"/>
        <v/>
      </c>
      <c r="D1560" t="str">
        <f ca="1"/>
        <v/>
      </c>
      <c r="E1560" t="str">
        <f ca="1"/>
        <v/>
      </c>
      <c r="F1560" t="str">
        <f ca="1"/>
        <v/>
      </c>
      <c r="G1560" t="str">
        <f ca="1"/>
        <v/>
      </c>
      <c r="H1560" s="17" t="str">
        <f ca="1"/>
        <v/>
      </c>
    </row>
    <row r="1561" spans="2:8" x14ac:dyDescent="0.35">
      <c r="B1561" t="str">
        <f ca="1"/>
        <v/>
      </c>
      <c r="C1561" t="str">
        <f ca="1"/>
        <v/>
      </c>
      <c r="D1561" t="str">
        <f ca="1"/>
        <v/>
      </c>
      <c r="E1561" t="str">
        <f ca="1"/>
        <v/>
      </c>
      <c r="F1561" t="str">
        <f ca="1"/>
        <v/>
      </c>
      <c r="G1561" t="str">
        <f ca="1"/>
        <v/>
      </c>
      <c r="H1561" s="17" t="str">
        <f ca="1"/>
        <v/>
      </c>
    </row>
    <row r="1562" spans="2:8" x14ac:dyDescent="0.35">
      <c r="B1562" t="str">
        <f ca="1"/>
        <v/>
      </c>
      <c r="C1562" t="str">
        <f ca="1"/>
        <v/>
      </c>
      <c r="D1562" t="str">
        <f ca="1"/>
        <v/>
      </c>
      <c r="E1562" t="str">
        <f ca="1"/>
        <v/>
      </c>
      <c r="F1562" t="str">
        <f ca="1"/>
        <v/>
      </c>
      <c r="G1562" t="str">
        <f ca="1"/>
        <v/>
      </c>
      <c r="H1562" s="17" t="str">
        <f ca="1"/>
        <v/>
      </c>
    </row>
    <row r="1563" spans="2:8" x14ac:dyDescent="0.35">
      <c r="B1563" t="str">
        <f ca="1"/>
        <v/>
      </c>
      <c r="C1563" t="str">
        <f ca="1"/>
        <v/>
      </c>
      <c r="D1563" t="str">
        <f ca="1"/>
        <v/>
      </c>
      <c r="E1563" t="str">
        <f ca="1"/>
        <v/>
      </c>
      <c r="F1563" t="str">
        <f ca="1"/>
        <v/>
      </c>
      <c r="G1563" t="str">
        <f ca="1"/>
        <v/>
      </c>
      <c r="H1563" s="17" t="str">
        <f ca="1"/>
        <v/>
      </c>
    </row>
    <row r="1564" spans="2:8" x14ac:dyDescent="0.35">
      <c r="B1564" t="str">
        <f ca="1"/>
        <v/>
      </c>
      <c r="C1564" t="str">
        <f ca="1"/>
        <v/>
      </c>
      <c r="D1564" t="str">
        <f ca="1"/>
        <v/>
      </c>
      <c r="E1564" t="str">
        <f ca="1"/>
        <v/>
      </c>
      <c r="F1564" t="str">
        <f ca="1"/>
        <v/>
      </c>
      <c r="G1564" t="str">
        <f ca="1"/>
        <v/>
      </c>
      <c r="H1564" s="17" t="str">
        <f ca="1"/>
        <v/>
      </c>
    </row>
    <row r="1565" spans="2:8" x14ac:dyDescent="0.35">
      <c r="B1565" t="str">
        <f ca="1"/>
        <v/>
      </c>
      <c r="C1565" t="str">
        <f ca="1"/>
        <v/>
      </c>
      <c r="D1565" t="str">
        <f ca="1"/>
        <v/>
      </c>
      <c r="E1565" t="str">
        <f ca="1"/>
        <v/>
      </c>
      <c r="F1565" t="str">
        <f ca="1"/>
        <v/>
      </c>
      <c r="G1565" t="str">
        <f ca="1"/>
        <v/>
      </c>
      <c r="H1565" s="17" t="str">
        <f ca="1"/>
        <v/>
      </c>
    </row>
    <row r="1566" spans="2:8" x14ac:dyDescent="0.35">
      <c r="B1566" t="str">
        <f ca="1"/>
        <v/>
      </c>
      <c r="C1566" t="str">
        <f ca="1"/>
        <v/>
      </c>
      <c r="D1566" t="str">
        <f ca="1"/>
        <v/>
      </c>
      <c r="E1566" t="str">
        <f ca="1"/>
        <v/>
      </c>
      <c r="F1566" t="str">
        <f ca="1"/>
        <v/>
      </c>
      <c r="G1566" t="str">
        <f ca="1"/>
        <v/>
      </c>
      <c r="H1566" s="17" t="str">
        <f ca="1"/>
        <v/>
      </c>
    </row>
    <row r="1567" spans="2:8" x14ac:dyDescent="0.35">
      <c r="B1567" t="str">
        <f ca="1"/>
        <v/>
      </c>
      <c r="C1567" t="str">
        <f ca="1"/>
        <v/>
      </c>
      <c r="D1567" t="str">
        <f ca="1"/>
        <v/>
      </c>
      <c r="E1567" t="str">
        <f ca="1"/>
        <v/>
      </c>
      <c r="F1567" t="str">
        <f ca="1"/>
        <v/>
      </c>
      <c r="G1567" t="str">
        <f ca="1"/>
        <v/>
      </c>
      <c r="H1567" s="17" t="str">
        <f ca="1"/>
        <v/>
      </c>
    </row>
    <row r="1568" spans="2:8" x14ac:dyDescent="0.35">
      <c r="B1568" t="str">
        <f ca="1"/>
        <v/>
      </c>
      <c r="C1568" t="str">
        <f ca="1"/>
        <v/>
      </c>
      <c r="D1568" t="str">
        <f ca="1"/>
        <v/>
      </c>
      <c r="E1568" t="str">
        <f ca="1"/>
        <v/>
      </c>
      <c r="F1568" t="str">
        <f ca="1"/>
        <v/>
      </c>
      <c r="G1568" t="str">
        <f ca="1"/>
        <v/>
      </c>
      <c r="H1568" s="17" t="str">
        <f ca="1"/>
        <v/>
      </c>
    </row>
    <row r="1569" spans="2:8" x14ac:dyDescent="0.35">
      <c r="B1569" t="str">
        <f ca="1"/>
        <v/>
      </c>
      <c r="C1569" t="str">
        <f ca="1"/>
        <v/>
      </c>
      <c r="D1569" t="str">
        <f ca="1"/>
        <v/>
      </c>
      <c r="E1569" t="str">
        <f ca="1"/>
        <v/>
      </c>
      <c r="F1569" t="str">
        <f ca="1"/>
        <v/>
      </c>
      <c r="G1569" t="str">
        <f ca="1"/>
        <v/>
      </c>
      <c r="H1569" s="17" t="str">
        <f ca="1"/>
        <v/>
      </c>
    </row>
    <row r="1570" spans="2:8" x14ac:dyDescent="0.35">
      <c r="B1570" t="str">
        <f ca="1"/>
        <v/>
      </c>
      <c r="C1570" t="str">
        <f ca="1"/>
        <v/>
      </c>
      <c r="D1570" t="str">
        <f ca="1"/>
        <v/>
      </c>
      <c r="E1570" t="str">
        <f ca="1"/>
        <v/>
      </c>
      <c r="F1570" t="str">
        <f ca="1"/>
        <v/>
      </c>
      <c r="G1570" t="str">
        <f ca="1"/>
        <v/>
      </c>
      <c r="H1570" s="17" t="str">
        <f ca="1"/>
        <v/>
      </c>
    </row>
    <row r="1571" spans="2:8" x14ac:dyDescent="0.35">
      <c r="B1571" t="str">
        <f ca="1"/>
        <v/>
      </c>
      <c r="C1571" t="str">
        <f ca="1"/>
        <v/>
      </c>
      <c r="D1571" t="str">
        <f ca="1"/>
        <v/>
      </c>
      <c r="E1571" t="str">
        <f ca="1"/>
        <v/>
      </c>
      <c r="F1571" t="str">
        <f ca="1"/>
        <v/>
      </c>
      <c r="G1571" t="str">
        <f ca="1"/>
        <v/>
      </c>
      <c r="H1571" s="17" t="str">
        <f ca="1"/>
        <v/>
      </c>
    </row>
    <row r="1572" spans="2:8" x14ac:dyDescent="0.35">
      <c r="B1572" t="str">
        <f ca="1"/>
        <v/>
      </c>
      <c r="C1572" t="str">
        <f ca="1"/>
        <v/>
      </c>
      <c r="D1572" t="str">
        <f ca="1"/>
        <v/>
      </c>
      <c r="E1572" t="str">
        <f ca="1"/>
        <v/>
      </c>
      <c r="F1572" t="str">
        <f ca="1"/>
        <v/>
      </c>
      <c r="G1572" t="str">
        <f ca="1"/>
        <v/>
      </c>
      <c r="H1572" s="17" t="str">
        <f ca="1"/>
        <v/>
      </c>
    </row>
    <row r="1573" spans="2:8" x14ac:dyDescent="0.35">
      <c r="B1573" t="str">
        <f ca="1"/>
        <v/>
      </c>
      <c r="C1573" t="str">
        <f ca="1"/>
        <v/>
      </c>
      <c r="D1573" t="str">
        <f ca="1"/>
        <v/>
      </c>
      <c r="E1573" t="str">
        <f ca="1"/>
        <v/>
      </c>
      <c r="F1573" t="str">
        <f ca="1"/>
        <v/>
      </c>
      <c r="G1573" t="str">
        <f ca="1"/>
        <v/>
      </c>
      <c r="H1573" s="17" t="str">
        <f ca="1"/>
        <v/>
      </c>
    </row>
    <row r="1574" spans="2:8" x14ac:dyDescent="0.35">
      <c r="B1574" t="str">
        <f ca="1"/>
        <v/>
      </c>
      <c r="C1574" t="str">
        <f ca="1"/>
        <v/>
      </c>
      <c r="D1574" t="str">
        <f ca="1"/>
        <v/>
      </c>
      <c r="E1574" t="str">
        <f ca="1"/>
        <v/>
      </c>
      <c r="F1574" t="str">
        <f ca="1"/>
        <v/>
      </c>
      <c r="G1574" t="str">
        <f ca="1"/>
        <v/>
      </c>
      <c r="H1574" s="17" t="str">
        <f ca="1"/>
        <v/>
      </c>
    </row>
    <row r="1575" spans="2:8" x14ac:dyDescent="0.35">
      <c r="B1575" t="str">
        <f ca="1"/>
        <v/>
      </c>
      <c r="C1575" t="str">
        <f ca="1"/>
        <v/>
      </c>
      <c r="D1575" t="str">
        <f ca="1"/>
        <v/>
      </c>
      <c r="E1575" t="str">
        <f ca="1"/>
        <v/>
      </c>
      <c r="F1575" t="str">
        <f ca="1"/>
        <v/>
      </c>
      <c r="G1575" t="str">
        <f ca="1"/>
        <v/>
      </c>
      <c r="H1575" s="17" t="str">
        <f ca="1"/>
        <v/>
      </c>
    </row>
    <row r="1576" spans="2:8" x14ac:dyDescent="0.35">
      <c r="B1576" t="str">
        <f ca="1"/>
        <v/>
      </c>
      <c r="C1576" t="str">
        <f ca="1"/>
        <v/>
      </c>
      <c r="D1576" t="str">
        <f ca="1"/>
        <v/>
      </c>
      <c r="E1576" t="str">
        <f ca="1"/>
        <v/>
      </c>
      <c r="F1576" t="str">
        <f ca="1"/>
        <v/>
      </c>
      <c r="G1576" t="str">
        <f ca="1"/>
        <v/>
      </c>
      <c r="H1576" s="17" t="str">
        <f ca="1"/>
        <v/>
      </c>
    </row>
    <row r="1577" spans="2:8" x14ac:dyDescent="0.35">
      <c r="B1577" t="str">
        <f ca="1"/>
        <v/>
      </c>
      <c r="C1577" t="str">
        <f ca="1"/>
        <v/>
      </c>
      <c r="D1577" t="str">
        <f ca="1"/>
        <v/>
      </c>
      <c r="E1577" t="str">
        <f ca="1"/>
        <v/>
      </c>
      <c r="F1577" t="str">
        <f ca="1"/>
        <v/>
      </c>
      <c r="G1577" t="str">
        <f ca="1"/>
        <v/>
      </c>
      <c r="H1577" s="17" t="str">
        <f ca="1"/>
        <v/>
      </c>
    </row>
    <row r="1578" spans="2:8" x14ac:dyDescent="0.35">
      <c r="B1578" t="str">
        <f ca="1"/>
        <v/>
      </c>
      <c r="C1578" t="str">
        <f ca="1"/>
        <v/>
      </c>
      <c r="D1578" t="str">
        <f ca="1"/>
        <v/>
      </c>
      <c r="E1578" t="str">
        <f ca="1"/>
        <v/>
      </c>
      <c r="F1578" t="str">
        <f ca="1"/>
        <v/>
      </c>
      <c r="G1578" t="str">
        <f ca="1"/>
        <v/>
      </c>
      <c r="H1578" s="17" t="str">
        <f ca="1"/>
        <v/>
      </c>
    </row>
    <row r="1579" spans="2:8" x14ac:dyDescent="0.35">
      <c r="B1579" t="str">
        <f ca="1"/>
        <v/>
      </c>
      <c r="C1579" t="str">
        <f ca="1"/>
        <v/>
      </c>
      <c r="D1579" t="str">
        <f ca="1"/>
        <v/>
      </c>
      <c r="E1579" t="str">
        <f ca="1"/>
        <v/>
      </c>
      <c r="F1579" t="str">
        <f ca="1"/>
        <v/>
      </c>
      <c r="G1579" t="str">
        <f ca="1"/>
        <v/>
      </c>
      <c r="H1579" s="17" t="str">
        <f ca="1"/>
        <v/>
      </c>
    </row>
    <row r="1580" spans="2:8" x14ac:dyDescent="0.35">
      <c r="B1580" t="str">
        <f ca="1"/>
        <v/>
      </c>
      <c r="C1580" t="str">
        <f ca="1"/>
        <v/>
      </c>
      <c r="D1580" t="str">
        <f ca="1"/>
        <v/>
      </c>
      <c r="E1580" t="str">
        <f ca="1"/>
        <v/>
      </c>
      <c r="F1580" t="str">
        <f ca="1"/>
        <v/>
      </c>
      <c r="G1580" t="str">
        <f ca="1"/>
        <v/>
      </c>
      <c r="H1580" s="17" t="str">
        <f ca="1"/>
        <v/>
      </c>
    </row>
    <row r="1581" spans="2:8" x14ac:dyDescent="0.35">
      <c r="B1581" t="str">
        <f ca="1"/>
        <v/>
      </c>
      <c r="C1581" t="str">
        <f ca="1"/>
        <v/>
      </c>
      <c r="D1581" t="str">
        <f ca="1"/>
        <v/>
      </c>
      <c r="E1581" t="str">
        <f ca="1"/>
        <v/>
      </c>
      <c r="F1581" t="str">
        <f ca="1"/>
        <v/>
      </c>
      <c r="G1581" t="str">
        <f ca="1"/>
        <v/>
      </c>
      <c r="H1581" s="17" t="str">
        <f ca="1"/>
        <v/>
      </c>
    </row>
    <row r="1582" spans="2:8" x14ac:dyDescent="0.35">
      <c r="B1582" t="str">
        <f ca="1"/>
        <v/>
      </c>
      <c r="C1582" t="str">
        <f ca="1"/>
        <v/>
      </c>
      <c r="D1582" t="str">
        <f ca="1"/>
        <v/>
      </c>
      <c r="E1582" t="str">
        <f ca="1"/>
        <v/>
      </c>
      <c r="F1582" t="str">
        <f ca="1"/>
        <v/>
      </c>
      <c r="G1582" t="str">
        <f ca="1"/>
        <v/>
      </c>
      <c r="H1582" s="17" t="str">
        <f ca="1"/>
        <v/>
      </c>
    </row>
    <row r="1583" spans="2:8" x14ac:dyDescent="0.35">
      <c r="B1583" t="str">
        <f ca="1"/>
        <v/>
      </c>
      <c r="C1583" t="str">
        <f ca="1"/>
        <v/>
      </c>
      <c r="D1583" t="str">
        <f ca="1"/>
        <v/>
      </c>
      <c r="E1583" t="str">
        <f ca="1"/>
        <v/>
      </c>
      <c r="F1583" t="str">
        <f ca="1"/>
        <v/>
      </c>
      <c r="G1583" t="str">
        <f ca="1"/>
        <v/>
      </c>
      <c r="H1583" s="17" t="str">
        <f ca="1"/>
        <v/>
      </c>
    </row>
    <row r="1584" spans="2:8" x14ac:dyDescent="0.35">
      <c r="B1584" t="str">
        <f ca="1"/>
        <v/>
      </c>
      <c r="C1584" t="str">
        <f ca="1"/>
        <v/>
      </c>
      <c r="D1584" t="str">
        <f ca="1"/>
        <v/>
      </c>
      <c r="E1584" t="str">
        <f ca="1"/>
        <v/>
      </c>
      <c r="F1584" t="str">
        <f ca="1"/>
        <v/>
      </c>
      <c r="G1584" t="str">
        <f ca="1"/>
        <v/>
      </c>
      <c r="H1584" s="17" t="str">
        <f ca="1"/>
        <v/>
      </c>
    </row>
    <row r="1585" spans="2:8" x14ac:dyDescent="0.35">
      <c r="B1585" t="str">
        <f ca="1"/>
        <v/>
      </c>
      <c r="C1585" t="str">
        <f ca="1"/>
        <v/>
      </c>
      <c r="D1585" t="str">
        <f ca="1"/>
        <v/>
      </c>
      <c r="E1585" t="str">
        <f ca="1"/>
        <v/>
      </c>
      <c r="F1585" t="str">
        <f ca="1"/>
        <v/>
      </c>
      <c r="G1585" t="str">
        <f ca="1"/>
        <v/>
      </c>
      <c r="H1585" s="17" t="str">
        <f ca="1"/>
        <v/>
      </c>
    </row>
    <row r="1586" spans="2:8" x14ac:dyDescent="0.35">
      <c r="B1586" t="str">
        <f ca="1"/>
        <v/>
      </c>
      <c r="C1586" t="str">
        <f ca="1"/>
        <v/>
      </c>
      <c r="D1586" t="str">
        <f ca="1"/>
        <v/>
      </c>
      <c r="E1586" t="str">
        <f ca="1"/>
        <v/>
      </c>
      <c r="F1586" t="str">
        <f ca="1"/>
        <v/>
      </c>
      <c r="G1586" t="str">
        <f ca="1"/>
        <v/>
      </c>
      <c r="H1586" s="17" t="str">
        <f ca="1"/>
        <v/>
      </c>
    </row>
    <row r="1587" spans="2:8" x14ac:dyDescent="0.35">
      <c r="B1587" t="str">
        <f ca="1"/>
        <v/>
      </c>
      <c r="C1587" t="str">
        <f ca="1"/>
        <v/>
      </c>
      <c r="D1587" t="str">
        <f ca="1"/>
        <v/>
      </c>
      <c r="E1587" t="str">
        <f ca="1"/>
        <v/>
      </c>
      <c r="F1587" t="str">
        <f ca="1"/>
        <v/>
      </c>
      <c r="G1587" t="str">
        <f ca="1"/>
        <v/>
      </c>
      <c r="H1587" s="17" t="str">
        <f ca="1"/>
        <v/>
      </c>
    </row>
    <row r="1588" spans="2:8" x14ac:dyDescent="0.35">
      <c r="B1588" t="str">
        <f ca="1"/>
        <v/>
      </c>
      <c r="C1588" t="str">
        <f ca="1"/>
        <v/>
      </c>
      <c r="D1588" t="str">
        <f ca="1"/>
        <v/>
      </c>
      <c r="E1588" t="str">
        <f ca="1"/>
        <v/>
      </c>
      <c r="F1588" t="str">
        <f ca="1"/>
        <v/>
      </c>
      <c r="G1588" t="str">
        <f ca="1"/>
        <v/>
      </c>
      <c r="H1588" s="17" t="str">
        <f ca="1"/>
        <v/>
      </c>
    </row>
    <row r="1589" spans="2:8" x14ac:dyDescent="0.35">
      <c r="B1589" t="str">
        <f ca="1"/>
        <v/>
      </c>
      <c r="C1589" t="str">
        <f ca="1"/>
        <v/>
      </c>
      <c r="D1589" t="str">
        <f ca="1"/>
        <v/>
      </c>
      <c r="E1589" t="str">
        <f ca="1"/>
        <v/>
      </c>
      <c r="F1589" t="str">
        <f ca="1"/>
        <v/>
      </c>
      <c r="G1589" t="str">
        <f ca="1"/>
        <v/>
      </c>
      <c r="H1589" s="17" t="str">
        <f ca="1"/>
        <v/>
      </c>
    </row>
    <row r="1590" spans="2:8" x14ac:dyDescent="0.35">
      <c r="B1590" t="str">
        <f ca="1"/>
        <v/>
      </c>
      <c r="C1590" t="str">
        <f ca="1"/>
        <v/>
      </c>
      <c r="D1590" t="str">
        <f ca="1"/>
        <v/>
      </c>
      <c r="E1590" t="str">
        <f ca="1"/>
        <v/>
      </c>
      <c r="F1590" t="str">
        <f ca="1"/>
        <v/>
      </c>
      <c r="G1590" t="str">
        <f ca="1"/>
        <v/>
      </c>
      <c r="H1590" s="17" t="str">
        <f ca="1"/>
        <v/>
      </c>
    </row>
    <row r="1591" spans="2:8" x14ac:dyDescent="0.35">
      <c r="B1591" t="str">
        <f ca="1"/>
        <v/>
      </c>
      <c r="C1591" t="str">
        <f ca="1"/>
        <v/>
      </c>
      <c r="D1591" t="str">
        <f ca="1"/>
        <v/>
      </c>
      <c r="E1591" t="str">
        <f ca="1"/>
        <v/>
      </c>
      <c r="F1591" t="str">
        <f ca="1"/>
        <v/>
      </c>
      <c r="G1591" t="str">
        <f ca="1"/>
        <v/>
      </c>
      <c r="H1591" s="17" t="str">
        <f ca="1"/>
        <v/>
      </c>
    </row>
    <row r="1592" spans="2:8" x14ac:dyDescent="0.35">
      <c r="B1592" t="str">
        <f ca="1"/>
        <v/>
      </c>
      <c r="C1592" t="str">
        <f ca="1"/>
        <v/>
      </c>
      <c r="D1592" t="str">
        <f ca="1"/>
        <v/>
      </c>
      <c r="E1592" t="str">
        <f ca="1"/>
        <v/>
      </c>
      <c r="F1592" t="str">
        <f ca="1"/>
        <v/>
      </c>
      <c r="G1592" t="str">
        <f ca="1"/>
        <v/>
      </c>
      <c r="H1592" s="17" t="str">
        <f ca="1"/>
        <v/>
      </c>
    </row>
    <row r="1593" spans="2:8" x14ac:dyDescent="0.35">
      <c r="B1593" t="str">
        <f ca="1"/>
        <v/>
      </c>
      <c r="C1593" t="str">
        <f ca="1"/>
        <v/>
      </c>
      <c r="D1593" t="str">
        <f ca="1"/>
        <v/>
      </c>
      <c r="E1593" t="str">
        <f ca="1"/>
        <v/>
      </c>
      <c r="F1593" t="str">
        <f ca="1"/>
        <v/>
      </c>
      <c r="G1593" t="str">
        <f ca="1"/>
        <v/>
      </c>
      <c r="H1593" s="17" t="str">
        <f ca="1"/>
        <v/>
      </c>
    </row>
    <row r="1594" spans="2:8" x14ac:dyDescent="0.35">
      <c r="B1594" t="str">
        <f ca="1"/>
        <v/>
      </c>
      <c r="C1594" t="str">
        <f ca="1"/>
        <v/>
      </c>
      <c r="D1594" t="str">
        <f ca="1"/>
        <v/>
      </c>
      <c r="E1594" t="str">
        <f ca="1"/>
        <v/>
      </c>
      <c r="F1594" t="str">
        <f ca="1"/>
        <v/>
      </c>
      <c r="G1594" t="str">
        <f ca="1"/>
        <v/>
      </c>
      <c r="H1594" s="17" t="str">
        <f ca="1"/>
        <v/>
      </c>
    </row>
    <row r="1595" spans="2:8" x14ac:dyDescent="0.35">
      <c r="B1595" t="str">
        <f ca="1"/>
        <v/>
      </c>
      <c r="C1595" t="str">
        <f ca="1"/>
        <v/>
      </c>
      <c r="D1595" t="str">
        <f ca="1"/>
        <v/>
      </c>
      <c r="E1595" t="str">
        <f ca="1"/>
        <v/>
      </c>
      <c r="F1595" t="str">
        <f ca="1"/>
        <v/>
      </c>
      <c r="G1595" t="str">
        <f ca="1"/>
        <v/>
      </c>
      <c r="H1595" s="17" t="str">
        <f ca="1"/>
        <v/>
      </c>
    </row>
    <row r="1596" spans="2:8" x14ac:dyDescent="0.35">
      <c r="B1596" t="str">
        <f ca="1"/>
        <v/>
      </c>
      <c r="C1596" t="str">
        <f ca="1"/>
        <v/>
      </c>
      <c r="D1596" t="str">
        <f ca="1"/>
        <v/>
      </c>
      <c r="E1596" t="str">
        <f ca="1"/>
        <v/>
      </c>
      <c r="F1596" t="str">
        <f ca="1"/>
        <v/>
      </c>
      <c r="G1596" t="str">
        <f ca="1"/>
        <v/>
      </c>
      <c r="H1596" s="17" t="str">
        <f ca="1"/>
        <v/>
      </c>
    </row>
    <row r="1597" spans="2:8" x14ac:dyDescent="0.35">
      <c r="B1597" t="str">
        <f ca="1"/>
        <v/>
      </c>
      <c r="C1597" t="str">
        <f ca="1"/>
        <v/>
      </c>
      <c r="D1597" t="str">
        <f ca="1"/>
        <v/>
      </c>
      <c r="E1597" t="str">
        <f ca="1"/>
        <v/>
      </c>
      <c r="F1597" t="str">
        <f ca="1"/>
        <v/>
      </c>
      <c r="G1597" t="str">
        <f ca="1"/>
        <v/>
      </c>
      <c r="H1597" s="17" t="str">
        <f ca="1"/>
        <v/>
      </c>
    </row>
    <row r="1598" spans="2:8" x14ac:dyDescent="0.35">
      <c r="B1598" t="str">
        <f ca="1"/>
        <v/>
      </c>
      <c r="C1598" t="str">
        <f ca="1"/>
        <v/>
      </c>
      <c r="D1598" t="str">
        <f ca="1"/>
        <v/>
      </c>
      <c r="E1598" t="str">
        <f ca="1"/>
        <v/>
      </c>
      <c r="F1598" t="str">
        <f ca="1"/>
        <v/>
      </c>
      <c r="G1598" t="str">
        <f ca="1"/>
        <v/>
      </c>
      <c r="H1598" s="17" t="str">
        <f ca="1"/>
        <v/>
      </c>
    </row>
    <row r="1599" spans="2:8" x14ac:dyDescent="0.35">
      <c r="B1599" t="str">
        <f ca="1"/>
        <v/>
      </c>
      <c r="C1599" t="str">
        <f ca="1"/>
        <v/>
      </c>
      <c r="D1599" t="str">
        <f ca="1"/>
        <v/>
      </c>
      <c r="E1599" t="str">
        <f ca="1"/>
        <v/>
      </c>
      <c r="F1599" t="str">
        <f ca="1"/>
        <v/>
      </c>
      <c r="G1599" t="str">
        <f ca="1"/>
        <v/>
      </c>
      <c r="H1599" s="17" t="str">
        <f ca="1"/>
        <v/>
      </c>
    </row>
    <row r="1600" spans="2:8" x14ac:dyDescent="0.35">
      <c r="B1600" t="str">
        <f ca="1"/>
        <v/>
      </c>
      <c r="C1600" t="str">
        <f ca="1"/>
        <v/>
      </c>
      <c r="D1600" t="str">
        <f ca="1"/>
        <v/>
      </c>
      <c r="E1600" t="str">
        <f ca="1"/>
        <v/>
      </c>
      <c r="F1600" t="str">
        <f ca="1"/>
        <v/>
      </c>
      <c r="G1600" t="str">
        <f ca="1"/>
        <v/>
      </c>
      <c r="H1600" s="17" t="str">
        <f ca="1"/>
        <v/>
      </c>
    </row>
    <row r="1601" spans="2:8" x14ac:dyDescent="0.35">
      <c r="B1601" t="str">
        <f ca="1"/>
        <v/>
      </c>
      <c r="C1601" t="str">
        <f ca="1"/>
        <v/>
      </c>
      <c r="D1601" t="str">
        <f ca="1"/>
        <v/>
      </c>
      <c r="E1601" t="str">
        <f ca="1"/>
        <v/>
      </c>
      <c r="F1601" t="str">
        <f ca="1"/>
        <v/>
      </c>
      <c r="G1601" t="str">
        <f ca="1"/>
        <v/>
      </c>
      <c r="H1601" s="17" t="str">
        <f ca="1"/>
        <v/>
      </c>
    </row>
    <row r="1602" spans="2:8" x14ac:dyDescent="0.35">
      <c r="B1602" t="str">
        <f ca="1"/>
        <v/>
      </c>
      <c r="C1602" t="str">
        <f ca="1"/>
        <v/>
      </c>
      <c r="D1602" t="str">
        <f ca="1"/>
        <v/>
      </c>
      <c r="E1602" t="str">
        <f ca="1"/>
        <v/>
      </c>
      <c r="F1602" t="str">
        <f ca="1"/>
        <v/>
      </c>
      <c r="G1602" t="str">
        <f ca="1"/>
        <v/>
      </c>
      <c r="H1602" s="17" t="str">
        <f ca="1"/>
        <v/>
      </c>
    </row>
    <row r="1603" spans="2:8" x14ac:dyDescent="0.35">
      <c r="B1603" t="str">
        <f ca="1"/>
        <v/>
      </c>
      <c r="C1603" t="str">
        <f ca="1"/>
        <v/>
      </c>
      <c r="D1603" t="str">
        <f ca="1"/>
        <v/>
      </c>
      <c r="E1603" t="str">
        <f ca="1"/>
        <v/>
      </c>
      <c r="F1603" t="str">
        <f ca="1"/>
        <v/>
      </c>
      <c r="G1603" t="str">
        <f ca="1"/>
        <v/>
      </c>
      <c r="H1603" s="17" t="str">
        <f ca="1"/>
        <v/>
      </c>
    </row>
    <row r="1604" spans="2:8" x14ac:dyDescent="0.35">
      <c r="B1604" t="str">
        <f ca="1"/>
        <v/>
      </c>
      <c r="C1604" t="str">
        <f ca="1"/>
        <v/>
      </c>
      <c r="D1604" t="str">
        <f ca="1"/>
        <v/>
      </c>
      <c r="E1604" t="str">
        <f ca="1"/>
        <v/>
      </c>
      <c r="F1604" t="str">
        <f ca="1"/>
        <v/>
      </c>
      <c r="G1604" t="str">
        <f ca="1"/>
        <v/>
      </c>
      <c r="H1604" s="17" t="str">
        <f ca="1"/>
        <v/>
      </c>
    </row>
    <row r="1605" spans="2:8" x14ac:dyDescent="0.35">
      <c r="B1605" t="str">
        <f ca="1"/>
        <v/>
      </c>
      <c r="C1605" t="str">
        <f ca="1"/>
        <v/>
      </c>
      <c r="D1605" t="str">
        <f ca="1"/>
        <v/>
      </c>
      <c r="E1605" t="str">
        <f ca="1"/>
        <v/>
      </c>
      <c r="F1605" t="str">
        <f ca="1"/>
        <v/>
      </c>
      <c r="G1605" t="str">
        <f ca="1"/>
        <v/>
      </c>
      <c r="H1605" s="17" t="str">
        <f ca="1"/>
        <v/>
      </c>
    </row>
    <row r="1606" spans="2:8" x14ac:dyDescent="0.35">
      <c r="B1606" t="str">
        <f ca="1"/>
        <v/>
      </c>
      <c r="C1606" t="str">
        <f ca="1"/>
        <v/>
      </c>
      <c r="D1606" t="str">
        <f ca="1"/>
        <v/>
      </c>
      <c r="E1606" t="str">
        <f ca="1"/>
        <v/>
      </c>
      <c r="F1606" t="str">
        <f ca="1"/>
        <v/>
      </c>
      <c r="G1606" t="str">
        <f ca="1"/>
        <v/>
      </c>
      <c r="H1606" s="17" t="str">
        <f ca="1"/>
        <v/>
      </c>
    </row>
    <row r="1607" spans="2:8" x14ac:dyDescent="0.35">
      <c r="B1607" t="str">
        <f ca="1"/>
        <v/>
      </c>
      <c r="C1607" t="str">
        <f ca="1"/>
        <v/>
      </c>
      <c r="D1607" t="str">
        <f ca="1"/>
        <v/>
      </c>
      <c r="E1607" t="str">
        <f ca="1"/>
        <v/>
      </c>
      <c r="F1607" t="str">
        <f ca="1"/>
        <v/>
      </c>
      <c r="G1607" t="str">
        <f ca="1"/>
        <v/>
      </c>
      <c r="H1607" s="17" t="str">
        <f ca="1"/>
        <v/>
      </c>
    </row>
    <row r="1608" spans="2:8" x14ac:dyDescent="0.35">
      <c r="B1608" t="str">
        <f ca="1"/>
        <v/>
      </c>
      <c r="C1608" t="str">
        <f ca="1"/>
        <v/>
      </c>
      <c r="D1608" t="str">
        <f ca="1"/>
        <v/>
      </c>
      <c r="E1608" t="str">
        <f ca="1"/>
        <v/>
      </c>
      <c r="F1608" t="str">
        <f ca="1"/>
        <v/>
      </c>
      <c r="G1608" t="str">
        <f ca="1"/>
        <v/>
      </c>
      <c r="H1608" s="17" t="str">
        <f ca="1"/>
        <v/>
      </c>
    </row>
    <row r="1609" spans="2:8" x14ac:dyDescent="0.35">
      <c r="B1609" t="str">
        <f ca="1"/>
        <v/>
      </c>
      <c r="C1609" t="str">
        <f ca="1"/>
        <v/>
      </c>
      <c r="D1609" t="str">
        <f ca="1"/>
        <v/>
      </c>
      <c r="E1609" t="str">
        <f ca="1"/>
        <v/>
      </c>
      <c r="F1609" t="str">
        <f ca="1"/>
        <v/>
      </c>
      <c r="G1609" t="str">
        <f ca="1"/>
        <v/>
      </c>
      <c r="H1609" s="17" t="str">
        <f ca="1"/>
        <v/>
      </c>
    </row>
    <row r="1610" spans="2:8" x14ac:dyDescent="0.35">
      <c r="B1610" t="str">
        <f ca="1"/>
        <v/>
      </c>
      <c r="C1610" t="str">
        <f ca="1"/>
        <v/>
      </c>
      <c r="D1610" t="str">
        <f ca="1"/>
        <v/>
      </c>
      <c r="E1610" t="str">
        <f ca="1"/>
        <v/>
      </c>
      <c r="F1610" t="str">
        <f ca="1"/>
        <v/>
      </c>
      <c r="G1610" t="str">
        <f ca="1"/>
        <v/>
      </c>
      <c r="H1610" s="17" t="str">
        <f ca="1"/>
        <v/>
      </c>
    </row>
    <row r="1611" spans="2:8" x14ac:dyDescent="0.35">
      <c r="B1611" t="str">
        <f ca="1"/>
        <v/>
      </c>
      <c r="C1611" t="str">
        <f ca="1"/>
        <v/>
      </c>
      <c r="D1611" t="str">
        <f ca="1"/>
        <v/>
      </c>
      <c r="E1611" t="str">
        <f ca="1"/>
        <v/>
      </c>
      <c r="F1611" t="str">
        <f ca="1"/>
        <v/>
      </c>
      <c r="G1611" t="str">
        <f ca="1"/>
        <v/>
      </c>
      <c r="H1611" s="17" t="str">
        <f ca="1"/>
        <v/>
      </c>
    </row>
    <row r="1612" spans="2:8" x14ac:dyDescent="0.35">
      <c r="B1612" t="str">
        <f ca="1"/>
        <v/>
      </c>
      <c r="C1612" t="str">
        <f ca="1"/>
        <v/>
      </c>
      <c r="D1612" t="str">
        <f ca="1"/>
        <v/>
      </c>
      <c r="E1612" t="str">
        <f ca="1"/>
        <v/>
      </c>
      <c r="F1612" t="str">
        <f ca="1"/>
        <v/>
      </c>
      <c r="G1612" t="str">
        <f ca="1"/>
        <v/>
      </c>
      <c r="H1612" s="17" t="str">
        <f ca="1"/>
        <v/>
      </c>
    </row>
    <row r="1613" spans="2:8" x14ac:dyDescent="0.35">
      <c r="B1613" t="str">
        <f ca="1"/>
        <v/>
      </c>
      <c r="C1613" t="str">
        <f ca="1"/>
        <v/>
      </c>
      <c r="D1613" t="str">
        <f ca="1"/>
        <v/>
      </c>
      <c r="E1613" t="str">
        <f ca="1"/>
        <v/>
      </c>
      <c r="F1613" t="str">
        <f ca="1"/>
        <v/>
      </c>
      <c r="G1613" t="str">
        <f ca="1"/>
        <v/>
      </c>
      <c r="H1613" s="17" t="str">
        <f ca="1"/>
        <v/>
      </c>
    </row>
    <row r="1614" spans="2:8" x14ac:dyDescent="0.35">
      <c r="B1614" t="str">
        <f ca="1"/>
        <v/>
      </c>
      <c r="C1614" t="str">
        <f ca="1"/>
        <v/>
      </c>
      <c r="D1614" t="str">
        <f ca="1"/>
        <v/>
      </c>
      <c r="E1614" t="str">
        <f ca="1"/>
        <v/>
      </c>
      <c r="F1614" t="str">
        <f ca="1"/>
        <v/>
      </c>
      <c r="G1614" t="str">
        <f ca="1"/>
        <v/>
      </c>
      <c r="H1614" s="17" t="str">
        <f ca="1"/>
        <v/>
      </c>
    </row>
    <row r="1615" spans="2:8" x14ac:dyDescent="0.35">
      <c r="B1615" t="str">
        <f ca="1"/>
        <v/>
      </c>
      <c r="C1615" t="str">
        <f ca="1"/>
        <v/>
      </c>
      <c r="D1615" t="str">
        <f ca="1"/>
        <v/>
      </c>
      <c r="E1615" t="str">
        <f ca="1"/>
        <v/>
      </c>
      <c r="F1615" t="str">
        <f ca="1"/>
        <v/>
      </c>
      <c r="G1615" t="str">
        <f ca="1"/>
        <v/>
      </c>
      <c r="H1615" s="17" t="str">
        <f ca="1"/>
        <v/>
      </c>
    </row>
    <row r="1616" spans="2:8" x14ac:dyDescent="0.35">
      <c r="B1616" t="str">
        <f ca="1"/>
        <v/>
      </c>
      <c r="C1616" t="str">
        <f ca="1"/>
        <v/>
      </c>
      <c r="D1616" t="str">
        <f ca="1"/>
        <v/>
      </c>
      <c r="E1616" t="str">
        <f ca="1"/>
        <v/>
      </c>
      <c r="F1616" t="str">
        <f ca="1"/>
        <v/>
      </c>
      <c r="G1616" t="str">
        <f ca="1"/>
        <v/>
      </c>
      <c r="H1616" s="17" t="str">
        <f ca="1"/>
        <v/>
      </c>
    </row>
    <row r="1617" spans="2:8" x14ac:dyDescent="0.35">
      <c r="B1617" t="str">
        <f ca="1"/>
        <v/>
      </c>
      <c r="C1617" t="str">
        <f ca="1"/>
        <v/>
      </c>
      <c r="D1617" t="str">
        <f ca="1"/>
        <v/>
      </c>
      <c r="E1617" t="str">
        <f ca="1"/>
        <v/>
      </c>
      <c r="F1617" t="str">
        <f ca="1"/>
        <v/>
      </c>
      <c r="G1617" t="str">
        <f ca="1"/>
        <v/>
      </c>
      <c r="H1617" s="17" t="str">
        <f ca="1"/>
        <v/>
      </c>
    </row>
    <row r="1618" spans="2:8" x14ac:dyDescent="0.35">
      <c r="B1618" t="str">
        <f ca="1"/>
        <v/>
      </c>
      <c r="C1618" t="str">
        <f ca="1"/>
        <v/>
      </c>
      <c r="D1618" t="str">
        <f ca="1"/>
        <v/>
      </c>
      <c r="E1618" t="str">
        <f ca="1"/>
        <v/>
      </c>
      <c r="F1618" t="str">
        <f ca="1"/>
        <v/>
      </c>
      <c r="G1618" t="str">
        <f ca="1"/>
        <v/>
      </c>
      <c r="H1618" s="17" t="str">
        <f ca="1"/>
        <v/>
      </c>
    </row>
    <row r="1619" spans="2:8" x14ac:dyDescent="0.35">
      <c r="B1619" t="str">
        <f ca="1"/>
        <v/>
      </c>
      <c r="C1619" t="str">
        <f ca="1"/>
        <v/>
      </c>
      <c r="D1619" t="str">
        <f ca="1"/>
        <v/>
      </c>
      <c r="E1619" t="str">
        <f ca="1"/>
        <v/>
      </c>
      <c r="F1619" t="str">
        <f ca="1"/>
        <v/>
      </c>
      <c r="G1619" t="str">
        <f ca="1"/>
        <v/>
      </c>
      <c r="H1619" s="17" t="str">
        <f ca="1"/>
        <v/>
      </c>
    </row>
    <row r="1620" spans="2:8" x14ac:dyDescent="0.35">
      <c r="B1620" t="str">
        <f ca="1"/>
        <v/>
      </c>
      <c r="C1620" t="str">
        <f ca="1"/>
        <v/>
      </c>
      <c r="D1620" t="str">
        <f ca="1"/>
        <v/>
      </c>
      <c r="E1620" t="str">
        <f ca="1"/>
        <v/>
      </c>
      <c r="F1620" t="str">
        <f ca="1"/>
        <v/>
      </c>
      <c r="G1620" t="str">
        <f ca="1"/>
        <v/>
      </c>
      <c r="H1620" s="17" t="str">
        <f ca="1"/>
        <v/>
      </c>
    </row>
    <row r="1621" spans="2:8" x14ac:dyDescent="0.35">
      <c r="B1621" t="str">
        <f ca="1"/>
        <v/>
      </c>
      <c r="C1621" t="str">
        <f ca="1"/>
        <v/>
      </c>
      <c r="D1621" t="str">
        <f ca="1"/>
        <v/>
      </c>
      <c r="E1621" t="str">
        <f ca="1"/>
        <v/>
      </c>
      <c r="F1621" t="str">
        <f ca="1"/>
        <v/>
      </c>
      <c r="G1621" t="str">
        <f ca="1"/>
        <v/>
      </c>
      <c r="H1621" s="17" t="str">
        <f ca="1"/>
        <v/>
      </c>
    </row>
    <row r="1622" spans="2:8" x14ac:dyDescent="0.35">
      <c r="B1622" t="str">
        <f ca="1"/>
        <v/>
      </c>
      <c r="C1622" t="str">
        <f ca="1"/>
        <v/>
      </c>
      <c r="D1622" t="str">
        <f ca="1"/>
        <v/>
      </c>
      <c r="E1622" t="str">
        <f ca="1"/>
        <v/>
      </c>
      <c r="F1622" t="str">
        <f ca="1"/>
        <v/>
      </c>
      <c r="G1622" t="str">
        <f ca="1"/>
        <v/>
      </c>
      <c r="H1622" s="17" t="str">
        <f ca="1"/>
        <v/>
      </c>
    </row>
    <row r="1623" spans="2:8" x14ac:dyDescent="0.35">
      <c r="B1623" t="str">
        <f ca="1"/>
        <v/>
      </c>
      <c r="C1623" t="str">
        <f ca="1"/>
        <v/>
      </c>
      <c r="D1623" t="str">
        <f ca="1"/>
        <v/>
      </c>
      <c r="E1623" t="str">
        <f ca="1"/>
        <v/>
      </c>
      <c r="F1623" t="str">
        <f ca="1"/>
        <v/>
      </c>
      <c r="G1623" t="str">
        <f ca="1"/>
        <v/>
      </c>
      <c r="H1623" s="17" t="str">
        <f ca="1"/>
        <v/>
      </c>
    </row>
    <row r="1624" spans="2:8" x14ac:dyDescent="0.35">
      <c r="B1624" t="str">
        <f ca="1"/>
        <v/>
      </c>
      <c r="C1624" t="str">
        <f ca="1"/>
        <v/>
      </c>
      <c r="D1624" t="str">
        <f ca="1"/>
        <v/>
      </c>
      <c r="E1624" t="str">
        <f ca="1"/>
        <v/>
      </c>
      <c r="F1624" t="str">
        <f ca="1"/>
        <v/>
      </c>
      <c r="G1624" t="str">
        <f ca="1"/>
        <v/>
      </c>
      <c r="H1624" s="17" t="str">
        <f ca="1"/>
        <v/>
      </c>
    </row>
    <row r="1625" spans="2:8" x14ac:dyDescent="0.35">
      <c r="B1625" t="str">
        <f ca="1"/>
        <v/>
      </c>
      <c r="C1625" t="str">
        <f ca="1"/>
        <v/>
      </c>
      <c r="D1625" t="str">
        <f ca="1"/>
        <v/>
      </c>
      <c r="E1625" t="str">
        <f ca="1"/>
        <v/>
      </c>
      <c r="F1625" t="str">
        <f ca="1"/>
        <v/>
      </c>
      <c r="G1625" t="str">
        <f ca="1"/>
        <v/>
      </c>
      <c r="H1625" s="17" t="str">
        <f ca="1"/>
        <v/>
      </c>
    </row>
    <row r="1626" spans="2:8" x14ac:dyDescent="0.35">
      <c r="B1626" t="str">
        <f ca="1"/>
        <v/>
      </c>
      <c r="C1626" t="str">
        <f ca="1"/>
        <v/>
      </c>
      <c r="D1626" t="str">
        <f ca="1"/>
        <v/>
      </c>
      <c r="E1626" t="str">
        <f ca="1"/>
        <v/>
      </c>
      <c r="F1626" t="str">
        <f ca="1"/>
        <v/>
      </c>
      <c r="G1626" t="str">
        <f ca="1"/>
        <v/>
      </c>
      <c r="H1626" s="17" t="str">
        <f ca="1"/>
        <v/>
      </c>
    </row>
    <row r="1627" spans="2:8" x14ac:dyDescent="0.35">
      <c r="B1627" t="str">
        <f ca="1"/>
        <v/>
      </c>
      <c r="C1627" t="str">
        <f ca="1"/>
        <v/>
      </c>
      <c r="D1627" t="str">
        <f ca="1"/>
        <v/>
      </c>
      <c r="E1627" t="str">
        <f ca="1"/>
        <v/>
      </c>
      <c r="F1627" t="str">
        <f ca="1"/>
        <v/>
      </c>
      <c r="G1627" t="str">
        <f ca="1"/>
        <v/>
      </c>
      <c r="H1627" s="17" t="str">
        <f ca="1"/>
        <v/>
      </c>
    </row>
    <row r="1628" spans="2:8" x14ac:dyDescent="0.35">
      <c r="B1628" t="str">
        <f ca="1"/>
        <v/>
      </c>
      <c r="C1628" t="str">
        <f ca="1"/>
        <v/>
      </c>
      <c r="D1628" t="str">
        <f ca="1"/>
        <v/>
      </c>
      <c r="E1628" t="str">
        <f ca="1"/>
        <v/>
      </c>
      <c r="F1628" t="str">
        <f ca="1"/>
        <v/>
      </c>
      <c r="G1628" t="str">
        <f ca="1"/>
        <v/>
      </c>
      <c r="H1628" s="17" t="str">
        <f ca="1"/>
        <v/>
      </c>
    </row>
    <row r="1629" spans="2:8" x14ac:dyDescent="0.35">
      <c r="B1629" t="str">
        <f ca="1"/>
        <v/>
      </c>
      <c r="C1629" t="str">
        <f ca="1"/>
        <v/>
      </c>
      <c r="D1629" t="str">
        <f ca="1"/>
        <v/>
      </c>
      <c r="E1629" t="str">
        <f ca="1"/>
        <v/>
      </c>
      <c r="F1629" t="str">
        <f ca="1"/>
        <v/>
      </c>
      <c r="G1629" t="str">
        <f ca="1"/>
        <v/>
      </c>
      <c r="H1629" s="17" t="str">
        <f ca="1"/>
        <v/>
      </c>
    </row>
    <row r="1630" spans="2:8" x14ac:dyDescent="0.35">
      <c r="B1630" t="str">
        <f ca="1"/>
        <v/>
      </c>
      <c r="C1630" t="str">
        <f ca="1"/>
        <v/>
      </c>
      <c r="D1630" t="str">
        <f ca="1"/>
        <v/>
      </c>
      <c r="E1630" t="str">
        <f ca="1"/>
        <v/>
      </c>
      <c r="F1630" t="str">
        <f ca="1"/>
        <v/>
      </c>
      <c r="G1630" t="str">
        <f ca="1"/>
        <v/>
      </c>
      <c r="H1630" s="17" t="str">
        <f ca="1"/>
        <v/>
      </c>
    </row>
    <row r="1631" spans="2:8" x14ac:dyDescent="0.35">
      <c r="B1631" t="str">
        <f ca="1"/>
        <v/>
      </c>
      <c r="C1631" t="str">
        <f ca="1"/>
        <v/>
      </c>
      <c r="D1631" t="str">
        <f ca="1"/>
        <v/>
      </c>
      <c r="E1631" t="str">
        <f ca="1"/>
        <v/>
      </c>
      <c r="F1631" t="str">
        <f ca="1"/>
        <v/>
      </c>
      <c r="G1631" t="str">
        <f ca="1"/>
        <v/>
      </c>
      <c r="H1631" s="17" t="str">
        <f ca="1"/>
        <v/>
      </c>
    </row>
    <row r="1632" spans="2:8" x14ac:dyDescent="0.35">
      <c r="B1632" t="str">
        <f ca="1"/>
        <v/>
      </c>
      <c r="C1632" t="str">
        <f ca="1"/>
        <v/>
      </c>
      <c r="D1632" t="str">
        <f ca="1"/>
        <v/>
      </c>
      <c r="E1632" t="str">
        <f ca="1"/>
        <v/>
      </c>
      <c r="F1632" t="str">
        <f ca="1"/>
        <v/>
      </c>
      <c r="G1632" t="str">
        <f ca="1"/>
        <v/>
      </c>
      <c r="H1632" s="17" t="str">
        <f ca="1"/>
        <v/>
      </c>
    </row>
    <row r="1633" spans="2:8" x14ac:dyDescent="0.35">
      <c r="B1633" t="str">
        <f ca="1"/>
        <v/>
      </c>
      <c r="C1633" t="str">
        <f ca="1"/>
        <v/>
      </c>
      <c r="D1633" t="str">
        <f ca="1"/>
        <v/>
      </c>
      <c r="E1633" t="str">
        <f ca="1"/>
        <v/>
      </c>
      <c r="F1633" t="str">
        <f ca="1"/>
        <v/>
      </c>
      <c r="G1633" t="str">
        <f ca="1"/>
        <v/>
      </c>
      <c r="H1633" s="17" t="str">
        <f ca="1"/>
        <v/>
      </c>
    </row>
    <row r="1634" spans="2:8" x14ac:dyDescent="0.35">
      <c r="B1634" t="str">
        <f ca="1"/>
        <v/>
      </c>
      <c r="C1634" t="str">
        <f ca="1"/>
        <v/>
      </c>
      <c r="D1634" t="str">
        <f ca="1"/>
        <v/>
      </c>
      <c r="E1634" t="str">
        <f ca="1"/>
        <v/>
      </c>
      <c r="F1634" t="str">
        <f ca="1"/>
        <v/>
      </c>
      <c r="G1634" t="str">
        <f ca="1"/>
        <v/>
      </c>
      <c r="H1634" s="17" t="str">
        <f ca="1"/>
        <v/>
      </c>
    </row>
    <row r="1635" spans="2:8" x14ac:dyDescent="0.35">
      <c r="B1635" t="str">
        <f ca="1"/>
        <v/>
      </c>
      <c r="C1635" t="str">
        <f ca="1"/>
        <v/>
      </c>
      <c r="D1635" t="str">
        <f ca="1"/>
        <v/>
      </c>
      <c r="E1635" t="str">
        <f ca="1"/>
        <v/>
      </c>
      <c r="F1635" t="str">
        <f ca="1"/>
        <v/>
      </c>
      <c r="G1635" t="str">
        <f ca="1"/>
        <v/>
      </c>
      <c r="H1635" s="17" t="str">
        <f ca="1"/>
        <v/>
      </c>
    </row>
    <row r="1636" spans="2:8" x14ac:dyDescent="0.35">
      <c r="B1636" t="str">
        <f ca="1"/>
        <v/>
      </c>
      <c r="C1636" t="str">
        <f ca="1"/>
        <v/>
      </c>
      <c r="D1636" t="str">
        <f ca="1"/>
        <v/>
      </c>
      <c r="E1636" t="str">
        <f ca="1"/>
        <v/>
      </c>
      <c r="F1636" t="str">
        <f ca="1"/>
        <v/>
      </c>
      <c r="G1636" t="str">
        <f ca="1"/>
        <v/>
      </c>
      <c r="H1636" s="17" t="str">
        <f ca="1"/>
        <v/>
      </c>
    </row>
    <row r="1637" spans="2:8" x14ac:dyDescent="0.35">
      <c r="B1637" t="str">
        <f ca="1"/>
        <v/>
      </c>
      <c r="C1637" t="str">
        <f ca="1"/>
        <v/>
      </c>
      <c r="D1637" t="str">
        <f ca="1"/>
        <v/>
      </c>
      <c r="E1637" t="str">
        <f ca="1"/>
        <v/>
      </c>
      <c r="F1637" t="str">
        <f ca="1"/>
        <v/>
      </c>
      <c r="G1637" t="str">
        <f ca="1"/>
        <v/>
      </c>
      <c r="H1637" s="17" t="str">
        <f ca="1"/>
        <v/>
      </c>
    </row>
    <row r="1638" spans="2:8" x14ac:dyDescent="0.35">
      <c r="B1638" t="str">
        <f ca="1"/>
        <v/>
      </c>
      <c r="C1638" t="str">
        <f ca="1"/>
        <v/>
      </c>
      <c r="D1638" t="str">
        <f ca="1"/>
        <v/>
      </c>
      <c r="E1638" t="str">
        <f ca="1"/>
        <v/>
      </c>
      <c r="F1638" t="str">
        <f ca="1"/>
        <v/>
      </c>
      <c r="G1638" t="str">
        <f ca="1"/>
        <v/>
      </c>
      <c r="H1638" s="17" t="str">
        <f ca="1"/>
        <v/>
      </c>
    </row>
    <row r="1639" spans="2:8" x14ac:dyDescent="0.35">
      <c r="B1639" t="str">
        <f ca="1"/>
        <v/>
      </c>
      <c r="C1639" t="str">
        <f ca="1"/>
        <v/>
      </c>
      <c r="D1639" t="str">
        <f ca="1"/>
        <v/>
      </c>
      <c r="E1639" t="str">
        <f ca="1"/>
        <v/>
      </c>
      <c r="F1639" t="str">
        <f ca="1"/>
        <v/>
      </c>
      <c r="G1639" t="str">
        <f ca="1"/>
        <v/>
      </c>
      <c r="H1639" s="17" t="str">
        <f ca="1"/>
        <v/>
      </c>
    </row>
    <row r="1640" spans="2:8" x14ac:dyDescent="0.35">
      <c r="B1640" t="str">
        <f ca="1"/>
        <v/>
      </c>
      <c r="C1640" t="str">
        <f ca="1"/>
        <v/>
      </c>
      <c r="D1640" t="str">
        <f ca="1"/>
        <v/>
      </c>
      <c r="E1640" t="str">
        <f ca="1"/>
        <v/>
      </c>
      <c r="F1640" t="str">
        <f ca="1"/>
        <v/>
      </c>
      <c r="G1640" t="str">
        <f ca="1"/>
        <v/>
      </c>
      <c r="H1640" s="17" t="str">
        <f ca="1"/>
        <v/>
      </c>
    </row>
    <row r="1641" spans="2:8" x14ac:dyDescent="0.35">
      <c r="B1641" t="str">
        <f ca="1"/>
        <v/>
      </c>
      <c r="C1641" t="str">
        <f ca="1"/>
        <v/>
      </c>
      <c r="D1641" t="str">
        <f ca="1"/>
        <v/>
      </c>
      <c r="E1641" t="str">
        <f ca="1"/>
        <v/>
      </c>
      <c r="F1641" t="str">
        <f ca="1"/>
        <v/>
      </c>
      <c r="G1641" t="str">
        <f ca="1"/>
        <v/>
      </c>
      <c r="H1641" s="17" t="str">
        <f ca="1"/>
        <v/>
      </c>
    </row>
    <row r="1642" spans="2:8" x14ac:dyDescent="0.35">
      <c r="B1642" t="str">
        <f ca="1"/>
        <v/>
      </c>
      <c r="C1642" t="str">
        <f ca="1"/>
        <v/>
      </c>
      <c r="D1642" t="str">
        <f ca="1"/>
        <v/>
      </c>
      <c r="E1642" t="str">
        <f ca="1"/>
        <v/>
      </c>
      <c r="F1642" t="str">
        <f ca="1"/>
        <v/>
      </c>
      <c r="G1642" t="str">
        <f ca="1"/>
        <v/>
      </c>
      <c r="H1642" s="17" t="str">
        <f ca="1"/>
        <v/>
      </c>
    </row>
    <row r="1643" spans="2:8" x14ac:dyDescent="0.35">
      <c r="B1643" t="str">
        <f ca="1"/>
        <v/>
      </c>
      <c r="C1643" t="str">
        <f ca="1"/>
        <v/>
      </c>
      <c r="D1643" t="str">
        <f ca="1"/>
        <v/>
      </c>
      <c r="E1643" t="str">
        <f ca="1"/>
        <v/>
      </c>
      <c r="F1643" t="str">
        <f ca="1"/>
        <v/>
      </c>
      <c r="G1643" t="str">
        <f ca="1"/>
        <v/>
      </c>
      <c r="H1643" s="17" t="str">
        <f ca="1"/>
        <v/>
      </c>
    </row>
    <row r="1644" spans="2:8" x14ac:dyDescent="0.35">
      <c r="B1644" t="str">
        <f ca="1"/>
        <v/>
      </c>
      <c r="C1644" t="str">
        <f ca="1"/>
        <v/>
      </c>
      <c r="D1644" t="str">
        <f ca="1"/>
        <v/>
      </c>
      <c r="E1644" t="str">
        <f ca="1"/>
        <v/>
      </c>
      <c r="F1644" t="str">
        <f ca="1"/>
        <v/>
      </c>
      <c r="G1644" t="str">
        <f ca="1"/>
        <v/>
      </c>
      <c r="H1644" s="17" t="str">
        <f ca="1"/>
        <v/>
      </c>
    </row>
    <row r="1645" spans="2:8" x14ac:dyDescent="0.35">
      <c r="B1645" t="str">
        <f ca="1"/>
        <v/>
      </c>
      <c r="C1645" t="str">
        <f ca="1"/>
        <v/>
      </c>
      <c r="D1645" t="str">
        <f ca="1"/>
        <v/>
      </c>
      <c r="E1645" t="str">
        <f ca="1"/>
        <v/>
      </c>
      <c r="F1645" t="str">
        <f ca="1"/>
        <v/>
      </c>
      <c r="G1645" t="str">
        <f ca="1"/>
        <v/>
      </c>
      <c r="H1645" s="17" t="str">
        <f ca="1"/>
        <v/>
      </c>
    </row>
    <row r="1646" spans="2:8" x14ac:dyDescent="0.35">
      <c r="B1646" t="str">
        <f ca="1"/>
        <v/>
      </c>
      <c r="C1646" t="str">
        <f ca="1"/>
        <v/>
      </c>
      <c r="D1646" t="str">
        <f ca="1"/>
        <v/>
      </c>
      <c r="E1646" t="str">
        <f ca="1"/>
        <v/>
      </c>
      <c r="F1646" t="str">
        <f ca="1"/>
        <v/>
      </c>
      <c r="G1646" t="str">
        <f ca="1"/>
        <v/>
      </c>
      <c r="H1646" s="17" t="str">
        <f ca="1"/>
        <v/>
      </c>
    </row>
    <row r="1647" spans="2:8" x14ac:dyDescent="0.35">
      <c r="B1647" t="str">
        <f ca="1"/>
        <v/>
      </c>
      <c r="C1647" t="str">
        <f ca="1"/>
        <v/>
      </c>
      <c r="D1647" t="str">
        <f ca="1"/>
        <v/>
      </c>
      <c r="E1647" t="str">
        <f ca="1"/>
        <v/>
      </c>
      <c r="F1647" t="str">
        <f ca="1"/>
        <v/>
      </c>
      <c r="G1647" t="str">
        <f ca="1"/>
        <v/>
      </c>
      <c r="H1647" s="17" t="str">
        <f ca="1"/>
        <v/>
      </c>
    </row>
    <row r="1648" spans="2:8" x14ac:dyDescent="0.35">
      <c r="B1648" t="str">
        <f ca="1"/>
        <v/>
      </c>
      <c r="C1648" t="str">
        <f ca="1"/>
        <v/>
      </c>
      <c r="D1648" t="str">
        <f ca="1"/>
        <v/>
      </c>
      <c r="E1648" t="str">
        <f ca="1"/>
        <v/>
      </c>
      <c r="F1648" t="str">
        <f ca="1"/>
        <v/>
      </c>
      <c r="G1648" t="str">
        <f ca="1"/>
        <v/>
      </c>
      <c r="H1648" s="17" t="str">
        <f ca="1"/>
        <v/>
      </c>
    </row>
    <row r="1649" spans="2:8" x14ac:dyDescent="0.35">
      <c r="B1649" t="str">
        <f ca="1"/>
        <v/>
      </c>
      <c r="C1649" t="str">
        <f ca="1"/>
        <v/>
      </c>
      <c r="D1649" t="str">
        <f ca="1"/>
        <v/>
      </c>
      <c r="E1649" t="str">
        <f ca="1"/>
        <v/>
      </c>
      <c r="F1649" t="str">
        <f ca="1"/>
        <v/>
      </c>
      <c r="G1649" t="str">
        <f ca="1"/>
        <v/>
      </c>
      <c r="H1649" s="17" t="str">
        <f ca="1"/>
        <v/>
      </c>
    </row>
    <row r="1650" spans="2:8" x14ac:dyDescent="0.35">
      <c r="B1650" t="str">
        <f ca="1"/>
        <v/>
      </c>
      <c r="C1650" t="str">
        <f ca="1"/>
        <v/>
      </c>
      <c r="D1650" t="str">
        <f ca="1"/>
        <v/>
      </c>
      <c r="E1650" t="str">
        <f ca="1"/>
        <v/>
      </c>
      <c r="F1650" t="str">
        <f ca="1"/>
        <v/>
      </c>
      <c r="G1650" t="str">
        <f ca="1"/>
        <v/>
      </c>
      <c r="H1650" s="17" t="str">
        <f ca="1"/>
        <v/>
      </c>
    </row>
    <row r="1651" spans="2:8" x14ac:dyDescent="0.35">
      <c r="B1651" t="str">
        <f ca="1"/>
        <v/>
      </c>
      <c r="C1651" t="str">
        <f ca="1"/>
        <v/>
      </c>
      <c r="D1651" t="str">
        <f ca="1"/>
        <v/>
      </c>
      <c r="E1651" t="str">
        <f ca="1"/>
        <v/>
      </c>
      <c r="F1651" t="str">
        <f ca="1"/>
        <v/>
      </c>
      <c r="G1651" t="str">
        <f ca="1"/>
        <v/>
      </c>
      <c r="H1651" s="17" t="str">
        <f ca="1"/>
        <v/>
      </c>
    </row>
    <row r="1652" spans="2:8" x14ac:dyDescent="0.35">
      <c r="B1652" t="str">
        <f ca="1"/>
        <v/>
      </c>
      <c r="C1652" t="str">
        <f ca="1"/>
        <v/>
      </c>
      <c r="D1652" t="str">
        <f ca="1"/>
        <v/>
      </c>
      <c r="E1652" t="str">
        <f ca="1"/>
        <v/>
      </c>
      <c r="F1652" t="str">
        <f ca="1"/>
        <v/>
      </c>
      <c r="G1652" t="str">
        <f ca="1"/>
        <v/>
      </c>
      <c r="H1652" s="17" t="str">
        <f ca="1"/>
        <v/>
      </c>
    </row>
    <row r="1653" spans="2:8" x14ac:dyDescent="0.35">
      <c r="B1653" t="str">
        <f ca="1"/>
        <v/>
      </c>
      <c r="C1653" t="str">
        <f ca="1"/>
        <v/>
      </c>
      <c r="D1653" t="str">
        <f ca="1"/>
        <v/>
      </c>
      <c r="E1653" t="str">
        <f ca="1"/>
        <v/>
      </c>
      <c r="F1653" t="str">
        <f ca="1"/>
        <v/>
      </c>
      <c r="G1653" t="str">
        <f ca="1"/>
        <v/>
      </c>
      <c r="H1653" s="17" t="str">
        <f ca="1"/>
        <v/>
      </c>
    </row>
    <row r="1654" spans="2:8" x14ac:dyDescent="0.35">
      <c r="B1654" t="str">
        <f ca="1"/>
        <v/>
      </c>
      <c r="C1654" t="str">
        <f ca="1"/>
        <v/>
      </c>
      <c r="D1654" t="str">
        <f ca="1"/>
        <v/>
      </c>
      <c r="E1654" t="str">
        <f ca="1"/>
        <v/>
      </c>
      <c r="F1654" t="str">
        <f ca="1"/>
        <v/>
      </c>
      <c r="G1654" t="str">
        <f ca="1"/>
        <v/>
      </c>
      <c r="H1654" s="17" t="str">
        <f ca="1"/>
        <v/>
      </c>
    </row>
    <row r="1655" spans="2:8" x14ac:dyDescent="0.35">
      <c r="B1655" t="str">
        <f ca="1"/>
        <v/>
      </c>
      <c r="C1655" t="str">
        <f ca="1"/>
        <v/>
      </c>
      <c r="D1655" t="str">
        <f ca="1"/>
        <v/>
      </c>
      <c r="E1655" t="str">
        <f ca="1"/>
        <v/>
      </c>
      <c r="F1655" t="str">
        <f ca="1"/>
        <v/>
      </c>
      <c r="G1655" t="str">
        <f ca="1"/>
        <v/>
      </c>
      <c r="H1655" s="17" t="str">
        <f ca="1"/>
        <v/>
      </c>
    </row>
    <row r="1656" spans="2:8" x14ac:dyDescent="0.35">
      <c r="B1656" t="str">
        <f ca="1"/>
        <v/>
      </c>
      <c r="C1656" t="str">
        <f ca="1"/>
        <v/>
      </c>
      <c r="D1656" t="str">
        <f ca="1"/>
        <v/>
      </c>
      <c r="E1656" t="str">
        <f ca="1"/>
        <v/>
      </c>
      <c r="F1656" t="str">
        <f ca="1"/>
        <v/>
      </c>
      <c r="G1656" t="str">
        <f ca="1"/>
        <v/>
      </c>
      <c r="H1656" s="17" t="str">
        <f ca="1"/>
        <v/>
      </c>
    </row>
    <row r="1657" spans="2:8" x14ac:dyDescent="0.35">
      <c r="B1657" t="str">
        <f ca="1"/>
        <v/>
      </c>
      <c r="C1657" t="str">
        <f ca="1"/>
        <v/>
      </c>
      <c r="D1657" t="str">
        <f ca="1"/>
        <v/>
      </c>
      <c r="E1657" t="str">
        <f ca="1"/>
        <v/>
      </c>
      <c r="F1657" t="str">
        <f ca="1"/>
        <v/>
      </c>
      <c r="G1657" t="str">
        <f ca="1"/>
        <v/>
      </c>
      <c r="H1657" s="17" t="str">
        <f ca="1"/>
        <v/>
      </c>
    </row>
    <row r="1658" spans="2:8" x14ac:dyDescent="0.35">
      <c r="B1658" t="str">
        <f ca="1"/>
        <v/>
      </c>
      <c r="C1658" t="str">
        <f ca="1"/>
        <v/>
      </c>
      <c r="D1658" t="str">
        <f ca="1"/>
        <v/>
      </c>
      <c r="E1658" t="str">
        <f ca="1"/>
        <v/>
      </c>
      <c r="F1658" t="str">
        <f ca="1"/>
        <v/>
      </c>
      <c r="G1658" t="str">
        <f ca="1"/>
        <v/>
      </c>
      <c r="H1658" s="17" t="str">
        <f ca="1"/>
        <v/>
      </c>
    </row>
    <row r="1659" spans="2:8" x14ac:dyDescent="0.35">
      <c r="B1659" t="str">
        <f ca="1"/>
        <v/>
      </c>
      <c r="C1659" t="str">
        <f ca="1"/>
        <v/>
      </c>
      <c r="D1659" t="str">
        <f ca="1"/>
        <v/>
      </c>
      <c r="E1659" t="str">
        <f ca="1"/>
        <v/>
      </c>
      <c r="F1659" t="str">
        <f ca="1"/>
        <v/>
      </c>
      <c r="G1659" t="str">
        <f ca="1"/>
        <v/>
      </c>
      <c r="H1659" s="17" t="str">
        <f ca="1"/>
        <v/>
      </c>
    </row>
    <row r="1660" spans="2:8" x14ac:dyDescent="0.35">
      <c r="B1660" t="str">
        <f ca="1"/>
        <v/>
      </c>
      <c r="C1660" t="str">
        <f ca="1"/>
        <v/>
      </c>
      <c r="D1660" t="str">
        <f ca="1"/>
        <v/>
      </c>
      <c r="E1660" t="str">
        <f ca="1"/>
        <v/>
      </c>
      <c r="F1660" t="str">
        <f ca="1"/>
        <v/>
      </c>
      <c r="G1660" t="str">
        <f ca="1"/>
        <v/>
      </c>
      <c r="H1660" s="17" t="str">
        <f ca="1"/>
        <v/>
      </c>
    </row>
    <row r="1661" spans="2:8" x14ac:dyDescent="0.35">
      <c r="B1661" t="str">
        <f ca="1"/>
        <v/>
      </c>
      <c r="C1661" t="str">
        <f ca="1"/>
        <v/>
      </c>
      <c r="D1661" t="str">
        <f ca="1"/>
        <v/>
      </c>
      <c r="E1661" t="str">
        <f ca="1"/>
        <v/>
      </c>
      <c r="F1661" t="str">
        <f ca="1"/>
        <v/>
      </c>
      <c r="G1661" t="str">
        <f ca="1"/>
        <v/>
      </c>
      <c r="H1661" s="17" t="str">
        <f ca="1"/>
        <v/>
      </c>
    </row>
    <row r="1662" spans="2:8" x14ac:dyDescent="0.35">
      <c r="B1662" t="str">
        <f ca="1"/>
        <v/>
      </c>
      <c r="C1662" t="str">
        <f ca="1"/>
        <v/>
      </c>
      <c r="D1662" t="str">
        <f ca="1"/>
        <v/>
      </c>
      <c r="E1662" t="str">
        <f ca="1"/>
        <v/>
      </c>
      <c r="F1662" t="str">
        <f ca="1"/>
        <v/>
      </c>
      <c r="G1662" t="str">
        <f ca="1"/>
        <v/>
      </c>
      <c r="H1662" s="17" t="str">
        <f ca="1"/>
        <v/>
      </c>
    </row>
    <row r="1663" spans="2:8" x14ac:dyDescent="0.35">
      <c r="B1663" t="str">
        <f ca="1"/>
        <v/>
      </c>
      <c r="C1663" t="str">
        <f ca="1"/>
        <v/>
      </c>
      <c r="D1663" t="str">
        <f ca="1"/>
        <v/>
      </c>
      <c r="E1663" t="str">
        <f ca="1"/>
        <v/>
      </c>
      <c r="F1663" t="str">
        <f ca="1"/>
        <v/>
      </c>
      <c r="G1663" t="str">
        <f ca="1"/>
        <v/>
      </c>
      <c r="H1663" s="17" t="str">
        <f ca="1"/>
        <v/>
      </c>
    </row>
    <row r="1664" spans="2:8" x14ac:dyDescent="0.35">
      <c r="B1664" t="str">
        <f ca="1"/>
        <v/>
      </c>
      <c r="C1664" t="str">
        <f ca="1"/>
        <v/>
      </c>
      <c r="D1664" t="str">
        <f ca="1"/>
        <v/>
      </c>
      <c r="E1664" t="str">
        <f ca="1"/>
        <v/>
      </c>
      <c r="F1664" t="str">
        <f ca="1"/>
        <v/>
      </c>
      <c r="G1664" t="str">
        <f ca="1"/>
        <v/>
      </c>
      <c r="H1664" s="17" t="str">
        <f ca="1"/>
        <v/>
      </c>
    </row>
    <row r="1665" spans="2:8" x14ac:dyDescent="0.35">
      <c r="B1665" t="str">
        <f ca="1"/>
        <v/>
      </c>
      <c r="C1665" t="str">
        <f ca="1"/>
        <v/>
      </c>
      <c r="D1665" t="str">
        <f ca="1"/>
        <v/>
      </c>
      <c r="E1665" t="str">
        <f ca="1"/>
        <v/>
      </c>
      <c r="F1665" t="str">
        <f ca="1"/>
        <v/>
      </c>
      <c r="G1665" t="str">
        <f ca="1"/>
        <v/>
      </c>
      <c r="H1665" s="17" t="str">
        <f ca="1"/>
        <v/>
      </c>
    </row>
    <row r="1666" spans="2:8" x14ac:dyDescent="0.35">
      <c r="B1666" t="str">
        <f ca="1"/>
        <v/>
      </c>
      <c r="C1666" t="str">
        <f ca="1"/>
        <v/>
      </c>
      <c r="D1666" t="str">
        <f ca="1"/>
        <v/>
      </c>
      <c r="E1666" t="str">
        <f ca="1"/>
        <v/>
      </c>
      <c r="F1666" t="str">
        <f ca="1"/>
        <v/>
      </c>
      <c r="G1666" t="str">
        <f ca="1"/>
        <v/>
      </c>
      <c r="H1666" s="17" t="str">
        <f ca="1"/>
        <v/>
      </c>
    </row>
    <row r="1667" spans="2:8" x14ac:dyDescent="0.35">
      <c r="B1667" t="str">
        <f ca="1"/>
        <v/>
      </c>
      <c r="C1667" t="str">
        <f ca="1"/>
        <v/>
      </c>
      <c r="D1667" t="str">
        <f ca="1"/>
        <v/>
      </c>
      <c r="E1667" t="str">
        <f ca="1"/>
        <v/>
      </c>
      <c r="F1667" t="str">
        <f ca="1"/>
        <v/>
      </c>
      <c r="G1667" t="str">
        <f ca="1"/>
        <v/>
      </c>
      <c r="H1667" s="17" t="str">
        <f ca="1"/>
        <v/>
      </c>
    </row>
    <row r="1668" spans="2:8" x14ac:dyDescent="0.35">
      <c r="B1668" t="str">
        <f ca="1"/>
        <v/>
      </c>
      <c r="C1668" t="str">
        <f ca="1"/>
        <v/>
      </c>
      <c r="D1668" t="str">
        <f ca="1"/>
        <v/>
      </c>
      <c r="E1668" t="str">
        <f ca="1"/>
        <v/>
      </c>
      <c r="F1668" t="str">
        <f ca="1"/>
        <v/>
      </c>
      <c r="G1668" t="str">
        <f ca="1"/>
        <v/>
      </c>
      <c r="H1668" s="17" t="str">
        <f ca="1"/>
        <v/>
      </c>
    </row>
    <row r="1669" spans="2:8" x14ac:dyDescent="0.35">
      <c r="B1669" t="str">
        <f ca="1"/>
        <v/>
      </c>
      <c r="C1669" t="str">
        <f ca="1"/>
        <v/>
      </c>
      <c r="D1669" t="str">
        <f ca="1"/>
        <v/>
      </c>
      <c r="E1669" t="str">
        <f ca="1"/>
        <v/>
      </c>
      <c r="F1669" t="str">
        <f ca="1"/>
        <v/>
      </c>
      <c r="G1669" t="str">
        <f ca="1"/>
        <v/>
      </c>
      <c r="H1669" s="17" t="str">
        <f ca="1"/>
        <v/>
      </c>
    </row>
    <row r="1670" spans="2:8" x14ac:dyDescent="0.35">
      <c r="B1670" t="str">
        <f ca="1"/>
        <v/>
      </c>
      <c r="C1670" t="str">
        <f ca="1"/>
        <v/>
      </c>
      <c r="D1670" t="str">
        <f ca="1"/>
        <v/>
      </c>
      <c r="E1670" t="str">
        <f ca="1"/>
        <v/>
      </c>
      <c r="F1670" t="str">
        <f ca="1"/>
        <v/>
      </c>
      <c r="G1670" t="str">
        <f ca="1"/>
        <v/>
      </c>
      <c r="H1670" s="17" t="str">
        <f ca="1"/>
        <v/>
      </c>
    </row>
    <row r="1671" spans="2:8" x14ac:dyDescent="0.35">
      <c r="B1671" t="str">
        <f ca="1"/>
        <v/>
      </c>
      <c r="C1671" t="str">
        <f ca="1"/>
        <v/>
      </c>
      <c r="D1671" t="str">
        <f ca="1"/>
        <v/>
      </c>
      <c r="E1671" t="str">
        <f ca="1"/>
        <v/>
      </c>
      <c r="F1671" t="str">
        <f ca="1"/>
        <v/>
      </c>
      <c r="G1671" t="str">
        <f ca="1"/>
        <v/>
      </c>
      <c r="H1671" s="17" t="str">
        <f ca="1"/>
        <v/>
      </c>
    </row>
    <row r="1672" spans="2:8" x14ac:dyDescent="0.35">
      <c r="B1672" t="str">
        <f ca="1"/>
        <v/>
      </c>
      <c r="C1672" t="str">
        <f ca="1"/>
        <v/>
      </c>
      <c r="D1672" t="str">
        <f ca="1"/>
        <v/>
      </c>
      <c r="E1672" t="str">
        <f ca="1"/>
        <v/>
      </c>
      <c r="F1672" t="str">
        <f ca="1"/>
        <v/>
      </c>
      <c r="G1672" t="str">
        <f ca="1"/>
        <v/>
      </c>
      <c r="H1672" s="17" t="str">
        <f ca="1"/>
        <v/>
      </c>
    </row>
    <row r="1673" spans="2:8" x14ac:dyDescent="0.35">
      <c r="B1673" t="str">
        <f ca="1"/>
        <v/>
      </c>
      <c r="C1673" t="str">
        <f ca="1"/>
        <v/>
      </c>
      <c r="D1673" t="str">
        <f ca="1"/>
        <v/>
      </c>
      <c r="E1673" t="str">
        <f ca="1"/>
        <v/>
      </c>
      <c r="F1673" t="str">
        <f ca="1"/>
        <v/>
      </c>
      <c r="G1673" t="str">
        <f ca="1"/>
        <v/>
      </c>
      <c r="H1673" s="17" t="str">
        <f ca="1"/>
        <v/>
      </c>
    </row>
    <row r="1674" spans="2:8" x14ac:dyDescent="0.35">
      <c r="B1674" t="str">
        <f ca="1"/>
        <v/>
      </c>
      <c r="C1674" t="str">
        <f ca="1"/>
        <v/>
      </c>
      <c r="D1674" t="str">
        <f ca="1"/>
        <v/>
      </c>
      <c r="E1674" t="str">
        <f ca="1"/>
        <v/>
      </c>
      <c r="F1674" t="str">
        <f ca="1"/>
        <v/>
      </c>
      <c r="G1674" t="str">
        <f ca="1"/>
        <v/>
      </c>
      <c r="H1674" s="17" t="str">
        <f ca="1"/>
        <v/>
      </c>
    </row>
    <row r="1675" spans="2:8" x14ac:dyDescent="0.35">
      <c r="B1675" t="str">
        <f ca="1"/>
        <v/>
      </c>
      <c r="C1675" t="str">
        <f ca="1"/>
        <v/>
      </c>
      <c r="D1675" t="str">
        <f ca="1"/>
        <v/>
      </c>
      <c r="E1675" t="str">
        <f ca="1"/>
        <v/>
      </c>
      <c r="F1675" t="str">
        <f ca="1"/>
        <v/>
      </c>
      <c r="G1675" t="str">
        <f ca="1"/>
        <v/>
      </c>
      <c r="H1675" s="17" t="str">
        <f ca="1"/>
        <v/>
      </c>
    </row>
    <row r="1676" spans="2:8" x14ac:dyDescent="0.35">
      <c r="B1676" t="str">
        <f ca="1"/>
        <v/>
      </c>
      <c r="C1676" t="str">
        <f ca="1"/>
        <v/>
      </c>
      <c r="D1676" t="str">
        <f ca="1"/>
        <v/>
      </c>
      <c r="E1676" t="str">
        <f ca="1"/>
        <v/>
      </c>
      <c r="F1676" t="str">
        <f ca="1"/>
        <v/>
      </c>
      <c r="G1676" t="str">
        <f ca="1"/>
        <v/>
      </c>
      <c r="H1676" s="17" t="str">
        <f ca="1"/>
        <v/>
      </c>
    </row>
    <row r="1677" spans="2:8" x14ac:dyDescent="0.35">
      <c r="B1677" t="str">
        <f ca="1"/>
        <v/>
      </c>
      <c r="C1677" t="str">
        <f ca="1"/>
        <v/>
      </c>
      <c r="D1677" t="str">
        <f ca="1"/>
        <v/>
      </c>
      <c r="E1677" t="str">
        <f ca="1"/>
        <v/>
      </c>
      <c r="F1677" t="str">
        <f ca="1"/>
        <v/>
      </c>
      <c r="G1677" t="str">
        <f ca="1"/>
        <v/>
      </c>
      <c r="H1677" s="17" t="str">
        <f ca="1"/>
        <v/>
      </c>
    </row>
    <row r="1678" spans="2:8" x14ac:dyDescent="0.35">
      <c r="B1678" t="str">
        <f ca="1"/>
        <v/>
      </c>
      <c r="C1678" t="str">
        <f ca="1"/>
        <v/>
      </c>
      <c r="D1678" t="str">
        <f ca="1"/>
        <v/>
      </c>
      <c r="E1678" t="str">
        <f ca="1"/>
        <v/>
      </c>
      <c r="F1678" t="str">
        <f ca="1"/>
        <v/>
      </c>
      <c r="G1678" t="str">
        <f ca="1"/>
        <v/>
      </c>
      <c r="H1678" s="17" t="str">
        <f ca="1"/>
        <v/>
      </c>
    </row>
    <row r="1679" spans="2:8" x14ac:dyDescent="0.35">
      <c r="B1679" t="str">
        <f ca="1"/>
        <v/>
      </c>
      <c r="C1679" t="str">
        <f ca="1"/>
        <v/>
      </c>
      <c r="D1679" t="str">
        <f ca="1"/>
        <v/>
      </c>
      <c r="E1679" t="str">
        <f ca="1"/>
        <v/>
      </c>
      <c r="F1679" t="str">
        <f ca="1"/>
        <v/>
      </c>
      <c r="G1679" t="str">
        <f ca="1"/>
        <v/>
      </c>
      <c r="H1679" s="17" t="str">
        <f ca="1"/>
        <v/>
      </c>
    </row>
    <row r="1680" spans="2:8" x14ac:dyDescent="0.35">
      <c r="B1680" t="str">
        <f ca="1"/>
        <v/>
      </c>
      <c r="C1680" t="str">
        <f ca="1"/>
        <v/>
      </c>
      <c r="D1680" t="str">
        <f ca="1"/>
        <v/>
      </c>
      <c r="E1680" t="str">
        <f ca="1"/>
        <v/>
      </c>
      <c r="F1680" t="str">
        <f ca="1"/>
        <v/>
      </c>
      <c r="G1680" t="str">
        <f ca="1"/>
        <v/>
      </c>
      <c r="H1680" s="17" t="str">
        <f ca="1"/>
        <v/>
      </c>
    </row>
    <row r="1681" spans="2:8" x14ac:dyDescent="0.35">
      <c r="B1681" t="str">
        <f ca="1"/>
        <v/>
      </c>
      <c r="C1681" t="str">
        <f ca="1"/>
        <v/>
      </c>
      <c r="D1681" t="str">
        <f ca="1"/>
        <v/>
      </c>
      <c r="E1681" t="str">
        <f ca="1"/>
        <v/>
      </c>
      <c r="F1681" t="str">
        <f ca="1"/>
        <v/>
      </c>
      <c r="G1681" t="str">
        <f ca="1"/>
        <v/>
      </c>
      <c r="H1681" s="17" t="str">
        <f ca="1"/>
        <v/>
      </c>
    </row>
    <row r="1682" spans="2:8" x14ac:dyDescent="0.35">
      <c r="B1682" t="str">
        <f ca="1"/>
        <v/>
      </c>
      <c r="C1682" t="str">
        <f ca="1"/>
        <v/>
      </c>
      <c r="D1682" t="str">
        <f ca="1"/>
        <v/>
      </c>
      <c r="E1682" t="str">
        <f ca="1"/>
        <v/>
      </c>
      <c r="F1682" t="str">
        <f ca="1"/>
        <v/>
      </c>
      <c r="G1682" t="str">
        <f ca="1"/>
        <v/>
      </c>
      <c r="H1682" s="17" t="str">
        <f ca="1"/>
        <v/>
      </c>
    </row>
    <row r="1683" spans="2:8" x14ac:dyDescent="0.35">
      <c r="B1683" t="str">
        <f ca="1"/>
        <v/>
      </c>
      <c r="C1683" t="str">
        <f ca="1"/>
        <v/>
      </c>
      <c r="D1683" t="str">
        <f ca="1"/>
        <v/>
      </c>
      <c r="E1683" t="str">
        <f ca="1"/>
        <v/>
      </c>
      <c r="F1683" t="str">
        <f ca="1"/>
        <v/>
      </c>
      <c r="G1683" t="str">
        <f ca="1"/>
        <v/>
      </c>
      <c r="H1683" s="17" t="str">
        <f ca="1"/>
        <v/>
      </c>
    </row>
    <row r="1684" spans="2:8" x14ac:dyDescent="0.35">
      <c r="B1684" t="str">
        <f ca="1"/>
        <v/>
      </c>
      <c r="C1684" t="str">
        <f ca="1"/>
        <v/>
      </c>
      <c r="D1684" t="str">
        <f ca="1"/>
        <v/>
      </c>
      <c r="E1684" t="str">
        <f ca="1"/>
        <v/>
      </c>
      <c r="F1684" t="str">
        <f ca="1"/>
        <v/>
      </c>
      <c r="G1684" t="str">
        <f ca="1"/>
        <v/>
      </c>
      <c r="H1684" s="17" t="str">
        <f ca="1"/>
        <v/>
      </c>
    </row>
    <row r="1685" spans="2:8" x14ac:dyDescent="0.35">
      <c r="B1685" t="str">
        <f ca="1"/>
        <v/>
      </c>
      <c r="C1685" t="str">
        <f ca="1"/>
        <v/>
      </c>
      <c r="D1685" t="str">
        <f ca="1"/>
        <v/>
      </c>
      <c r="E1685" t="str">
        <f ca="1"/>
        <v/>
      </c>
      <c r="F1685" t="str">
        <f ca="1"/>
        <v/>
      </c>
      <c r="G1685" t="str">
        <f ca="1"/>
        <v/>
      </c>
      <c r="H1685" s="17" t="str">
        <f ca="1"/>
        <v/>
      </c>
    </row>
    <row r="1686" spans="2:8" x14ac:dyDescent="0.35">
      <c r="B1686" t="str">
        <f ca="1"/>
        <v/>
      </c>
      <c r="C1686" t="str">
        <f ca="1"/>
        <v/>
      </c>
      <c r="D1686" t="str">
        <f ca="1"/>
        <v/>
      </c>
      <c r="E1686" t="str">
        <f ca="1"/>
        <v/>
      </c>
      <c r="F1686" t="str">
        <f ca="1"/>
        <v/>
      </c>
      <c r="G1686" t="str">
        <f ca="1"/>
        <v/>
      </c>
      <c r="H1686" s="17" t="str">
        <f ca="1"/>
        <v/>
      </c>
    </row>
    <row r="1687" spans="2:8" x14ac:dyDescent="0.35">
      <c r="B1687" t="str">
        <f ca="1"/>
        <v/>
      </c>
      <c r="C1687" t="str">
        <f ca="1"/>
        <v/>
      </c>
      <c r="D1687" t="str">
        <f ca="1"/>
        <v/>
      </c>
      <c r="E1687" t="str">
        <f ca="1"/>
        <v/>
      </c>
      <c r="F1687" t="str">
        <f ca="1"/>
        <v/>
      </c>
      <c r="G1687" t="str">
        <f ca="1"/>
        <v/>
      </c>
      <c r="H1687" s="17" t="str">
        <f ca="1"/>
        <v/>
      </c>
    </row>
    <row r="1688" spans="2:8" x14ac:dyDescent="0.35">
      <c r="B1688" t="str">
        <f ca="1"/>
        <v/>
      </c>
      <c r="C1688" t="str">
        <f ca="1"/>
        <v/>
      </c>
      <c r="D1688" t="str">
        <f ca="1"/>
        <v/>
      </c>
      <c r="E1688" t="str">
        <f ca="1"/>
        <v/>
      </c>
      <c r="F1688" t="str">
        <f ca="1"/>
        <v/>
      </c>
      <c r="G1688" t="str">
        <f ca="1"/>
        <v/>
      </c>
      <c r="H1688" s="17" t="str">
        <f ca="1"/>
        <v/>
      </c>
    </row>
    <row r="1689" spans="2:8" x14ac:dyDescent="0.35">
      <c r="B1689" t="str">
        <f ca="1"/>
        <v/>
      </c>
      <c r="C1689" t="str">
        <f ca="1"/>
        <v/>
      </c>
      <c r="D1689" t="str">
        <f ca="1"/>
        <v/>
      </c>
      <c r="E1689" t="str">
        <f ca="1"/>
        <v/>
      </c>
      <c r="F1689" t="str">
        <f ca="1"/>
        <v/>
      </c>
      <c r="G1689" t="str">
        <f ca="1"/>
        <v/>
      </c>
      <c r="H1689" s="17" t="str">
        <f ca="1"/>
        <v/>
      </c>
    </row>
    <row r="1690" spans="2:8" x14ac:dyDescent="0.35">
      <c r="B1690" t="str">
        <f ca="1"/>
        <v/>
      </c>
      <c r="C1690" t="str">
        <f ca="1"/>
        <v/>
      </c>
      <c r="D1690" t="str">
        <f ca="1"/>
        <v/>
      </c>
      <c r="E1690" t="str">
        <f ca="1"/>
        <v/>
      </c>
      <c r="F1690" t="str">
        <f ca="1"/>
        <v/>
      </c>
      <c r="G1690" t="str">
        <f ca="1"/>
        <v/>
      </c>
      <c r="H1690" s="17" t="str">
        <f ca="1"/>
        <v/>
      </c>
    </row>
    <row r="1691" spans="2:8" x14ac:dyDescent="0.35">
      <c r="B1691" t="str">
        <f ca="1"/>
        <v/>
      </c>
      <c r="C1691" t="str">
        <f ca="1"/>
        <v/>
      </c>
      <c r="D1691" t="str">
        <f ca="1"/>
        <v/>
      </c>
      <c r="E1691" t="str">
        <f ca="1"/>
        <v/>
      </c>
      <c r="F1691" t="str">
        <f ca="1"/>
        <v/>
      </c>
      <c r="G1691" t="str">
        <f ca="1"/>
        <v/>
      </c>
      <c r="H1691" s="17" t="str">
        <f ca="1"/>
        <v/>
      </c>
    </row>
    <row r="1692" spans="2:8" x14ac:dyDescent="0.35">
      <c r="B1692" t="str">
        <f ca="1"/>
        <v/>
      </c>
      <c r="C1692" t="str">
        <f ca="1"/>
        <v/>
      </c>
      <c r="D1692" t="str">
        <f ca="1"/>
        <v/>
      </c>
      <c r="E1692" t="str">
        <f ca="1"/>
        <v/>
      </c>
      <c r="F1692" t="str">
        <f ca="1"/>
        <v/>
      </c>
      <c r="G1692" t="str">
        <f ca="1"/>
        <v/>
      </c>
      <c r="H1692" s="17" t="str">
        <f ca="1"/>
        <v/>
      </c>
    </row>
    <row r="1693" spans="2:8" x14ac:dyDescent="0.35">
      <c r="B1693" t="str">
        <f ca="1"/>
        <v/>
      </c>
      <c r="C1693" t="str">
        <f ca="1"/>
        <v/>
      </c>
      <c r="D1693" t="str">
        <f ca="1"/>
        <v/>
      </c>
      <c r="E1693" t="str">
        <f ca="1"/>
        <v/>
      </c>
      <c r="F1693" t="str">
        <f ca="1"/>
        <v/>
      </c>
      <c r="G1693" t="str">
        <f ca="1"/>
        <v/>
      </c>
      <c r="H1693" s="17" t="str">
        <f ca="1"/>
        <v/>
      </c>
    </row>
    <row r="1694" spans="2:8" x14ac:dyDescent="0.35">
      <c r="B1694" t="str">
        <f ca="1"/>
        <v/>
      </c>
      <c r="C1694" t="str">
        <f ca="1"/>
        <v/>
      </c>
      <c r="D1694" t="str">
        <f ca="1"/>
        <v/>
      </c>
      <c r="E1694" t="str">
        <f ca="1"/>
        <v/>
      </c>
      <c r="F1694" t="str">
        <f ca="1"/>
        <v/>
      </c>
      <c r="G1694" t="str">
        <f ca="1"/>
        <v/>
      </c>
      <c r="H1694" s="17" t="str">
        <f ca="1"/>
        <v/>
      </c>
    </row>
    <row r="1695" spans="2:8" x14ac:dyDescent="0.35">
      <c r="B1695" t="str">
        <f ca="1"/>
        <v/>
      </c>
      <c r="C1695" t="str">
        <f ca="1"/>
        <v/>
      </c>
      <c r="D1695" t="str">
        <f ca="1"/>
        <v/>
      </c>
      <c r="E1695" t="str">
        <f ca="1"/>
        <v/>
      </c>
      <c r="F1695" t="str">
        <f ca="1"/>
        <v/>
      </c>
      <c r="G1695" t="str">
        <f ca="1"/>
        <v/>
      </c>
      <c r="H1695" s="17" t="str">
        <f ca="1"/>
        <v/>
      </c>
    </row>
    <row r="1696" spans="2:8" x14ac:dyDescent="0.35">
      <c r="B1696" t="str">
        <f ca="1"/>
        <v/>
      </c>
      <c r="C1696" t="str">
        <f ca="1"/>
        <v/>
      </c>
      <c r="D1696" t="str">
        <f ca="1"/>
        <v/>
      </c>
      <c r="E1696" t="str">
        <f ca="1"/>
        <v/>
      </c>
      <c r="F1696" t="str">
        <f ca="1"/>
        <v/>
      </c>
      <c r="G1696" t="str">
        <f ca="1"/>
        <v/>
      </c>
      <c r="H1696" s="17" t="str">
        <f ca="1"/>
        <v/>
      </c>
    </row>
    <row r="1697" spans="2:8" x14ac:dyDescent="0.35">
      <c r="B1697" t="str">
        <f ca="1"/>
        <v/>
      </c>
      <c r="C1697" t="str">
        <f ca="1"/>
        <v/>
      </c>
      <c r="D1697" t="str">
        <f ca="1"/>
        <v/>
      </c>
      <c r="E1697" t="str">
        <f ca="1"/>
        <v/>
      </c>
      <c r="F1697" t="str">
        <f ca="1"/>
        <v/>
      </c>
      <c r="G1697" t="str">
        <f ca="1"/>
        <v/>
      </c>
      <c r="H1697" s="17" t="str">
        <f ca="1"/>
        <v/>
      </c>
    </row>
    <row r="1698" spans="2:8" x14ac:dyDescent="0.35">
      <c r="B1698" t="str">
        <f ca="1"/>
        <v/>
      </c>
      <c r="C1698" t="str">
        <f ca="1"/>
        <v/>
      </c>
      <c r="D1698" t="str">
        <f ca="1"/>
        <v/>
      </c>
      <c r="E1698" t="str">
        <f ca="1"/>
        <v/>
      </c>
      <c r="F1698" t="str">
        <f ca="1"/>
        <v/>
      </c>
      <c r="G1698" t="str">
        <f ca="1"/>
        <v/>
      </c>
      <c r="H1698" s="17" t="str">
        <f ca="1"/>
        <v/>
      </c>
    </row>
    <row r="1699" spans="2:8" x14ac:dyDescent="0.35">
      <c r="B1699" t="str">
        <f ca="1"/>
        <v/>
      </c>
      <c r="C1699" t="str">
        <f ca="1"/>
        <v/>
      </c>
      <c r="D1699" t="str">
        <f ca="1"/>
        <v/>
      </c>
      <c r="E1699" t="str">
        <f ca="1"/>
        <v/>
      </c>
      <c r="F1699" t="str">
        <f ca="1"/>
        <v/>
      </c>
      <c r="G1699" t="str">
        <f ca="1"/>
        <v/>
      </c>
      <c r="H1699" s="17" t="str">
        <f ca="1"/>
        <v/>
      </c>
    </row>
    <row r="1700" spans="2:8" x14ac:dyDescent="0.35">
      <c r="B1700" t="str">
        <f ca="1"/>
        <v/>
      </c>
      <c r="C1700" t="str">
        <f ca="1"/>
        <v/>
      </c>
      <c r="D1700" t="str">
        <f ca="1"/>
        <v/>
      </c>
      <c r="E1700" t="str">
        <f ca="1"/>
        <v/>
      </c>
      <c r="F1700" t="str">
        <f ca="1"/>
        <v/>
      </c>
      <c r="G1700" t="str">
        <f ca="1"/>
        <v/>
      </c>
      <c r="H1700" s="17" t="str">
        <f ca="1"/>
        <v/>
      </c>
    </row>
    <row r="1701" spans="2:8" x14ac:dyDescent="0.35">
      <c r="B1701" t="str">
        <f ca="1"/>
        <v/>
      </c>
      <c r="C1701" t="str">
        <f ca="1"/>
        <v/>
      </c>
      <c r="D1701" t="str">
        <f ca="1"/>
        <v/>
      </c>
      <c r="E1701" t="str">
        <f ca="1"/>
        <v/>
      </c>
      <c r="F1701" t="str">
        <f ca="1"/>
        <v/>
      </c>
      <c r="G1701" t="str">
        <f ca="1"/>
        <v/>
      </c>
      <c r="H1701" s="17" t="str">
        <f ca="1"/>
        <v/>
      </c>
    </row>
    <row r="1702" spans="2:8" x14ac:dyDescent="0.35">
      <c r="B1702" t="str">
        <f ca="1"/>
        <v/>
      </c>
      <c r="C1702" t="str">
        <f ca="1"/>
        <v/>
      </c>
      <c r="D1702" t="str">
        <f ca="1"/>
        <v/>
      </c>
      <c r="E1702" t="str">
        <f ca="1"/>
        <v/>
      </c>
      <c r="F1702" t="str">
        <f ca="1"/>
        <v/>
      </c>
      <c r="G1702" t="str">
        <f ca="1"/>
        <v/>
      </c>
      <c r="H1702" s="17" t="str">
        <f ca="1"/>
        <v/>
      </c>
    </row>
    <row r="1703" spans="2:8" x14ac:dyDescent="0.35">
      <c r="B1703" t="str">
        <f ca="1"/>
        <v/>
      </c>
      <c r="C1703" t="str">
        <f ca="1"/>
        <v/>
      </c>
      <c r="D1703" t="str">
        <f ca="1"/>
        <v/>
      </c>
      <c r="E1703" t="str">
        <f ca="1"/>
        <v/>
      </c>
      <c r="F1703" t="str">
        <f ca="1"/>
        <v/>
      </c>
      <c r="G1703" t="str">
        <f ca="1"/>
        <v/>
      </c>
      <c r="H1703" s="17" t="str">
        <f ca="1"/>
        <v/>
      </c>
    </row>
    <row r="1704" spans="2:8" x14ac:dyDescent="0.35">
      <c r="B1704" t="str">
        <f ca="1"/>
        <v/>
      </c>
      <c r="C1704" t="str">
        <f ca="1"/>
        <v/>
      </c>
      <c r="D1704" t="str">
        <f ca="1"/>
        <v/>
      </c>
      <c r="E1704" t="str">
        <f ca="1"/>
        <v/>
      </c>
      <c r="F1704" t="str">
        <f ca="1"/>
        <v/>
      </c>
      <c r="G1704" t="str">
        <f ca="1"/>
        <v/>
      </c>
      <c r="H1704" s="17" t="str">
        <f ca="1"/>
        <v/>
      </c>
    </row>
    <row r="1705" spans="2:8" x14ac:dyDescent="0.35">
      <c r="B1705" t="str">
        <f ca="1"/>
        <v/>
      </c>
      <c r="C1705" t="str">
        <f ca="1"/>
        <v/>
      </c>
      <c r="D1705" t="str">
        <f ca="1"/>
        <v/>
      </c>
      <c r="E1705" t="str">
        <f ca="1"/>
        <v/>
      </c>
      <c r="F1705" t="str">
        <f ca="1"/>
        <v/>
      </c>
      <c r="G1705" t="str">
        <f ca="1"/>
        <v/>
      </c>
      <c r="H1705" s="17" t="str">
        <f ca="1"/>
        <v/>
      </c>
    </row>
    <row r="1706" spans="2:8" x14ac:dyDescent="0.35">
      <c r="B1706" t="str">
        <f ca="1"/>
        <v/>
      </c>
      <c r="C1706" t="str">
        <f ca="1"/>
        <v/>
      </c>
      <c r="D1706" t="str">
        <f ca="1"/>
        <v/>
      </c>
      <c r="E1706" t="str">
        <f ca="1"/>
        <v/>
      </c>
      <c r="F1706" t="str">
        <f ca="1"/>
        <v/>
      </c>
      <c r="G1706" t="str">
        <f ca="1"/>
        <v/>
      </c>
      <c r="H1706" s="17" t="str">
        <f ca="1"/>
        <v/>
      </c>
    </row>
    <row r="1707" spans="2:8" x14ac:dyDescent="0.35">
      <c r="B1707" t="str">
        <f ca="1"/>
        <v/>
      </c>
      <c r="C1707" t="str">
        <f ca="1"/>
        <v/>
      </c>
      <c r="D1707" t="str">
        <f ca="1"/>
        <v/>
      </c>
      <c r="E1707" t="str">
        <f ca="1"/>
        <v/>
      </c>
      <c r="F1707" t="str">
        <f ca="1"/>
        <v/>
      </c>
      <c r="G1707" t="str">
        <f ca="1"/>
        <v/>
      </c>
      <c r="H1707" s="17" t="str">
        <f ca="1"/>
        <v/>
      </c>
    </row>
    <row r="1708" spans="2:8" x14ac:dyDescent="0.35">
      <c r="B1708" t="str">
        <f ca="1"/>
        <v/>
      </c>
      <c r="C1708" t="str">
        <f ca="1"/>
        <v/>
      </c>
      <c r="D1708" t="str">
        <f ca="1"/>
        <v/>
      </c>
      <c r="E1708" t="str">
        <f ca="1"/>
        <v/>
      </c>
      <c r="F1708" t="str">
        <f ca="1"/>
        <v/>
      </c>
      <c r="G1708" t="str">
        <f ca="1"/>
        <v/>
      </c>
      <c r="H1708" s="17" t="str">
        <f ca="1"/>
        <v/>
      </c>
    </row>
    <row r="1709" spans="2:8" x14ac:dyDescent="0.35">
      <c r="B1709" t="str">
        <f ca="1"/>
        <v/>
      </c>
      <c r="C1709" t="str">
        <f ca="1"/>
        <v/>
      </c>
      <c r="D1709" t="str">
        <f ca="1"/>
        <v/>
      </c>
      <c r="E1709" t="str">
        <f ca="1"/>
        <v/>
      </c>
      <c r="F1709" t="str">
        <f ca="1"/>
        <v/>
      </c>
      <c r="G1709" t="str">
        <f ca="1"/>
        <v/>
      </c>
      <c r="H1709" s="17" t="str">
        <f ca="1"/>
        <v/>
      </c>
    </row>
    <row r="1710" spans="2:8" x14ac:dyDescent="0.35">
      <c r="B1710" t="str">
        <f ca="1"/>
        <v/>
      </c>
      <c r="C1710" t="str">
        <f ca="1"/>
        <v/>
      </c>
      <c r="D1710" t="str">
        <f ca="1"/>
        <v/>
      </c>
      <c r="E1710" t="str">
        <f ca="1"/>
        <v/>
      </c>
      <c r="F1710" t="str">
        <f ca="1"/>
        <v/>
      </c>
      <c r="G1710" t="str">
        <f ca="1"/>
        <v/>
      </c>
      <c r="H1710" s="17" t="str">
        <f ca="1"/>
        <v/>
      </c>
    </row>
    <row r="1711" spans="2:8" x14ac:dyDescent="0.35">
      <c r="B1711" t="str">
        <f ca="1"/>
        <v/>
      </c>
      <c r="C1711" t="str">
        <f ca="1"/>
        <v/>
      </c>
      <c r="D1711" t="str">
        <f ca="1"/>
        <v/>
      </c>
      <c r="E1711" t="str">
        <f ca="1"/>
        <v/>
      </c>
      <c r="F1711" t="str">
        <f ca="1"/>
        <v/>
      </c>
      <c r="G1711" t="str">
        <f ca="1"/>
        <v/>
      </c>
      <c r="H1711" s="17" t="str">
        <f ca="1"/>
        <v/>
      </c>
    </row>
    <row r="1712" spans="2:8" x14ac:dyDescent="0.35">
      <c r="B1712" t="str">
        <f ca="1"/>
        <v/>
      </c>
      <c r="C1712" t="str">
        <f ca="1"/>
        <v/>
      </c>
      <c r="D1712" t="str">
        <f ca="1"/>
        <v/>
      </c>
      <c r="E1712" t="str">
        <f ca="1"/>
        <v/>
      </c>
      <c r="F1712" t="str">
        <f ca="1"/>
        <v/>
      </c>
      <c r="G1712" t="str">
        <f ca="1"/>
        <v/>
      </c>
      <c r="H1712" s="17" t="str">
        <f ca="1"/>
        <v/>
      </c>
    </row>
    <row r="1713" spans="2:8" x14ac:dyDescent="0.35">
      <c r="B1713" t="str">
        <f ca="1"/>
        <v/>
      </c>
      <c r="C1713" t="str">
        <f ca="1"/>
        <v/>
      </c>
      <c r="D1713" t="str">
        <f ca="1"/>
        <v/>
      </c>
      <c r="E1713" t="str">
        <f ca="1"/>
        <v/>
      </c>
      <c r="F1713" t="str">
        <f ca="1"/>
        <v/>
      </c>
      <c r="G1713" t="str">
        <f ca="1"/>
        <v/>
      </c>
      <c r="H1713" s="17" t="str">
        <f ca="1"/>
        <v/>
      </c>
    </row>
    <row r="1714" spans="2:8" x14ac:dyDescent="0.35">
      <c r="B1714" t="str">
        <f ca="1"/>
        <v/>
      </c>
      <c r="C1714" t="str">
        <f ca="1"/>
        <v/>
      </c>
      <c r="D1714" t="str">
        <f ca="1"/>
        <v/>
      </c>
      <c r="E1714" t="str">
        <f ca="1"/>
        <v/>
      </c>
      <c r="F1714" t="str">
        <f ca="1"/>
        <v/>
      </c>
      <c r="G1714" t="str">
        <f ca="1"/>
        <v/>
      </c>
      <c r="H1714" s="17" t="str">
        <f ca="1"/>
        <v/>
      </c>
    </row>
    <row r="1715" spans="2:8" x14ac:dyDescent="0.35">
      <c r="B1715" t="str">
        <f ca="1"/>
        <v/>
      </c>
      <c r="C1715" t="str">
        <f ca="1"/>
        <v/>
      </c>
      <c r="D1715" t="str">
        <f ca="1"/>
        <v/>
      </c>
      <c r="E1715" t="str">
        <f ca="1"/>
        <v/>
      </c>
      <c r="F1715" t="str">
        <f ca="1"/>
        <v/>
      </c>
      <c r="G1715" t="str">
        <f ca="1"/>
        <v/>
      </c>
      <c r="H1715" s="17" t="str">
        <f ca="1"/>
        <v/>
      </c>
    </row>
    <row r="1716" spans="2:8" x14ac:dyDescent="0.35">
      <c r="B1716" t="str">
        <f ca="1"/>
        <v/>
      </c>
      <c r="C1716" t="str">
        <f ca="1"/>
        <v/>
      </c>
      <c r="D1716" t="str">
        <f ca="1"/>
        <v/>
      </c>
      <c r="E1716" t="str">
        <f ca="1"/>
        <v/>
      </c>
      <c r="F1716" t="str">
        <f ca="1"/>
        <v/>
      </c>
      <c r="G1716" t="str">
        <f ca="1"/>
        <v/>
      </c>
      <c r="H1716" s="17" t="str">
        <f ca="1"/>
        <v/>
      </c>
    </row>
    <row r="1717" spans="2:8" x14ac:dyDescent="0.35">
      <c r="B1717" t="str">
        <f ca="1"/>
        <v/>
      </c>
      <c r="C1717" t="str">
        <f ca="1"/>
        <v/>
      </c>
      <c r="D1717" t="str">
        <f ca="1"/>
        <v/>
      </c>
      <c r="E1717" t="str">
        <f ca="1"/>
        <v/>
      </c>
      <c r="F1717" t="str">
        <f ca="1"/>
        <v/>
      </c>
      <c r="G1717" t="str">
        <f ca="1"/>
        <v/>
      </c>
      <c r="H1717" s="17" t="str">
        <f ca="1"/>
        <v/>
      </c>
    </row>
    <row r="1718" spans="2:8" x14ac:dyDescent="0.35">
      <c r="B1718" t="str">
        <f ca="1"/>
        <v/>
      </c>
      <c r="C1718" t="str">
        <f ca="1"/>
        <v/>
      </c>
      <c r="D1718" t="str">
        <f ca="1"/>
        <v/>
      </c>
      <c r="E1718" t="str">
        <f ca="1"/>
        <v/>
      </c>
      <c r="F1718" t="str">
        <f ca="1"/>
        <v/>
      </c>
      <c r="G1718" t="str">
        <f ca="1"/>
        <v/>
      </c>
      <c r="H1718" s="17" t="str">
        <f ca="1"/>
        <v/>
      </c>
    </row>
    <row r="1719" spans="2:8" x14ac:dyDescent="0.35">
      <c r="B1719" t="str">
        <f ca="1"/>
        <v/>
      </c>
      <c r="C1719" t="str">
        <f ca="1"/>
        <v/>
      </c>
      <c r="D1719" t="str">
        <f ca="1"/>
        <v/>
      </c>
      <c r="E1719" t="str">
        <f ca="1"/>
        <v/>
      </c>
      <c r="F1719" t="str">
        <f ca="1"/>
        <v/>
      </c>
      <c r="G1719" t="str">
        <f ca="1"/>
        <v/>
      </c>
      <c r="H1719" s="17" t="str">
        <f ca="1"/>
        <v/>
      </c>
    </row>
    <row r="1720" spans="2:8" x14ac:dyDescent="0.35">
      <c r="B1720" t="str">
        <f ca="1"/>
        <v/>
      </c>
      <c r="C1720" t="str">
        <f ca="1"/>
        <v/>
      </c>
      <c r="D1720" t="str">
        <f ca="1"/>
        <v/>
      </c>
      <c r="E1720" t="str">
        <f ca="1"/>
        <v/>
      </c>
      <c r="F1720" t="str">
        <f ca="1"/>
        <v/>
      </c>
      <c r="G1720" t="str">
        <f ca="1"/>
        <v/>
      </c>
      <c r="H1720" s="17" t="str">
        <f ca="1"/>
        <v/>
      </c>
    </row>
    <row r="1721" spans="2:8" x14ac:dyDescent="0.35">
      <c r="B1721" t="str">
        <f ca="1"/>
        <v/>
      </c>
      <c r="C1721" t="str">
        <f ca="1"/>
        <v/>
      </c>
      <c r="D1721" t="str">
        <f ca="1"/>
        <v/>
      </c>
      <c r="E1721" t="str">
        <f ca="1"/>
        <v/>
      </c>
      <c r="F1721" t="str">
        <f ca="1"/>
        <v/>
      </c>
      <c r="G1721" t="str">
        <f ca="1"/>
        <v/>
      </c>
      <c r="H1721" s="17" t="str">
        <f ca="1"/>
        <v/>
      </c>
    </row>
    <row r="1722" spans="2:8" x14ac:dyDescent="0.35">
      <c r="B1722" t="str">
        <f ca="1"/>
        <v/>
      </c>
      <c r="C1722" t="str">
        <f ca="1"/>
        <v/>
      </c>
      <c r="D1722" t="str">
        <f ca="1"/>
        <v/>
      </c>
      <c r="E1722" t="str">
        <f ca="1"/>
        <v/>
      </c>
      <c r="F1722" t="str">
        <f ca="1"/>
        <v/>
      </c>
      <c r="G1722" t="str">
        <f ca="1"/>
        <v/>
      </c>
      <c r="H1722" s="17" t="str">
        <f ca="1"/>
        <v/>
      </c>
    </row>
    <row r="1723" spans="2:8" x14ac:dyDescent="0.35">
      <c r="B1723" t="str">
        <f ca="1"/>
        <v/>
      </c>
      <c r="C1723" t="str">
        <f ca="1"/>
        <v/>
      </c>
      <c r="D1723" t="str">
        <f ca="1"/>
        <v/>
      </c>
      <c r="E1723" t="str">
        <f ca="1"/>
        <v/>
      </c>
      <c r="F1723" t="str">
        <f ca="1"/>
        <v/>
      </c>
      <c r="G1723" t="str">
        <f ca="1"/>
        <v/>
      </c>
      <c r="H1723" s="17" t="str">
        <f ca="1"/>
        <v/>
      </c>
    </row>
    <row r="1724" spans="2:8" x14ac:dyDescent="0.35">
      <c r="B1724" t="str">
        <f ca="1"/>
        <v/>
      </c>
      <c r="C1724" t="str">
        <f ca="1"/>
        <v/>
      </c>
      <c r="D1724" t="str">
        <f ca="1"/>
        <v/>
      </c>
      <c r="E1724" t="str">
        <f ca="1"/>
        <v/>
      </c>
      <c r="F1724" t="str">
        <f ca="1"/>
        <v/>
      </c>
      <c r="G1724" t="str">
        <f ca="1"/>
        <v/>
      </c>
      <c r="H1724" s="17" t="str">
        <f ca="1"/>
        <v/>
      </c>
    </row>
    <row r="1725" spans="2:8" x14ac:dyDescent="0.35">
      <c r="B1725" t="str">
        <f ca="1"/>
        <v/>
      </c>
      <c r="C1725" t="str">
        <f ca="1"/>
        <v/>
      </c>
      <c r="D1725" t="str">
        <f ca="1"/>
        <v/>
      </c>
      <c r="E1725" t="str">
        <f ca="1"/>
        <v/>
      </c>
      <c r="F1725" t="str">
        <f ca="1"/>
        <v/>
      </c>
      <c r="G1725" t="str">
        <f ca="1"/>
        <v/>
      </c>
      <c r="H1725" s="17" t="str">
        <f ca="1"/>
        <v/>
      </c>
    </row>
    <row r="1726" spans="2:8" x14ac:dyDescent="0.35">
      <c r="B1726" t="str">
        <f ca="1"/>
        <v/>
      </c>
      <c r="C1726" t="str">
        <f ca="1"/>
        <v/>
      </c>
      <c r="D1726" t="str">
        <f ca="1"/>
        <v/>
      </c>
      <c r="E1726" t="str">
        <f ca="1"/>
        <v/>
      </c>
      <c r="F1726" t="str">
        <f ca="1"/>
        <v/>
      </c>
      <c r="G1726" t="str">
        <f ca="1"/>
        <v/>
      </c>
      <c r="H1726" s="17" t="str">
        <f ca="1"/>
        <v/>
      </c>
    </row>
    <row r="1727" spans="2:8" x14ac:dyDescent="0.35">
      <c r="B1727" t="str">
        <f ca="1"/>
        <v/>
      </c>
      <c r="C1727" t="str">
        <f ca="1"/>
        <v/>
      </c>
      <c r="D1727" t="str">
        <f ca="1"/>
        <v/>
      </c>
      <c r="E1727" t="str">
        <f ca="1"/>
        <v/>
      </c>
      <c r="F1727" t="str">
        <f ca="1"/>
        <v/>
      </c>
      <c r="G1727" t="str">
        <f ca="1"/>
        <v/>
      </c>
      <c r="H1727" s="17" t="str">
        <f ca="1"/>
        <v/>
      </c>
    </row>
    <row r="1728" spans="2:8" x14ac:dyDescent="0.35">
      <c r="B1728" t="str">
        <f ca="1"/>
        <v/>
      </c>
      <c r="C1728" t="str">
        <f ca="1"/>
        <v/>
      </c>
      <c r="D1728" t="str">
        <f ca="1"/>
        <v/>
      </c>
      <c r="E1728" t="str">
        <f ca="1"/>
        <v/>
      </c>
      <c r="F1728" t="str">
        <f ca="1"/>
        <v/>
      </c>
      <c r="G1728" t="str">
        <f ca="1"/>
        <v/>
      </c>
      <c r="H1728" s="17" t="str">
        <f ca="1"/>
        <v/>
      </c>
    </row>
    <row r="1729" spans="2:8" x14ac:dyDescent="0.35">
      <c r="B1729" t="str">
        <f ca="1"/>
        <v/>
      </c>
      <c r="C1729" t="str">
        <f ca="1"/>
        <v/>
      </c>
      <c r="D1729" t="str">
        <f ca="1"/>
        <v/>
      </c>
      <c r="E1729" t="str">
        <f ca="1"/>
        <v/>
      </c>
      <c r="F1729" t="str">
        <f ca="1"/>
        <v/>
      </c>
      <c r="G1729" t="str">
        <f ca="1"/>
        <v/>
      </c>
      <c r="H1729" s="17" t="str">
        <f ca="1"/>
        <v/>
      </c>
    </row>
    <row r="1730" spans="2:8" x14ac:dyDescent="0.35">
      <c r="B1730" t="str">
        <f ca="1"/>
        <v/>
      </c>
      <c r="C1730" t="str">
        <f ca="1"/>
        <v/>
      </c>
      <c r="D1730" t="str">
        <f ca="1"/>
        <v/>
      </c>
      <c r="E1730" t="str">
        <f ca="1"/>
        <v/>
      </c>
      <c r="F1730" t="str">
        <f ca="1"/>
        <v/>
      </c>
      <c r="G1730" t="str">
        <f ca="1"/>
        <v/>
      </c>
      <c r="H1730" s="17" t="str">
        <f ca="1"/>
        <v/>
      </c>
    </row>
    <row r="1731" spans="2:8" x14ac:dyDescent="0.35">
      <c r="B1731" t="str">
        <f ca="1"/>
        <v/>
      </c>
      <c r="C1731" t="str">
        <f ca="1"/>
        <v/>
      </c>
      <c r="D1731" t="str">
        <f ca="1"/>
        <v/>
      </c>
      <c r="E1731" t="str">
        <f ca="1"/>
        <v/>
      </c>
      <c r="F1731" t="str">
        <f ca="1"/>
        <v/>
      </c>
      <c r="G1731" t="str">
        <f ca="1"/>
        <v/>
      </c>
      <c r="H1731" s="17" t="str">
        <f ca="1"/>
        <v/>
      </c>
    </row>
    <row r="1732" spans="2:8" x14ac:dyDescent="0.35">
      <c r="B1732" t="str">
        <f ca="1"/>
        <v/>
      </c>
      <c r="C1732" t="str">
        <f ca="1"/>
        <v/>
      </c>
      <c r="D1732" t="str">
        <f ca="1"/>
        <v/>
      </c>
      <c r="E1732" t="str">
        <f ca="1"/>
        <v/>
      </c>
      <c r="F1732" t="str">
        <f ca="1"/>
        <v/>
      </c>
      <c r="G1732" t="str">
        <f ca="1"/>
        <v/>
      </c>
      <c r="H1732" s="17" t="str">
        <f ca="1"/>
        <v/>
      </c>
    </row>
    <row r="1733" spans="2:8" x14ac:dyDescent="0.35">
      <c r="B1733" t="str">
        <f ca="1"/>
        <v/>
      </c>
      <c r="C1733" t="str">
        <f ca="1"/>
        <v/>
      </c>
      <c r="D1733" t="str">
        <f ca="1"/>
        <v/>
      </c>
      <c r="E1733" t="str">
        <f ca="1"/>
        <v/>
      </c>
      <c r="F1733" t="str">
        <f ca="1"/>
        <v/>
      </c>
      <c r="G1733" t="str">
        <f ca="1"/>
        <v/>
      </c>
      <c r="H1733" s="17" t="str">
        <f ca="1"/>
        <v/>
      </c>
    </row>
    <row r="1734" spans="2:8" x14ac:dyDescent="0.35">
      <c r="B1734" t="str">
        <f ca="1"/>
        <v/>
      </c>
      <c r="C1734" t="str">
        <f ca="1"/>
        <v/>
      </c>
      <c r="D1734" t="str">
        <f ca="1"/>
        <v/>
      </c>
      <c r="E1734" t="str">
        <f ca="1"/>
        <v/>
      </c>
      <c r="F1734" t="str">
        <f ca="1"/>
        <v/>
      </c>
      <c r="G1734" t="str">
        <f ca="1"/>
        <v/>
      </c>
      <c r="H1734" s="17" t="str">
        <f ca="1"/>
        <v/>
      </c>
    </row>
    <row r="1735" spans="2:8" x14ac:dyDescent="0.35">
      <c r="B1735" t="str">
        <f ca="1"/>
        <v/>
      </c>
      <c r="C1735" t="str">
        <f ca="1"/>
        <v/>
      </c>
      <c r="D1735" t="str">
        <f ca="1"/>
        <v/>
      </c>
      <c r="E1735" t="str">
        <f ca="1"/>
        <v/>
      </c>
      <c r="F1735" t="str">
        <f ca="1"/>
        <v/>
      </c>
      <c r="G1735" t="str">
        <f ca="1"/>
        <v/>
      </c>
      <c r="H1735" s="17" t="str">
        <f ca="1"/>
        <v/>
      </c>
    </row>
    <row r="1736" spans="2:8" x14ac:dyDescent="0.35">
      <c r="B1736" t="str">
        <f ca="1"/>
        <v/>
      </c>
      <c r="C1736" t="str">
        <f ca="1"/>
        <v/>
      </c>
      <c r="D1736" t="str">
        <f ca="1"/>
        <v/>
      </c>
      <c r="E1736" t="str">
        <f ca="1"/>
        <v/>
      </c>
      <c r="F1736" t="str">
        <f ca="1"/>
        <v/>
      </c>
      <c r="G1736" t="str">
        <f ca="1"/>
        <v/>
      </c>
      <c r="H1736" s="17" t="str">
        <f ca="1"/>
        <v/>
      </c>
    </row>
    <row r="1737" spans="2:8" x14ac:dyDescent="0.35">
      <c r="B1737" t="str">
        <f ca="1"/>
        <v/>
      </c>
      <c r="C1737" t="str">
        <f ca="1"/>
        <v/>
      </c>
      <c r="D1737" t="str">
        <f ca="1"/>
        <v/>
      </c>
      <c r="E1737" t="str">
        <f ca="1"/>
        <v/>
      </c>
      <c r="F1737" t="str">
        <f ca="1"/>
        <v/>
      </c>
      <c r="G1737" t="str">
        <f ca="1"/>
        <v/>
      </c>
      <c r="H1737" s="17" t="str">
        <f ca="1"/>
        <v/>
      </c>
    </row>
    <row r="1738" spans="2:8" x14ac:dyDescent="0.35">
      <c r="B1738" t="str">
        <f ca="1"/>
        <v/>
      </c>
      <c r="C1738" t="str">
        <f ca="1"/>
        <v/>
      </c>
      <c r="D1738" t="str">
        <f ca="1"/>
        <v/>
      </c>
      <c r="E1738" t="str">
        <f ca="1"/>
        <v/>
      </c>
      <c r="F1738" t="str">
        <f ca="1"/>
        <v/>
      </c>
      <c r="G1738" t="str">
        <f ca="1"/>
        <v/>
      </c>
      <c r="H1738" s="17" t="str">
        <f ca="1"/>
        <v/>
      </c>
    </row>
    <row r="1739" spans="2:8" x14ac:dyDescent="0.35">
      <c r="B1739" t="str">
        <f ca="1"/>
        <v/>
      </c>
      <c r="C1739" t="str">
        <f ca="1"/>
        <v/>
      </c>
      <c r="D1739" t="str">
        <f ca="1"/>
        <v/>
      </c>
      <c r="E1739" t="str">
        <f ca="1"/>
        <v/>
      </c>
      <c r="F1739" t="str">
        <f ca="1"/>
        <v/>
      </c>
      <c r="G1739" t="str">
        <f ca="1"/>
        <v/>
      </c>
      <c r="H1739" s="17" t="str">
        <f ca="1"/>
        <v/>
      </c>
    </row>
    <row r="1740" spans="2:8" x14ac:dyDescent="0.35">
      <c r="B1740" t="str">
        <f ca="1"/>
        <v/>
      </c>
      <c r="C1740" t="str">
        <f ca="1"/>
        <v/>
      </c>
      <c r="D1740" t="str">
        <f ca="1"/>
        <v/>
      </c>
      <c r="E1740" t="str">
        <f ca="1"/>
        <v/>
      </c>
      <c r="F1740" t="str">
        <f ca="1"/>
        <v/>
      </c>
      <c r="G1740" t="str">
        <f ca="1"/>
        <v/>
      </c>
      <c r="H1740" s="17" t="str">
        <f ca="1"/>
        <v/>
      </c>
    </row>
    <row r="1741" spans="2:8" x14ac:dyDescent="0.35">
      <c r="B1741" t="str">
        <f ca="1"/>
        <v/>
      </c>
      <c r="C1741" t="str">
        <f ca="1"/>
        <v/>
      </c>
      <c r="D1741" t="str">
        <f ca="1"/>
        <v/>
      </c>
      <c r="E1741" t="str">
        <f ca="1"/>
        <v/>
      </c>
      <c r="F1741" t="str">
        <f ca="1"/>
        <v/>
      </c>
      <c r="G1741" t="str">
        <f ca="1"/>
        <v/>
      </c>
      <c r="H1741" s="17" t="str">
        <f ca="1"/>
        <v/>
      </c>
    </row>
    <row r="1742" spans="2:8" x14ac:dyDescent="0.35">
      <c r="B1742" t="str">
        <f ca="1"/>
        <v/>
      </c>
      <c r="C1742" t="str">
        <f ca="1"/>
        <v/>
      </c>
      <c r="D1742" t="str">
        <f ca="1"/>
        <v/>
      </c>
      <c r="E1742" t="str">
        <f ca="1"/>
        <v/>
      </c>
      <c r="F1742" t="str">
        <f ca="1"/>
        <v/>
      </c>
      <c r="G1742" t="str">
        <f ca="1"/>
        <v/>
      </c>
      <c r="H1742" s="17" t="str">
        <f ca="1"/>
        <v/>
      </c>
    </row>
    <row r="1743" spans="2:8" x14ac:dyDescent="0.35">
      <c r="B1743" t="str">
        <f ca="1"/>
        <v/>
      </c>
      <c r="C1743" t="str">
        <f ca="1"/>
        <v/>
      </c>
      <c r="D1743" t="str">
        <f ca="1"/>
        <v/>
      </c>
      <c r="E1743" t="str">
        <f ca="1"/>
        <v/>
      </c>
      <c r="F1743" t="str">
        <f ca="1"/>
        <v/>
      </c>
      <c r="G1743" t="str">
        <f ca="1"/>
        <v/>
      </c>
      <c r="H1743" s="17" t="str">
        <f ca="1"/>
        <v/>
      </c>
    </row>
    <row r="1744" spans="2:8" x14ac:dyDescent="0.35">
      <c r="B1744" t="str">
        <f ca="1"/>
        <v/>
      </c>
      <c r="C1744" t="str">
        <f ca="1"/>
        <v/>
      </c>
      <c r="D1744" t="str">
        <f ca="1"/>
        <v/>
      </c>
      <c r="E1744" t="str">
        <f ca="1"/>
        <v/>
      </c>
      <c r="F1744" t="str">
        <f ca="1"/>
        <v/>
      </c>
      <c r="G1744" t="str">
        <f ca="1"/>
        <v/>
      </c>
      <c r="H1744" s="17" t="str">
        <f ca="1"/>
        <v/>
      </c>
    </row>
    <row r="1745" spans="2:8" x14ac:dyDescent="0.35">
      <c r="B1745" t="str">
        <f ca="1"/>
        <v/>
      </c>
      <c r="C1745" t="str">
        <f ca="1"/>
        <v/>
      </c>
      <c r="D1745" t="str">
        <f ca="1"/>
        <v/>
      </c>
      <c r="E1745" t="str">
        <f ca="1"/>
        <v/>
      </c>
      <c r="F1745" t="str">
        <f ca="1"/>
        <v/>
      </c>
      <c r="G1745" t="str">
        <f ca="1"/>
        <v/>
      </c>
      <c r="H1745" s="17" t="str">
        <f ca="1"/>
        <v/>
      </c>
    </row>
    <row r="1746" spans="2:8" x14ac:dyDescent="0.35">
      <c r="B1746" t="str">
        <f ca="1"/>
        <v/>
      </c>
      <c r="C1746" t="str">
        <f ca="1"/>
        <v/>
      </c>
      <c r="D1746" t="str">
        <f ca="1"/>
        <v/>
      </c>
      <c r="E1746" t="str">
        <f ca="1"/>
        <v/>
      </c>
      <c r="F1746" t="str">
        <f ca="1"/>
        <v/>
      </c>
      <c r="G1746" t="str">
        <f ca="1"/>
        <v/>
      </c>
      <c r="H1746" s="17" t="str">
        <f ca="1"/>
        <v/>
      </c>
    </row>
    <row r="1747" spans="2:8" x14ac:dyDescent="0.35">
      <c r="B1747" t="str">
        <f ca="1"/>
        <v/>
      </c>
      <c r="C1747" t="str">
        <f ca="1"/>
        <v/>
      </c>
      <c r="D1747" t="str">
        <f ca="1"/>
        <v/>
      </c>
      <c r="E1747" t="str">
        <f ca="1"/>
        <v/>
      </c>
      <c r="F1747" t="str">
        <f ca="1"/>
        <v/>
      </c>
      <c r="G1747" t="str">
        <f ca="1"/>
        <v/>
      </c>
      <c r="H1747" s="17" t="str">
        <f ca="1"/>
        <v/>
      </c>
    </row>
    <row r="1748" spans="2:8" x14ac:dyDescent="0.35">
      <c r="B1748" t="str">
        <f ca="1"/>
        <v/>
      </c>
      <c r="C1748" t="str">
        <f ca="1"/>
        <v/>
      </c>
      <c r="D1748" t="str">
        <f ca="1"/>
        <v/>
      </c>
      <c r="E1748" t="str">
        <f ca="1"/>
        <v/>
      </c>
      <c r="F1748" t="str">
        <f ca="1"/>
        <v/>
      </c>
      <c r="G1748" t="str">
        <f ca="1"/>
        <v/>
      </c>
      <c r="H1748" s="17" t="str">
        <f ca="1"/>
        <v/>
      </c>
    </row>
    <row r="1749" spans="2:8" x14ac:dyDescent="0.35">
      <c r="B1749" t="str">
        <f ca="1"/>
        <v/>
      </c>
      <c r="C1749" t="str">
        <f ca="1"/>
        <v/>
      </c>
      <c r="D1749" t="str">
        <f ca="1"/>
        <v/>
      </c>
      <c r="E1749" t="str">
        <f ca="1"/>
        <v/>
      </c>
      <c r="F1749" t="str">
        <f ca="1"/>
        <v/>
      </c>
      <c r="G1749" t="str">
        <f ca="1"/>
        <v/>
      </c>
      <c r="H1749" s="17" t="str">
        <f ca="1"/>
        <v/>
      </c>
    </row>
    <row r="1750" spans="2:8" x14ac:dyDescent="0.35">
      <c r="B1750" t="str">
        <f ca="1"/>
        <v/>
      </c>
      <c r="C1750" t="str">
        <f ca="1"/>
        <v/>
      </c>
      <c r="D1750" t="str">
        <f ca="1"/>
        <v/>
      </c>
      <c r="E1750" t="str">
        <f ca="1"/>
        <v/>
      </c>
      <c r="F1750" t="str">
        <f ca="1"/>
        <v/>
      </c>
      <c r="G1750" t="str">
        <f ca="1"/>
        <v/>
      </c>
      <c r="H1750" s="17" t="str">
        <f ca="1"/>
        <v/>
      </c>
    </row>
    <row r="1751" spans="2:8" x14ac:dyDescent="0.35">
      <c r="B1751" t="str">
        <f ca="1"/>
        <v/>
      </c>
      <c r="C1751" t="str">
        <f ca="1"/>
        <v/>
      </c>
      <c r="D1751" t="str">
        <f ca="1"/>
        <v/>
      </c>
      <c r="E1751" t="str">
        <f ca="1"/>
        <v/>
      </c>
      <c r="F1751" t="str">
        <f ca="1"/>
        <v/>
      </c>
      <c r="G1751" t="str">
        <f ca="1"/>
        <v/>
      </c>
      <c r="H1751" s="17" t="str">
        <f ca="1"/>
        <v/>
      </c>
    </row>
    <row r="1752" spans="2:8" x14ac:dyDescent="0.35">
      <c r="B1752" t="str">
        <f ca="1"/>
        <v/>
      </c>
      <c r="C1752" t="str">
        <f ca="1"/>
        <v/>
      </c>
      <c r="D1752" t="str">
        <f ca="1"/>
        <v/>
      </c>
      <c r="E1752" t="str">
        <f ca="1"/>
        <v/>
      </c>
      <c r="F1752" t="str">
        <f ca="1"/>
        <v/>
      </c>
      <c r="G1752" t="str">
        <f ca="1"/>
        <v/>
      </c>
      <c r="H1752" s="17" t="str">
        <f ca="1"/>
        <v/>
      </c>
    </row>
    <row r="1753" spans="2:8" x14ac:dyDescent="0.35">
      <c r="B1753" t="str">
        <f ca="1"/>
        <v/>
      </c>
      <c r="C1753" t="str">
        <f ca="1"/>
        <v/>
      </c>
      <c r="D1753" t="str">
        <f ca="1"/>
        <v/>
      </c>
      <c r="E1753" t="str">
        <f ca="1"/>
        <v/>
      </c>
      <c r="F1753" t="str">
        <f ca="1"/>
        <v/>
      </c>
      <c r="G1753" t="str">
        <f ca="1"/>
        <v/>
      </c>
      <c r="H1753" s="17" t="str">
        <f ca="1"/>
        <v/>
      </c>
    </row>
    <row r="1754" spans="2:8" x14ac:dyDescent="0.35">
      <c r="B1754" t="str">
        <f ca="1"/>
        <v/>
      </c>
      <c r="C1754" t="str">
        <f ca="1"/>
        <v/>
      </c>
      <c r="D1754" t="str">
        <f ca="1"/>
        <v/>
      </c>
      <c r="E1754" t="str">
        <f ca="1"/>
        <v/>
      </c>
      <c r="F1754" t="str">
        <f ca="1"/>
        <v/>
      </c>
      <c r="G1754" t="str">
        <f ca="1"/>
        <v/>
      </c>
      <c r="H1754" s="17" t="str">
        <f ca="1"/>
        <v/>
      </c>
    </row>
    <row r="1755" spans="2:8" x14ac:dyDescent="0.35">
      <c r="B1755" t="str">
        <f ca="1"/>
        <v/>
      </c>
      <c r="C1755" t="str">
        <f ca="1"/>
        <v/>
      </c>
      <c r="D1755" t="str">
        <f ca="1"/>
        <v/>
      </c>
      <c r="E1755" t="str">
        <f ca="1"/>
        <v/>
      </c>
      <c r="F1755" t="str">
        <f ca="1"/>
        <v/>
      </c>
      <c r="G1755" t="str">
        <f ca="1"/>
        <v/>
      </c>
      <c r="H1755" s="17" t="str">
        <f ca="1"/>
        <v/>
      </c>
    </row>
    <row r="1756" spans="2:8" x14ac:dyDescent="0.35">
      <c r="B1756" t="str">
        <f ca="1"/>
        <v/>
      </c>
      <c r="C1756" t="str">
        <f ca="1"/>
        <v/>
      </c>
      <c r="D1756" t="str">
        <f ca="1"/>
        <v/>
      </c>
      <c r="E1756" t="str">
        <f ca="1"/>
        <v/>
      </c>
      <c r="F1756" t="str">
        <f ca="1"/>
        <v/>
      </c>
      <c r="G1756" t="str">
        <f ca="1"/>
        <v/>
      </c>
      <c r="H1756" s="17" t="str">
        <f ca="1"/>
        <v/>
      </c>
    </row>
    <row r="1757" spans="2:8" x14ac:dyDescent="0.35">
      <c r="B1757" t="str">
        <f ca="1"/>
        <v/>
      </c>
      <c r="C1757" t="str">
        <f ca="1"/>
        <v/>
      </c>
      <c r="D1757" t="str">
        <f ca="1"/>
        <v/>
      </c>
      <c r="E1757" t="str">
        <f ca="1"/>
        <v/>
      </c>
      <c r="F1757" t="str">
        <f ca="1"/>
        <v/>
      </c>
      <c r="G1757" t="str">
        <f ca="1"/>
        <v/>
      </c>
      <c r="H1757" s="17" t="str">
        <f ca="1"/>
        <v/>
      </c>
    </row>
    <row r="1758" spans="2:8" x14ac:dyDescent="0.35">
      <c r="B1758" t="str">
        <f ca="1"/>
        <v/>
      </c>
      <c r="C1758" t="str">
        <f ca="1"/>
        <v/>
      </c>
      <c r="D1758" t="str">
        <f ca="1"/>
        <v/>
      </c>
      <c r="E1758" t="str">
        <f ca="1"/>
        <v/>
      </c>
      <c r="F1758" t="str">
        <f ca="1"/>
        <v/>
      </c>
      <c r="G1758" t="str">
        <f ca="1"/>
        <v/>
      </c>
      <c r="H1758" s="17" t="str">
        <f ca="1"/>
        <v/>
      </c>
    </row>
    <row r="1759" spans="2:8" x14ac:dyDescent="0.35">
      <c r="B1759" t="str">
        <f ca="1"/>
        <v/>
      </c>
      <c r="C1759" t="str">
        <f ca="1"/>
        <v/>
      </c>
      <c r="D1759" t="str">
        <f ca="1"/>
        <v/>
      </c>
      <c r="E1759" t="str">
        <f ca="1"/>
        <v/>
      </c>
      <c r="F1759" t="str">
        <f ca="1"/>
        <v/>
      </c>
      <c r="G1759" t="str">
        <f ca="1"/>
        <v/>
      </c>
      <c r="H1759" s="17" t="str">
        <f ca="1"/>
        <v/>
      </c>
    </row>
    <row r="1760" spans="2:8" x14ac:dyDescent="0.35">
      <c r="B1760" t="str">
        <f ca="1"/>
        <v/>
      </c>
      <c r="C1760" t="str">
        <f ca="1"/>
        <v/>
      </c>
      <c r="D1760" t="str">
        <f ca="1"/>
        <v/>
      </c>
      <c r="E1760" t="str">
        <f ca="1"/>
        <v/>
      </c>
      <c r="F1760" t="str">
        <f ca="1"/>
        <v/>
      </c>
      <c r="G1760" t="str">
        <f ca="1"/>
        <v/>
      </c>
      <c r="H1760" s="17" t="str">
        <f ca="1"/>
        <v/>
      </c>
    </row>
    <row r="1761" spans="2:8" x14ac:dyDescent="0.35">
      <c r="B1761" t="str">
        <f ca="1"/>
        <v/>
      </c>
      <c r="C1761" t="str">
        <f ca="1"/>
        <v/>
      </c>
      <c r="D1761" t="str">
        <f ca="1"/>
        <v/>
      </c>
      <c r="E1761" t="str">
        <f ca="1"/>
        <v/>
      </c>
      <c r="F1761" t="str">
        <f ca="1"/>
        <v/>
      </c>
      <c r="G1761" t="str">
        <f ca="1"/>
        <v/>
      </c>
      <c r="H1761" s="17" t="str">
        <f ca="1"/>
        <v/>
      </c>
    </row>
    <row r="1762" spans="2:8" x14ac:dyDescent="0.35">
      <c r="B1762" t="str">
        <f ca="1"/>
        <v/>
      </c>
      <c r="C1762" t="str">
        <f ca="1"/>
        <v/>
      </c>
      <c r="D1762" t="str">
        <f ca="1"/>
        <v/>
      </c>
      <c r="E1762" t="str">
        <f ca="1"/>
        <v/>
      </c>
      <c r="F1762" t="str">
        <f ca="1"/>
        <v/>
      </c>
      <c r="G1762" t="str">
        <f ca="1"/>
        <v/>
      </c>
      <c r="H1762" s="17" t="str">
        <f ca="1"/>
        <v/>
      </c>
    </row>
    <row r="1763" spans="2:8" x14ac:dyDescent="0.35">
      <c r="B1763" t="str">
        <f ca="1"/>
        <v/>
      </c>
      <c r="C1763" t="str">
        <f ca="1"/>
        <v/>
      </c>
      <c r="D1763" t="str">
        <f ca="1"/>
        <v/>
      </c>
      <c r="E1763" t="str">
        <f ca="1"/>
        <v/>
      </c>
      <c r="F1763" t="str">
        <f ca="1"/>
        <v/>
      </c>
      <c r="G1763" t="str">
        <f ca="1"/>
        <v/>
      </c>
      <c r="H1763" s="17" t="str">
        <f ca="1"/>
        <v/>
      </c>
    </row>
    <row r="1764" spans="2:8" x14ac:dyDescent="0.35">
      <c r="B1764" t="str">
        <f ca="1"/>
        <v/>
      </c>
      <c r="C1764" t="str">
        <f ca="1"/>
        <v/>
      </c>
      <c r="D1764" t="str">
        <f ca="1"/>
        <v/>
      </c>
      <c r="E1764" t="str">
        <f ca="1"/>
        <v/>
      </c>
      <c r="F1764" t="str">
        <f ca="1"/>
        <v/>
      </c>
      <c r="G1764" t="str">
        <f ca="1"/>
        <v/>
      </c>
      <c r="H1764" s="17" t="str">
        <f ca="1"/>
        <v/>
      </c>
    </row>
    <row r="1765" spans="2:8" x14ac:dyDescent="0.35">
      <c r="B1765" t="str">
        <f ca="1"/>
        <v/>
      </c>
      <c r="C1765" t="str">
        <f ca="1"/>
        <v/>
      </c>
      <c r="D1765" t="str">
        <f ca="1"/>
        <v/>
      </c>
      <c r="E1765" t="str">
        <f ca="1"/>
        <v/>
      </c>
      <c r="F1765" t="str">
        <f ca="1"/>
        <v/>
      </c>
      <c r="G1765" t="str">
        <f ca="1"/>
        <v/>
      </c>
      <c r="H1765" s="17" t="str">
        <f ca="1"/>
        <v/>
      </c>
    </row>
    <row r="1766" spans="2:8" x14ac:dyDescent="0.35">
      <c r="B1766" t="str">
        <f ca="1"/>
        <v/>
      </c>
      <c r="C1766" t="str">
        <f ca="1"/>
        <v/>
      </c>
      <c r="D1766" t="str">
        <f ca="1"/>
        <v/>
      </c>
      <c r="E1766" t="str">
        <f ca="1"/>
        <v/>
      </c>
      <c r="F1766" t="str">
        <f ca="1"/>
        <v/>
      </c>
      <c r="G1766" t="str">
        <f ca="1"/>
        <v/>
      </c>
      <c r="H1766" s="17" t="str">
        <f ca="1"/>
        <v/>
      </c>
    </row>
    <row r="1767" spans="2:8" x14ac:dyDescent="0.35">
      <c r="B1767" t="str">
        <f ca="1"/>
        <v/>
      </c>
      <c r="C1767" t="str">
        <f ca="1"/>
        <v/>
      </c>
      <c r="D1767" t="str">
        <f ca="1"/>
        <v/>
      </c>
      <c r="E1767" t="str">
        <f ca="1"/>
        <v/>
      </c>
      <c r="F1767" t="str">
        <f ca="1"/>
        <v/>
      </c>
      <c r="G1767" t="str">
        <f ca="1"/>
        <v/>
      </c>
      <c r="H1767" s="17" t="str">
        <f ca="1"/>
        <v/>
      </c>
    </row>
    <row r="1768" spans="2:8" x14ac:dyDescent="0.35">
      <c r="B1768" t="str">
        <f ca="1"/>
        <v/>
      </c>
      <c r="C1768" t="str">
        <f ca="1"/>
        <v/>
      </c>
      <c r="D1768" t="str">
        <f ca="1"/>
        <v/>
      </c>
      <c r="E1768" t="str">
        <f ca="1"/>
        <v/>
      </c>
      <c r="F1768" t="str">
        <f ca="1"/>
        <v/>
      </c>
      <c r="G1768" t="str">
        <f ca="1"/>
        <v/>
      </c>
      <c r="H1768" s="17" t="str">
        <f ca="1"/>
        <v/>
      </c>
    </row>
    <row r="1769" spans="2:8" x14ac:dyDescent="0.35">
      <c r="B1769" t="str">
        <f ca="1"/>
        <v/>
      </c>
      <c r="C1769" t="str">
        <f ca="1"/>
        <v/>
      </c>
      <c r="D1769" t="str">
        <f ca="1"/>
        <v/>
      </c>
      <c r="E1769" t="str">
        <f ca="1"/>
        <v/>
      </c>
      <c r="F1769" t="str">
        <f ca="1"/>
        <v/>
      </c>
      <c r="G1769" t="str">
        <f ca="1"/>
        <v/>
      </c>
      <c r="H1769" s="17" t="str">
        <f ca="1"/>
        <v/>
      </c>
    </row>
    <row r="1770" spans="2:8" x14ac:dyDescent="0.35">
      <c r="B1770" t="str">
        <f ca="1"/>
        <v/>
      </c>
      <c r="C1770" t="str">
        <f ca="1"/>
        <v/>
      </c>
      <c r="D1770" t="str">
        <f ca="1"/>
        <v/>
      </c>
      <c r="E1770" t="str">
        <f ca="1"/>
        <v/>
      </c>
      <c r="F1770" t="str">
        <f ca="1"/>
        <v/>
      </c>
      <c r="G1770" t="str">
        <f ca="1"/>
        <v/>
      </c>
      <c r="H1770" s="17" t="str">
        <f ca="1"/>
        <v/>
      </c>
    </row>
    <row r="1771" spans="2:8" x14ac:dyDescent="0.35">
      <c r="B1771" t="str">
        <f ca="1"/>
        <v/>
      </c>
      <c r="C1771" t="str">
        <f ca="1"/>
        <v/>
      </c>
      <c r="D1771" t="str">
        <f ca="1"/>
        <v/>
      </c>
      <c r="E1771" t="str">
        <f ca="1"/>
        <v/>
      </c>
      <c r="F1771" t="str">
        <f ca="1"/>
        <v/>
      </c>
      <c r="G1771" t="str">
        <f ca="1"/>
        <v/>
      </c>
      <c r="H1771" s="17" t="str">
        <f ca="1"/>
        <v/>
      </c>
    </row>
    <row r="1772" spans="2:8" x14ac:dyDescent="0.35">
      <c r="B1772" t="str">
        <f ca="1"/>
        <v/>
      </c>
      <c r="C1772" t="str">
        <f ca="1"/>
        <v/>
      </c>
      <c r="D1772" t="str">
        <f ca="1"/>
        <v/>
      </c>
      <c r="E1772" t="str">
        <f ca="1"/>
        <v/>
      </c>
      <c r="F1772" t="str">
        <f ca="1"/>
        <v/>
      </c>
      <c r="G1772" t="str">
        <f ca="1"/>
        <v/>
      </c>
      <c r="H1772" s="17" t="str">
        <f ca="1"/>
        <v/>
      </c>
    </row>
    <row r="1773" spans="2:8" x14ac:dyDescent="0.35">
      <c r="B1773" t="str">
        <f ca="1"/>
        <v/>
      </c>
      <c r="C1773" t="str">
        <f ca="1"/>
        <v/>
      </c>
      <c r="D1773" t="str">
        <f ca="1"/>
        <v/>
      </c>
      <c r="E1773" t="str">
        <f ca="1"/>
        <v/>
      </c>
      <c r="F1773" t="str">
        <f ca="1"/>
        <v/>
      </c>
      <c r="G1773" t="str">
        <f ca="1"/>
        <v/>
      </c>
      <c r="H1773" s="17" t="str">
        <f ca="1"/>
        <v/>
      </c>
    </row>
    <row r="1774" spans="2:8" x14ac:dyDescent="0.35">
      <c r="B1774" t="str">
        <f ca="1"/>
        <v/>
      </c>
      <c r="C1774" t="str">
        <f ca="1"/>
        <v/>
      </c>
      <c r="D1774" t="str">
        <f ca="1"/>
        <v/>
      </c>
      <c r="E1774" t="str">
        <f ca="1"/>
        <v/>
      </c>
      <c r="F1774" t="str">
        <f ca="1"/>
        <v/>
      </c>
      <c r="G1774" t="str">
        <f ca="1"/>
        <v/>
      </c>
      <c r="H1774" s="17" t="str">
        <f ca="1"/>
        <v/>
      </c>
    </row>
    <row r="1775" spans="2:8" x14ac:dyDescent="0.35">
      <c r="B1775" t="str">
        <f ca="1"/>
        <v/>
      </c>
      <c r="C1775" t="str">
        <f ca="1"/>
        <v/>
      </c>
      <c r="D1775" t="str">
        <f ca="1"/>
        <v/>
      </c>
      <c r="E1775" t="str">
        <f ca="1"/>
        <v/>
      </c>
      <c r="F1775" t="str">
        <f ca="1"/>
        <v/>
      </c>
      <c r="G1775" t="str">
        <f ca="1"/>
        <v/>
      </c>
      <c r="H1775" s="17" t="str">
        <f ca="1"/>
        <v/>
      </c>
    </row>
    <row r="1776" spans="2:8" x14ac:dyDescent="0.35">
      <c r="B1776" t="str">
        <f ca="1"/>
        <v/>
      </c>
      <c r="C1776" t="str">
        <f ca="1"/>
        <v/>
      </c>
      <c r="D1776" t="str">
        <f ca="1"/>
        <v/>
      </c>
      <c r="E1776" t="str">
        <f ca="1"/>
        <v/>
      </c>
      <c r="F1776" t="str">
        <f ca="1"/>
        <v/>
      </c>
      <c r="G1776" t="str">
        <f ca="1"/>
        <v/>
      </c>
      <c r="H1776" s="17" t="str">
        <f ca="1"/>
        <v/>
      </c>
    </row>
    <row r="1777" spans="2:8" x14ac:dyDescent="0.35">
      <c r="B1777" t="str">
        <f ca="1"/>
        <v/>
      </c>
      <c r="C1777" t="str">
        <f ca="1"/>
        <v/>
      </c>
      <c r="D1777" t="str">
        <f ca="1"/>
        <v/>
      </c>
      <c r="E1777" t="str">
        <f ca="1"/>
        <v/>
      </c>
      <c r="F1777" t="str">
        <f ca="1"/>
        <v/>
      </c>
      <c r="G1777" t="str">
        <f ca="1"/>
        <v/>
      </c>
      <c r="H1777" s="17" t="str">
        <f ca="1"/>
        <v/>
      </c>
    </row>
    <row r="1778" spans="2:8" x14ac:dyDescent="0.35">
      <c r="B1778" t="str">
        <f ca="1"/>
        <v/>
      </c>
      <c r="C1778" t="str">
        <f ca="1"/>
        <v/>
      </c>
      <c r="D1778" t="str">
        <f ca="1"/>
        <v/>
      </c>
      <c r="E1778" t="str">
        <f ca="1"/>
        <v/>
      </c>
      <c r="F1778" t="str">
        <f ca="1"/>
        <v/>
      </c>
      <c r="G1778" t="str">
        <f ca="1"/>
        <v/>
      </c>
      <c r="H1778" s="17" t="str">
        <f ca="1"/>
        <v/>
      </c>
    </row>
    <row r="1779" spans="2:8" x14ac:dyDescent="0.35">
      <c r="B1779" t="str">
        <f ca="1"/>
        <v/>
      </c>
      <c r="C1779" t="str">
        <f ca="1"/>
        <v/>
      </c>
      <c r="D1779" t="str">
        <f ca="1"/>
        <v/>
      </c>
      <c r="E1779" t="str">
        <f ca="1"/>
        <v/>
      </c>
      <c r="F1779" t="str">
        <f ca="1"/>
        <v/>
      </c>
      <c r="G1779" t="str">
        <f ca="1"/>
        <v/>
      </c>
      <c r="H1779" s="17" t="str">
        <f ca="1"/>
        <v/>
      </c>
    </row>
    <row r="1780" spans="2:8" x14ac:dyDescent="0.35">
      <c r="B1780" t="str">
        <f ca="1"/>
        <v/>
      </c>
      <c r="C1780" t="str">
        <f ca="1"/>
        <v/>
      </c>
      <c r="D1780" t="str">
        <f ca="1"/>
        <v/>
      </c>
      <c r="E1780" t="str">
        <f ca="1"/>
        <v/>
      </c>
      <c r="F1780" t="str">
        <f ca="1"/>
        <v/>
      </c>
      <c r="G1780" t="str">
        <f ca="1"/>
        <v/>
      </c>
      <c r="H1780" s="17" t="str">
        <f ca="1"/>
        <v/>
      </c>
    </row>
    <row r="1781" spans="2:8" x14ac:dyDescent="0.35">
      <c r="B1781" t="str">
        <f ca="1"/>
        <v/>
      </c>
      <c r="C1781" t="str">
        <f ca="1"/>
        <v/>
      </c>
      <c r="D1781" t="str">
        <f ca="1"/>
        <v/>
      </c>
      <c r="E1781" t="str">
        <f ca="1"/>
        <v/>
      </c>
      <c r="F1781" t="str">
        <f ca="1"/>
        <v/>
      </c>
      <c r="G1781" t="str">
        <f ca="1"/>
        <v/>
      </c>
      <c r="H1781" s="17" t="str">
        <f ca="1"/>
        <v/>
      </c>
    </row>
    <row r="1782" spans="2:8" x14ac:dyDescent="0.35">
      <c r="B1782" t="str">
        <f ca="1"/>
        <v/>
      </c>
      <c r="C1782" t="str">
        <f ca="1"/>
        <v/>
      </c>
      <c r="D1782" t="str">
        <f ca="1"/>
        <v/>
      </c>
      <c r="E1782" t="str">
        <f ca="1"/>
        <v/>
      </c>
      <c r="F1782" t="str">
        <f ca="1"/>
        <v/>
      </c>
      <c r="G1782" t="str">
        <f ca="1"/>
        <v/>
      </c>
      <c r="H1782" s="17" t="str">
        <f ca="1"/>
        <v/>
      </c>
    </row>
    <row r="1783" spans="2:8" x14ac:dyDescent="0.35">
      <c r="B1783" t="str">
        <f ca="1"/>
        <v/>
      </c>
      <c r="C1783" t="str">
        <f ca="1"/>
        <v/>
      </c>
      <c r="D1783" t="str">
        <f ca="1"/>
        <v/>
      </c>
      <c r="E1783" t="str">
        <f ca="1"/>
        <v/>
      </c>
      <c r="F1783" t="str">
        <f ca="1"/>
        <v/>
      </c>
      <c r="G1783" t="str">
        <f ca="1"/>
        <v/>
      </c>
      <c r="H1783" s="17" t="str">
        <f ca="1"/>
        <v/>
      </c>
    </row>
    <row r="1784" spans="2:8" x14ac:dyDescent="0.35">
      <c r="B1784" t="str">
        <f ca="1"/>
        <v/>
      </c>
      <c r="C1784" t="str">
        <f ca="1"/>
        <v/>
      </c>
      <c r="D1784" t="str">
        <f ca="1"/>
        <v/>
      </c>
      <c r="E1784" t="str">
        <f ca="1"/>
        <v/>
      </c>
      <c r="F1784" t="str">
        <f ca="1"/>
        <v/>
      </c>
      <c r="G1784" t="str">
        <f ca="1"/>
        <v/>
      </c>
      <c r="H1784" s="17" t="str">
        <f ca="1"/>
        <v/>
      </c>
    </row>
    <row r="1785" spans="2:8" x14ac:dyDescent="0.35">
      <c r="B1785" t="str">
        <f ca="1"/>
        <v/>
      </c>
      <c r="C1785" t="str">
        <f ca="1"/>
        <v/>
      </c>
      <c r="D1785" t="str">
        <f ca="1"/>
        <v/>
      </c>
      <c r="E1785" t="str">
        <f ca="1"/>
        <v/>
      </c>
      <c r="F1785" t="str">
        <f ca="1"/>
        <v/>
      </c>
      <c r="G1785" t="str">
        <f ca="1"/>
        <v/>
      </c>
      <c r="H1785" s="17" t="str">
        <f ca="1"/>
        <v/>
      </c>
    </row>
    <row r="1786" spans="2:8" x14ac:dyDescent="0.35">
      <c r="B1786" t="str">
        <f ca="1"/>
        <v/>
      </c>
      <c r="C1786" t="str">
        <f ca="1"/>
        <v/>
      </c>
      <c r="D1786" t="str">
        <f ca="1"/>
        <v/>
      </c>
      <c r="E1786" t="str">
        <f ca="1"/>
        <v/>
      </c>
      <c r="F1786" t="str">
        <f ca="1"/>
        <v/>
      </c>
      <c r="G1786" t="str">
        <f ca="1"/>
        <v/>
      </c>
      <c r="H1786" s="17" t="str">
        <f ca="1"/>
        <v/>
      </c>
    </row>
    <row r="1787" spans="2:8" x14ac:dyDescent="0.35">
      <c r="B1787" t="str">
        <f ca="1"/>
        <v/>
      </c>
      <c r="C1787" t="str">
        <f ca="1"/>
        <v/>
      </c>
      <c r="D1787" t="str">
        <f ca="1"/>
        <v/>
      </c>
      <c r="E1787" t="str">
        <f ca="1"/>
        <v/>
      </c>
      <c r="F1787" t="str">
        <f ca="1"/>
        <v/>
      </c>
      <c r="G1787" t="str">
        <f ca="1"/>
        <v/>
      </c>
      <c r="H1787" s="17" t="str">
        <f ca="1"/>
        <v/>
      </c>
    </row>
    <row r="1788" spans="2:8" x14ac:dyDescent="0.35">
      <c r="B1788" t="str">
        <f ca="1"/>
        <v/>
      </c>
      <c r="C1788" t="str">
        <f ca="1"/>
        <v/>
      </c>
      <c r="D1788" t="str">
        <f ca="1"/>
        <v/>
      </c>
      <c r="E1788" t="str">
        <f ca="1"/>
        <v/>
      </c>
      <c r="F1788" t="str">
        <f ca="1"/>
        <v/>
      </c>
      <c r="G1788" t="str">
        <f ca="1"/>
        <v/>
      </c>
      <c r="H1788" s="17" t="str">
        <f ca="1"/>
        <v/>
      </c>
    </row>
    <row r="1789" spans="2:8" x14ac:dyDescent="0.35">
      <c r="B1789" t="str">
        <f ca="1"/>
        <v/>
      </c>
      <c r="C1789" t="str">
        <f ca="1"/>
        <v/>
      </c>
      <c r="D1789" t="str">
        <f ca="1"/>
        <v/>
      </c>
      <c r="E1789" t="str">
        <f ca="1"/>
        <v/>
      </c>
      <c r="F1789" t="str">
        <f ca="1"/>
        <v/>
      </c>
      <c r="G1789" t="str">
        <f ca="1"/>
        <v/>
      </c>
      <c r="H1789" s="17" t="str">
        <f ca="1"/>
        <v/>
      </c>
    </row>
    <row r="1790" spans="2:8" x14ac:dyDescent="0.35">
      <c r="B1790" t="str">
        <f ca="1"/>
        <v/>
      </c>
      <c r="C1790" t="str">
        <f ca="1"/>
        <v/>
      </c>
      <c r="D1790" t="str">
        <f ca="1"/>
        <v/>
      </c>
      <c r="E1790" t="str">
        <f ca="1"/>
        <v/>
      </c>
      <c r="F1790" t="str">
        <f ca="1"/>
        <v/>
      </c>
      <c r="G1790" t="str">
        <f ca="1"/>
        <v/>
      </c>
      <c r="H1790" s="17" t="str">
        <f ca="1"/>
        <v/>
      </c>
    </row>
    <row r="1791" spans="2:8" x14ac:dyDescent="0.35">
      <c r="B1791" t="str">
        <f ca="1"/>
        <v/>
      </c>
      <c r="C1791" t="str">
        <f ca="1"/>
        <v/>
      </c>
      <c r="D1791" t="str">
        <f ca="1"/>
        <v/>
      </c>
      <c r="E1791" t="str">
        <f ca="1"/>
        <v/>
      </c>
      <c r="F1791" t="str">
        <f ca="1"/>
        <v/>
      </c>
      <c r="G1791" t="str">
        <f ca="1"/>
        <v/>
      </c>
      <c r="H1791" s="17" t="str">
        <f ca="1"/>
        <v/>
      </c>
    </row>
    <row r="1792" spans="2:8" x14ac:dyDescent="0.35">
      <c r="B1792" t="str">
        <f ca="1"/>
        <v/>
      </c>
      <c r="C1792" t="str">
        <f ca="1"/>
        <v/>
      </c>
      <c r="D1792" t="str">
        <f ca="1"/>
        <v/>
      </c>
      <c r="E1792" t="str">
        <f ca="1"/>
        <v/>
      </c>
      <c r="F1792" t="str">
        <f ca="1"/>
        <v/>
      </c>
      <c r="G1792" t="str">
        <f ca="1"/>
        <v/>
      </c>
      <c r="H1792" s="17" t="str">
        <f ca="1"/>
        <v/>
      </c>
    </row>
    <row r="1793" spans="2:8" x14ac:dyDescent="0.35">
      <c r="B1793" t="str">
        <f ca="1"/>
        <v/>
      </c>
      <c r="C1793" t="str">
        <f ca="1"/>
        <v/>
      </c>
      <c r="D1793" t="str">
        <f ca="1"/>
        <v/>
      </c>
      <c r="E1793" t="str">
        <f ca="1"/>
        <v/>
      </c>
      <c r="F1793" t="str">
        <f ca="1"/>
        <v/>
      </c>
      <c r="G1793" t="str">
        <f ca="1"/>
        <v/>
      </c>
      <c r="H1793" s="17" t="str">
        <f ca="1"/>
        <v/>
      </c>
    </row>
    <row r="1794" spans="2:8" x14ac:dyDescent="0.35">
      <c r="B1794" t="str">
        <f ca="1"/>
        <v/>
      </c>
      <c r="C1794" t="str">
        <f ca="1"/>
        <v/>
      </c>
      <c r="D1794" t="str">
        <f ca="1"/>
        <v/>
      </c>
      <c r="E1794" t="str">
        <f ca="1"/>
        <v/>
      </c>
      <c r="F1794" t="str">
        <f ca="1"/>
        <v/>
      </c>
      <c r="G1794" t="str">
        <f ca="1"/>
        <v/>
      </c>
      <c r="H1794" s="17" t="str">
        <f ca="1"/>
        <v/>
      </c>
    </row>
    <row r="1795" spans="2:8" x14ac:dyDescent="0.35">
      <c r="B1795" t="str">
        <f ca="1"/>
        <v/>
      </c>
      <c r="C1795" t="str">
        <f ca="1"/>
        <v/>
      </c>
      <c r="D1795" t="str">
        <f ca="1"/>
        <v/>
      </c>
      <c r="E1795" t="str">
        <f ca="1"/>
        <v/>
      </c>
      <c r="F1795" t="str">
        <f ca="1"/>
        <v/>
      </c>
      <c r="G1795" t="str">
        <f ca="1"/>
        <v/>
      </c>
      <c r="H1795" s="17" t="str">
        <f ca="1"/>
        <v/>
      </c>
    </row>
    <row r="1796" spans="2:8" x14ac:dyDescent="0.35">
      <c r="B1796" t="str">
        <f ca="1"/>
        <v/>
      </c>
      <c r="C1796" t="str">
        <f ca="1"/>
        <v/>
      </c>
      <c r="D1796" t="str">
        <f ca="1"/>
        <v/>
      </c>
      <c r="E1796" t="str">
        <f ca="1"/>
        <v/>
      </c>
      <c r="F1796" t="str">
        <f ca="1"/>
        <v/>
      </c>
      <c r="G1796" t="str">
        <f ca="1"/>
        <v/>
      </c>
      <c r="H1796" s="17" t="str">
        <f ca="1"/>
        <v/>
      </c>
    </row>
    <row r="1797" spans="2:8" x14ac:dyDescent="0.35">
      <c r="B1797" t="str">
        <f ca="1"/>
        <v/>
      </c>
      <c r="C1797" t="str">
        <f ca="1"/>
        <v/>
      </c>
      <c r="D1797" t="str">
        <f ca="1"/>
        <v/>
      </c>
      <c r="E1797" t="str">
        <f ca="1"/>
        <v/>
      </c>
      <c r="F1797" t="str">
        <f ca="1"/>
        <v/>
      </c>
      <c r="G1797" t="str">
        <f ca="1"/>
        <v/>
      </c>
      <c r="H1797" s="17" t="str">
        <f ca="1"/>
        <v/>
      </c>
    </row>
    <row r="1798" spans="2:8" x14ac:dyDescent="0.35">
      <c r="B1798" t="str">
        <f ca="1"/>
        <v/>
      </c>
      <c r="C1798" t="str">
        <f ca="1"/>
        <v/>
      </c>
      <c r="D1798" t="str">
        <f ca="1"/>
        <v/>
      </c>
      <c r="E1798" t="str">
        <f ca="1"/>
        <v/>
      </c>
      <c r="F1798" t="str">
        <f ca="1"/>
        <v/>
      </c>
      <c r="G1798" t="str">
        <f ca="1"/>
        <v/>
      </c>
      <c r="H1798" s="17" t="str">
        <f ca="1"/>
        <v/>
      </c>
    </row>
    <row r="1799" spans="2:8" x14ac:dyDescent="0.35">
      <c r="B1799" t="str">
        <f ca="1"/>
        <v/>
      </c>
      <c r="C1799" t="str">
        <f ca="1"/>
        <v/>
      </c>
      <c r="D1799" t="str">
        <f ca="1"/>
        <v/>
      </c>
      <c r="E1799" t="str">
        <f ca="1"/>
        <v/>
      </c>
      <c r="F1799" t="str">
        <f ca="1"/>
        <v/>
      </c>
      <c r="G1799" t="str">
        <f ca="1"/>
        <v/>
      </c>
      <c r="H1799" s="17" t="str">
        <f ca="1"/>
        <v/>
      </c>
    </row>
    <row r="1800" spans="2:8" x14ac:dyDescent="0.35">
      <c r="B1800" t="str">
        <f ca="1"/>
        <v/>
      </c>
      <c r="C1800" t="str">
        <f ca="1"/>
        <v/>
      </c>
      <c r="D1800" t="str">
        <f ca="1"/>
        <v/>
      </c>
      <c r="E1800" t="str">
        <f ca="1"/>
        <v/>
      </c>
      <c r="F1800" t="str">
        <f ca="1"/>
        <v/>
      </c>
      <c r="G1800" t="str">
        <f ca="1"/>
        <v/>
      </c>
      <c r="H1800" s="17" t="str">
        <f ca="1"/>
        <v/>
      </c>
    </row>
    <row r="1801" spans="2:8" x14ac:dyDescent="0.35">
      <c r="B1801" t="str">
        <f ca="1"/>
        <v/>
      </c>
      <c r="C1801" t="str">
        <f ca="1"/>
        <v/>
      </c>
      <c r="D1801" t="str">
        <f ca="1"/>
        <v/>
      </c>
      <c r="E1801" t="str">
        <f ca="1"/>
        <v/>
      </c>
      <c r="F1801" t="str">
        <f ca="1"/>
        <v/>
      </c>
      <c r="G1801" t="str">
        <f ca="1"/>
        <v/>
      </c>
      <c r="H1801" s="17" t="str">
        <f ca="1"/>
        <v/>
      </c>
    </row>
    <row r="1802" spans="2:8" x14ac:dyDescent="0.35">
      <c r="B1802" t="str">
        <f ca="1"/>
        <v/>
      </c>
      <c r="C1802" t="str">
        <f ca="1"/>
        <v/>
      </c>
      <c r="D1802" t="str">
        <f ca="1"/>
        <v/>
      </c>
      <c r="E1802" t="str">
        <f ca="1"/>
        <v/>
      </c>
      <c r="F1802" t="str">
        <f ca="1"/>
        <v/>
      </c>
      <c r="G1802" t="str">
        <f ca="1"/>
        <v/>
      </c>
      <c r="H1802" s="17" t="str">
        <f ca="1"/>
        <v/>
      </c>
    </row>
    <row r="1803" spans="2:8" x14ac:dyDescent="0.35">
      <c r="B1803" t="str">
        <f ca="1"/>
        <v/>
      </c>
      <c r="C1803" t="str">
        <f ca="1"/>
        <v/>
      </c>
      <c r="D1803" t="str">
        <f ca="1"/>
        <v/>
      </c>
      <c r="E1803" t="str">
        <f ca="1"/>
        <v/>
      </c>
      <c r="F1803" t="str">
        <f ca="1"/>
        <v/>
      </c>
      <c r="G1803" t="str">
        <f ca="1"/>
        <v/>
      </c>
      <c r="H1803" s="17" t="str">
        <f ca="1"/>
        <v/>
      </c>
    </row>
    <row r="1804" spans="2:8" x14ac:dyDescent="0.35">
      <c r="B1804" t="str">
        <f ca="1"/>
        <v/>
      </c>
      <c r="C1804" t="str">
        <f ca="1"/>
        <v/>
      </c>
      <c r="D1804" t="str">
        <f ca="1"/>
        <v/>
      </c>
      <c r="E1804" t="str">
        <f ca="1"/>
        <v/>
      </c>
      <c r="F1804" t="str">
        <f ca="1"/>
        <v/>
      </c>
      <c r="G1804" t="str">
        <f ca="1"/>
        <v/>
      </c>
      <c r="H1804" s="17" t="str">
        <f ca="1"/>
        <v/>
      </c>
    </row>
    <row r="1805" spans="2:8" x14ac:dyDescent="0.35">
      <c r="B1805" t="str">
        <f ca="1"/>
        <v/>
      </c>
      <c r="C1805" t="str">
        <f ca="1"/>
        <v/>
      </c>
      <c r="D1805" t="str">
        <f ca="1"/>
        <v/>
      </c>
      <c r="E1805" t="str">
        <f ca="1"/>
        <v/>
      </c>
      <c r="F1805" t="str">
        <f ca="1"/>
        <v/>
      </c>
      <c r="G1805" t="str">
        <f ca="1"/>
        <v/>
      </c>
      <c r="H1805" s="17" t="str">
        <f ca="1"/>
        <v/>
      </c>
    </row>
    <row r="1806" spans="2:8" x14ac:dyDescent="0.35">
      <c r="B1806" t="str">
        <f ca="1"/>
        <v/>
      </c>
      <c r="C1806" t="str">
        <f ca="1"/>
        <v/>
      </c>
      <c r="D1806" t="str">
        <f ca="1"/>
        <v/>
      </c>
      <c r="E1806" t="str">
        <f ca="1"/>
        <v/>
      </c>
      <c r="F1806" t="str">
        <f ca="1"/>
        <v/>
      </c>
      <c r="G1806" t="str">
        <f ca="1"/>
        <v/>
      </c>
      <c r="H1806" s="17" t="str">
        <f ca="1"/>
        <v/>
      </c>
    </row>
    <row r="1807" spans="2:8" x14ac:dyDescent="0.35">
      <c r="B1807" t="str">
        <f ca="1"/>
        <v/>
      </c>
      <c r="C1807" t="str">
        <f ca="1"/>
        <v/>
      </c>
      <c r="D1807" t="str">
        <f ca="1"/>
        <v/>
      </c>
      <c r="E1807" t="str">
        <f ca="1"/>
        <v/>
      </c>
      <c r="F1807" t="str">
        <f ca="1"/>
        <v/>
      </c>
      <c r="G1807" t="str">
        <f ca="1"/>
        <v/>
      </c>
      <c r="H1807" s="17" t="str">
        <f ca="1"/>
        <v/>
      </c>
    </row>
    <row r="1808" spans="2:8" x14ac:dyDescent="0.35">
      <c r="B1808" t="str">
        <f ca="1"/>
        <v/>
      </c>
      <c r="C1808" t="str">
        <f ca="1"/>
        <v/>
      </c>
      <c r="D1808" t="str">
        <f ca="1"/>
        <v/>
      </c>
      <c r="E1808" t="str">
        <f ca="1"/>
        <v/>
      </c>
      <c r="F1808" t="str">
        <f ca="1"/>
        <v/>
      </c>
      <c r="G1808" t="str">
        <f ca="1"/>
        <v/>
      </c>
      <c r="H1808" s="17" t="str">
        <f ca="1"/>
        <v/>
      </c>
    </row>
    <row r="1809" spans="2:8" x14ac:dyDescent="0.35">
      <c r="B1809" t="str">
        <f ca="1"/>
        <v/>
      </c>
      <c r="C1809" t="str">
        <f ca="1"/>
        <v/>
      </c>
      <c r="D1809" t="str">
        <f ca="1"/>
        <v/>
      </c>
      <c r="E1809" t="str">
        <f ca="1"/>
        <v/>
      </c>
      <c r="F1809" t="str">
        <f ca="1"/>
        <v/>
      </c>
      <c r="G1809" t="str">
        <f ca="1"/>
        <v/>
      </c>
      <c r="H1809" s="17" t="str">
        <f ca="1"/>
        <v/>
      </c>
    </row>
    <row r="1810" spans="2:8" x14ac:dyDescent="0.35">
      <c r="B1810" t="str">
        <f ca="1"/>
        <v/>
      </c>
      <c r="C1810" t="str">
        <f ca="1"/>
        <v/>
      </c>
      <c r="D1810" t="str">
        <f ca="1"/>
        <v/>
      </c>
      <c r="E1810" t="str">
        <f ca="1"/>
        <v/>
      </c>
      <c r="F1810" t="str">
        <f ca="1"/>
        <v/>
      </c>
      <c r="G1810" t="str">
        <f ca="1"/>
        <v/>
      </c>
      <c r="H1810" s="17" t="str">
        <f ca="1"/>
        <v/>
      </c>
    </row>
    <row r="1811" spans="2:8" x14ac:dyDescent="0.35">
      <c r="B1811" t="str">
        <f ca="1"/>
        <v/>
      </c>
      <c r="C1811" t="str">
        <f ca="1"/>
        <v/>
      </c>
      <c r="D1811" t="str">
        <f ca="1"/>
        <v/>
      </c>
      <c r="E1811" t="str">
        <f ca="1"/>
        <v/>
      </c>
      <c r="F1811" t="str">
        <f ca="1"/>
        <v/>
      </c>
      <c r="G1811" t="str">
        <f ca="1"/>
        <v/>
      </c>
      <c r="H1811" s="17" t="str">
        <f ca="1"/>
        <v/>
      </c>
    </row>
    <row r="1812" spans="2:8" x14ac:dyDescent="0.35">
      <c r="B1812" t="str">
        <f ca="1"/>
        <v/>
      </c>
      <c r="C1812" t="str">
        <f ca="1"/>
        <v/>
      </c>
      <c r="D1812" t="str">
        <f ca="1"/>
        <v/>
      </c>
      <c r="E1812" t="str">
        <f ca="1"/>
        <v/>
      </c>
      <c r="F1812" t="str">
        <f ca="1"/>
        <v/>
      </c>
      <c r="G1812" t="str">
        <f ca="1"/>
        <v/>
      </c>
      <c r="H1812" s="17" t="str">
        <f ca="1"/>
        <v/>
      </c>
    </row>
    <row r="1813" spans="2:8" x14ac:dyDescent="0.35">
      <c r="B1813" t="str">
        <f ca="1"/>
        <v/>
      </c>
      <c r="C1813" t="str">
        <f ca="1"/>
        <v/>
      </c>
      <c r="D1813" t="str">
        <f ca="1"/>
        <v/>
      </c>
      <c r="E1813" t="str">
        <f ca="1"/>
        <v/>
      </c>
      <c r="F1813" t="str">
        <f ca="1"/>
        <v/>
      </c>
      <c r="G1813" t="str">
        <f ca="1"/>
        <v/>
      </c>
      <c r="H1813" s="17" t="str">
        <f ca="1"/>
        <v/>
      </c>
    </row>
    <row r="1814" spans="2:8" x14ac:dyDescent="0.35">
      <c r="B1814" t="str">
        <f ca="1"/>
        <v/>
      </c>
      <c r="C1814" t="str">
        <f ca="1"/>
        <v/>
      </c>
      <c r="D1814" t="str">
        <f ca="1"/>
        <v/>
      </c>
      <c r="E1814" t="str">
        <f ca="1"/>
        <v/>
      </c>
      <c r="F1814" t="str">
        <f ca="1"/>
        <v/>
      </c>
      <c r="G1814" t="str">
        <f ca="1"/>
        <v/>
      </c>
      <c r="H1814" s="17" t="str">
        <f ca="1"/>
        <v/>
      </c>
    </row>
    <row r="1815" spans="2:8" x14ac:dyDescent="0.35">
      <c r="B1815" t="str">
        <f ca="1"/>
        <v/>
      </c>
      <c r="C1815" t="str">
        <f ca="1"/>
        <v/>
      </c>
      <c r="D1815" t="str">
        <f ca="1"/>
        <v/>
      </c>
      <c r="E1815" t="str">
        <f ca="1"/>
        <v/>
      </c>
      <c r="F1815" t="str">
        <f ca="1"/>
        <v/>
      </c>
      <c r="G1815" t="str">
        <f ca="1"/>
        <v/>
      </c>
      <c r="H1815" s="17" t="str">
        <f ca="1"/>
        <v/>
      </c>
    </row>
    <row r="1816" spans="2:8" x14ac:dyDescent="0.35">
      <c r="B1816" t="str">
        <f ca="1"/>
        <v/>
      </c>
      <c r="C1816" t="str">
        <f ca="1"/>
        <v/>
      </c>
      <c r="D1816" t="str">
        <f ca="1"/>
        <v/>
      </c>
      <c r="E1816" t="str">
        <f ca="1"/>
        <v/>
      </c>
      <c r="F1816" t="str">
        <f ca="1"/>
        <v/>
      </c>
      <c r="G1816" t="str">
        <f ca="1"/>
        <v/>
      </c>
      <c r="H1816" s="17" t="str">
        <f ca="1"/>
        <v/>
      </c>
    </row>
    <row r="1817" spans="2:8" x14ac:dyDescent="0.35">
      <c r="B1817" t="str">
        <f ca="1"/>
        <v/>
      </c>
      <c r="C1817" t="str">
        <f ca="1"/>
        <v/>
      </c>
      <c r="D1817" t="str">
        <f ca="1"/>
        <v/>
      </c>
      <c r="E1817" t="str">
        <f ca="1"/>
        <v/>
      </c>
      <c r="F1817" t="str">
        <f ca="1"/>
        <v/>
      </c>
      <c r="G1817" t="str">
        <f ca="1"/>
        <v/>
      </c>
      <c r="H1817" s="17" t="str">
        <f ca="1"/>
        <v/>
      </c>
    </row>
    <row r="1818" spans="2:8" x14ac:dyDescent="0.35">
      <c r="B1818" t="str">
        <f ca="1"/>
        <v/>
      </c>
      <c r="C1818" t="str">
        <f ca="1"/>
        <v/>
      </c>
      <c r="D1818" t="str">
        <f ca="1"/>
        <v/>
      </c>
      <c r="E1818" t="str">
        <f ca="1"/>
        <v/>
      </c>
      <c r="F1818" t="str">
        <f ca="1"/>
        <v/>
      </c>
      <c r="G1818" t="str">
        <f ca="1"/>
        <v/>
      </c>
      <c r="H1818" s="17" t="str">
        <f ca="1"/>
        <v/>
      </c>
    </row>
    <row r="1819" spans="2:8" x14ac:dyDescent="0.35">
      <c r="B1819" t="str">
        <f ca="1"/>
        <v/>
      </c>
      <c r="C1819" t="str">
        <f ca="1"/>
        <v/>
      </c>
      <c r="D1819" t="str">
        <f ca="1"/>
        <v/>
      </c>
      <c r="E1819" t="str">
        <f ca="1"/>
        <v/>
      </c>
      <c r="F1819" t="str">
        <f ca="1"/>
        <v/>
      </c>
      <c r="G1819" t="str">
        <f ca="1"/>
        <v/>
      </c>
      <c r="H1819" s="17" t="str">
        <f ca="1"/>
        <v/>
      </c>
    </row>
    <row r="1820" spans="2:8" x14ac:dyDescent="0.35">
      <c r="B1820" t="str">
        <f ca="1"/>
        <v/>
      </c>
      <c r="C1820" t="str">
        <f ca="1"/>
        <v/>
      </c>
      <c r="D1820" t="str">
        <f ca="1"/>
        <v/>
      </c>
      <c r="E1820" t="str">
        <f ca="1"/>
        <v/>
      </c>
      <c r="F1820" t="str">
        <f ca="1"/>
        <v/>
      </c>
      <c r="G1820" t="str">
        <f ca="1"/>
        <v/>
      </c>
      <c r="H1820" s="17" t="str">
        <f ca="1"/>
        <v/>
      </c>
    </row>
    <row r="1821" spans="2:8" x14ac:dyDescent="0.35">
      <c r="B1821" t="str">
        <f ca="1"/>
        <v/>
      </c>
      <c r="C1821" t="str">
        <f ca="1"/>
        <v/>
      </c>
      <c r="D1821" t="str">
        <f ca="1"/>
        <v/>
      </c>
      <c r="E1821" t="str">
        <f ca="1"/>
        <v/>
      </c>
      <c r="F1821" t="str">
        <f ca="1"/>
        <v/>
      </c>
      <c r="G1821" t="str">
        <f ca="1"/>
        <v/>
      </c>
      <c r="H1821" s="17" t="str">
        <f ca="1"/>
        <v/>
      </c>
    </row>
    <row r="1822" spans="2:8" x14ac:dyDescent="0.35">
      <c r="B1822" t="str">
        <f ca="1"/>
        <v/>
      </c>
      <c r="C1822" t="str">
        <f ca="1"/>
        <v/>
      </c>
      <c r="D1822" t="str">
        <f ca="1"/>
        <v/>
      </c>
      <c r="E1822" t="str">
        <f ca="1"/>
        <v/>
      </c>
      <c r="F1822" t="str">
        <f ca="1"/>
        <v/>
      </c>
      <c r="G1822" t="str">
        <f ca="1"/>
        <v/>
      </c>
      <c r="H1822" s="17" t="str">
        <f ca="1"/>
        <v/>
      </c>
    </row>
    <row r="1823" spans="2:8" x14ac:dyDescent="0.35">
      <c r="B1823" t="str">
        <f ca="1"/>
        <v/>
      </c>
      <c r="C1823" t="str">
        <f ca="1"/>
        <v/>
      </c>
      <c r="D1823" t="str">
        <f ca="1"/>
        <v/>
      </c>
      <c r="E1823" t="str">
        <f ca="1"/>
        <v/>
      </c>
      <c r="F1823" t="str">
        <f ca="1"/>
        <v/>
      </c>
      <c r="G1823" t="str">
        <f ca="1"/>
        <v/>
      </c>
      <c r="H1823" s="17" t="str">
        <f ca="1"/>
        <v/>
      </c>
    </row>
    <row r="1824" spans="2:8" x14ac:dyDescent="0.35">
      <c r="B1824" t="str">
        <f ca="1"/>
        <v/>
      </c>
      <c r="C1824" t="str">
        <f ca="1"/>
        <v/>
      </c>
      <c r="D1824" t="str">
        <f ca="1"/>
        <v/>
      </c>
      <c r="E1824" t="str">
        <f ca="1"/>
        <v/>
      </c>
      <c r="F1824" t="str">
        <f ca="1"/>
        <v/>
      </c>
      <c r="G1824" t="str">
        <f ca="1"/>
        <v/>
      </c>
      <c r="H1824" s="17" t="str">
        <f ca="1"/>
        <v/>
      </c>
    </row>
    <row r="1825" spans="2:8" x14ac:dyDescent="0.35">
      <c r="B1825" t="str">
        <f ca="1"/>
        <v/>
      </c>
      <c r="C1825" t="str">
        <f ca="1"/>
        <v/>
      </c>
      <c r="D1825" t="str">
        <f ca="1"/>
        <v/>
      </c>
      <c r="E1825" t="str">
        <f ca="1"/>
        <v/>
      </c>
      <c r="F1825" t="str">
        <f ca="1"/>
        <v/>
      </c>
      <c r="G1825" t="str">
        <f ca="1"/>
        <v/>
      </c>
      <c r="H1825" s="17" t="str">
        <f ca="1"/>
        <v/>
      </c>
    </row>
    <row r="1826" spans="2:8" x14ac:dyDescent="0.35">
      <c r="B1826" t="str">
        <f ca="1"/>
        <v/>
      </c>
      <c r="C1826" t="str">
        <f ca="1"/>
        <v/>
      </c>
      <c r="D1826" t="str">
        <f ca="1"/>
        <v/>
      </c>
      <c r="E1826" t="str">
        <f ca="1"/>
        <v/>
      </c>
      <c r="F1826" t="str">
        <f ca="1"/>
        <v/>
      </c>
      <c r="G1826" t="str">
        <f ca="1"/>
        <v/>
      </c>
      <c r="H1826" s="17" t="str">
        <f ca="1"/>
        <v/>
      </c>
    </row>
    <row r="1827" spans="2:8" x14ac:dyDescent="0.35">
      <c r="B1827" t="str">
        <f ca="1"/>
        <v/>
      </c>
      <c r="C1827" t="str">
        <f ca="1"/>
        <v/>
      </c>
      <c r="D1827" t="str">
        <f ca="1"/>
        <v/>
      </c>
      <c r="E1827" t="str">
        <f ca="1"/>
        <v/>
      </c>
      <c r="F1827" t="str">
        <f ca="1"/>
        <v/>
      </c>
      <c r="G1827" t="str">
        <f ca="1"/>
        <v/>
      </c>
      <c r="H1827" s="17" t="str">
        <f ca="1"/>
        <v/>
      </c>
    </row>
    <row r="1828" spans="2:8" x14ac:dyDescent="0.35">
      <c r="B1828" t="str">
        <f ca="1"/>
        <v/>
      </c>
      <c r="C1828" t="str">
        <f ca="1"/>
        <v/>
      </c>
      <c r="D1828" t="str">
        <f ca="1"/>
        <v/>
      </c>
      <c r="E1828" t="str">
        <f ca="1"/>
        <v/>
      </c>
      <c r="F1828" t="str">
        <f ca="1"/>
        <v/>
      </c>
      <c r="G1828" t="str">
        <f ca="1"/>
        <v/>
      </c>
      <c r="H1828" s="17" t="str">
        <f ca="1"/>
        <v/>
      </c>
    </row>
    <row r="1829" spans="2:8" x14ac:dyDescent="0.35">
      <c r="B1829" t="str">
        <f ca="1"/>
        <v/>
      </c>
      <c r="C1829" t="str">
        <f ca="1"/>
        <v/>
      </c>
      <c r="D1829" t="str">
        <f ca="1"/>
        <v/>
      </c>
      <c r="E1829" t="str">
        <f ca="1"/>
        <v/>
      </c>
      <c r="F1829" t="str">
        <f ca="1"/>
        <v/>
      </c>
      <c r="G1829" t="str">
        <f ca="1"/>
        <v/>
      </c>
      <c r="H1829" s="17" t="str">
        <f ca="1"/>
        <v/>
      </c>
    </row>
    <row r="1830" spans="2:8" x14ac:dyDescent="0.35">
      <c r="B1830" t="str">
        <f ca="1"/>
        <v/>
      </c>
      <c r="C1830" t="str">
        <f ca="1"/>
        <v/>
      </c>
      <c r="D1830" t="str">
        <f ca="1"/>
        <v/>
      </c>
      <c r="E1830" t="str">
        <f ca="1"/>
        <v/>
      </c>
      <c r="F1830" t="str">
        <f ca="1"/>
        <v/>
      </c>
      <c r="G1830" t="str">
        <f ca="1"/>
        <v/>
      </c>
      <c r="H1830" s="17" t="str">
        <f ca="1"/>
        <v/>
      </c>
    </row>
    <row r="1831" spans="2:8" x14ac:dyDescent="0.35">
      <c r="B1831" t="str">
        <f ca="1"/>
        <v/>
      </c>
      <c r="C1831" t="str">
        <f ca="1"/>
        <v/>
      </c>
      <c r="D1831" t="str">
        <f ca="1"/>
        <v/>
      </c>
      <c r="E1831" t="str">
        <f ca="1"/>
        <v/>
      </c>
      <c r="F1831" t="str">
        <f ca="1"/>
        <v/>
      </c>
      <c r="G1831" t="str">
        <f ca="1"/>
        <v/>
      </c>
      <c r="H1831" s="17" t="str">
        <f ca="1"/>
        <v/>
      </c>
    </row>
    <row r="1832" spans="2:8" x14ac:dyDescent="0.35">
      <c r="B1832" t="str">
        <f ca="1"/>
        <v/>
      </c>
      <c r="C1832" t="str">
        <f ca="1"/>
        <v/>
      </c>
      <c r="D1832" t="str">
        <f ca="1"/>
        <v/>
      </c>
      <c r="E1832" t="str">
        <f ca="1"/>
        <v/>
      </c>
      <c r="F1832" t="str">
        <f ca="1"/>
        <v/>
      </c>
      <c r="G1832" t="str">
        <f ca="1"/>
        <v/>
      </c>
      <c r="H1832" s="17" t="str">
        <f ca="1"/>
        <v/>
      </c>
    </row>
    <row r="1833" spans="2:8" x14ac:dyDescent="0.35">
      <c r="B1833" t="str">
        <f ca="1"/>
        <v/>
      </c>
      <c r="C1833" t="str">
        <f ca="1"/>
        <v/>
      </c>
      <c r="D1833" t="str">
        <f ca="1"/>
        <v/>
      </c>
      <c r="E1833" t="str">
        <f ca="1"/>
        <v/>
      </c>
      <c r="F1833" t="str">
        <f ca="1"/>
        <v/>
      </c>
      <c r="G1833" t="str">
        <f ca="1"/>
        <v/>
      </c>
      <c r="H1833" s="17" t="str">
        <f ca="1"/>
        <v/>
      </c>
    </row>
    <row r="1834" spans="2:8" x14ac:dyDescent="0.35">
      <c r="B1834" t="str">
        <f ca="1"/>
        <v/>
      </c>
      <c r="C1834" t="str">
        <f ca="1"/>
        <v/>
      </c>
      <c r="D1834" t="str">
        <f ca="1"/>
        <v/>
      </c>
      <c r="E1834" t="str">
        <f ca="1"/>
        <v/>
      </c>
      <c r="F1834" t="str">
        <f ca="1"/>
        <v/>
      </c>
      <c r="G1834" t="str">
        <f ca="1"/>
        <v/>
      </c>
      <c r="H1834" s="17" t="str">
        <f ca="1"/>
        <v/>
      </c>
    </row>
    <row r="1835" spans="2:8" x14ac:dyDescent="0.35">
      <c r="B1835" t="str">
        <f ca="1"/>
        <v/>
      </c>
      <c r="C1835" t="str">
        <f ca="1"/>
        <v/>
      </c>
      <c r="D1835" t="str">
        <f ca="1"/>
        <v/>
      </c>
      <c r="E1835" t="str">
        <f ca="1"/>
        <v/>
      </c>
      <c r="F1835" t="str">
        <f ca="1"/>
        <v/>
      </c>
      <c r="G1835" t="str">
        <f ca="1"/>
        <v/>
      </c>
      <c r="H1835" s="17" t="str">
        <f ca="1"/>
        <v/>
      </c>
    </row>
    <row r="1836" spans="2:8" x14ac:dyDescent="0.35">
      <c r="B1836" t="str">
        <f ca="1"/>
        <v/>
      </c>
      <c r="C1836" t="str">
        <f ca="1"/>
        <v/>
      </c>
      <c r="D1836" t="str">
        <f ca="1"/>
        <v/>
      </c>
      <c r="E1836" t="str">
        <f ca="1"/>
        <v/>
      </c>
      <c r="F1836" t="str">
        <f ca="1"/>
        <v/>
      </c>
      <c r="G1836" t="str">
        <f ca="1"/>
        <v/>
      </c>
      <c r="H1836" s="17" t="str">
        <f ca="1"/>
        <v/>
      </c>
    </row>
    <row r="1837" spans="2:8" x14ac:dyDescent="0.35">
      <c r="B1837" t="str">
        <f ca="1"/>
        <v/>
      </c>
      <c r="C1837" t="str">
        <f ca="1"/>
        <v/>
      </c>
      <c r="D1837" t="str">
        <f ca="1"/>
        <v/>
      </c>
      <c r="E1837" t="str">
        <f ca="1"/>
        <v/>
      </c>
      <c r="F1837" t="str">
        <f ca="1"/>
        <v/>
      </c>
      <c r="G1837" t="str">
        <f ca="1"/>
        <v/>
      </c>
      <c r="H1837" s="17" t="str">
        <f ca="1"/>
        <v/>
      </c>
    </row>
    <row r="1838" spans="2:8" x14ac:dyDescent="0.35">
      <c r="B1838" t="str">
        <f ca="1"/>
        <v/>
      </c>
      <c r="C1838" t="str">
        <f ca="1"/>
        <v/>
      </c>
      <c r="D1838" t="str">
        <f ca="1"/>
        <v/>
      </c>
      <c r="E1838" t="str">
        <f ca="1"/>
        <v/>
      </c>
      <c r="F1838" t="str">
        <f ca="1"/>
        <v/>
      </c>
      <c r="G1838" t="str">
        <f ca="1"/>
        <v/>
      </c>
      <c r="H1838" s="17" t="str">
        <f ca="1"/>
        <v/>
      </c>
    </row>
    <row r="1839" spans="2:8" x14ac:dyDescent="0.35">
      <c r="B1839" t="str">
        <f ca="1"/>
        <v/>
      </c>
      <c r="C1839" t="str">
        <f ca="1"/>
        <v/>
      </c>
      <c r="D1839" t="str">
        <f ca="1"/>
        <v/>
      </c>
      <c r="E1839" t="str">
        <f ca="1"/>
        <v/>
      </c>
      <c r="F1839" t="str">
        <f ca="1"/>
        <v/>
      </c>
      <c r="G1839" t="str">
        <f ca="1"/>
        <v/>
      </c>
      <c r="H1839" s="17" t="str">
        <f ca="1"/>
        <v/>
      </c>
    </row>
    <row r="1840" spans="2:8" x14ac:dyDescent="0.35">
      <c r="B1840" t="str">
        <f ca="1"/>
        <v/>
      </c>
      <c r="C1840" t="str">
        <f ca="1"/>
        <v/>
      </c>
      <c r="D1840" t="str">
        <f ca="1"/>
        <v/>
      </c>
      <c r="E1840" t="str">
        <f ca="1"/>
        <v/>
      </c>
      <c r="F1840" t="str">
        <f ca="1"/>
        <v/>
      </c>
      <c r="G1840" t="str">
        <f ca="1"/>
        <v/>
      </c>
      <c r="H1840" s="17" t="str">
        <f ca="1"/>
        <v/>
      </c>
    </row>
    <row r="1841" spans="2:8" x14ac:dyDescent="0.35">
      <c r="B1841" t="str">
        <f ca="1"/>
        <v/>
      </c>
      <c r="C1841" t="str">
        <f ca="1"/>
        <v/>
      </c>
      <c r="D1841" t="str">
        <f ca="1"/>
        <v/>
      </c>
      <c r="E1841" t="str">
        <f ca="1"/>
        <v/>
      </c>
      <c r="F1841" t="str">
        <f ca="1"/>
        <v/>
      </c>
      <c r="G1841" t="str">
        <f ca="1"/>
        <v/>
      </c>
      <c r="H1841" s="17" t="str">
        <f ca="1"/>
        <v/>
      </c>
    </row>
    <row r="1842" spans="2:8" x14ac:dyDescent="0.35">
      <c r="B1842" t="str">
        <f ca="1"/>
        <v/>
      </c>
      <c r="C1842" t="str">
        <f ca="1"/>
        <v/>
      </c>
      <c r="D1842" t="str">
        <f ca="1"/>
        <v/>
      </c>
      <c r="E1842" t="str">
        <f ca="1"/>
        <v/>
      </c>
      <c r="F1842" t="str">
        <f ca="1"/>
        <v/>
      </c>
      <c r="G1842" t="str">
        <f ca="1"/>
        <v/>
      </c>
      <c r="H1842" s="17" t="str">
        <f ca="1"/>
        <v/>
      </c>
    </row>
    <row r="1843" spans="2:8" x14ac:dyDescent="0.35">
      <c r="B1843" t="str">
        <f ca="1"/>
        <v/>
      </c>
      <c r="C1843" t="str">
        <f ca="1"/>
        <v/>
      </c>
      <c r="D1843" t="str">
        <f ca="1"/>
        <v/>
      </c>
      <c r="E1843" t="str">
        <f ca="1"/>
        <v/>
      </c>
      <c r="F1843" t="str">
        <f ca="1"/>
        <v/>
      </c>
      <c r="G1843" t="str">
        <f ca="1"/>
        <v/>
      </c>
      <c r="H1843" s="17" t="str">
        <f ca="1"/>
        <v/>
      </c>
    </row>
    <row r="1844" spans="2:8" x14ac:dyDescent="0.35">
      <c r="B1844" t="str">
        <f ca="1"/>
        <v/>
      </c>
      <c r="C1844" t="str">
        <f ca="1"/>
        <v/>
      </c>
      <c r="D1844" t="str">
        <f ca="1"/>
        <v/>
      </c>
      <c r="E1844" t="str">
        <f ca="1"/>
        <v/>
      </c>
      <c r="F1844" t="str">
        <f ca="1"/>
        <v/>
      </c>
      <c r="G1844" t="str">
        <f ca="1"/>
        <v/>
      </c>
      <c r="H1844" s="17" t="str">
        <f ca="1"/>
        <v/>
      </c>
    </row>
    <row r="1845" spans="2:8" x14ac:dyDescent="0.35">
      <c r="B1845" t="str">
        <f ca="1"/>
        <v/>
      </c>
      <c r="C1845" t="str">
        <f ca="1"/>
        <v/>
      </c>
      <c r="D1845" t="str">
        <f ca="1"/>
        <v/>
      </c>
      <c r="E1845" t="str">
        <f ca="1"/>
        <v/>
      </c>
      <c r="F1845" t="str">
        <f ca="1"/>
        <v/>
      </c>
      <c r="G1845" t="str">
        <f ca="1"/>
        <v/>
      </c>
      <c r="H1845" s="17" t="str">
        <f ca="1"/>
        <v/>
      </c>
    </row>
    <row r="1846" spans="2:8" x14ac:dyDescent="0.35">
      <c r="B1846" t="str">
        <f ca="1"/>
        <v/>
      </c>
      <c r="C1846" t="str">
        <f ca="1"/>
        <v/>
      </c>
      <c r="D1846" t="str">
        <f ca="1"/>
        <v/>
      </c>
      <c r="E1846" t="str">
        <f ca="1"/>
        <v/>
      </c>
      <c r="F1846" t="str">
        <f ca="1"/>
        <v/>
      </c>
      <c r="G1846" t="str">
        <f ca="1"/>
        <v/>
      </c>
      <c r="H1846" s="17" t="str">
        <f ca="1"/>
        <v/>
      </c>
    </row>
    <row r="1847" spans="2:8" x14ac:dyDescent="0.35">
      <c r="B1847" t="str">
        <f ca="1"/>
        <v/>
      </c>
      <c r="C1847" t="str">
        <f ca="1"/>
        <v/>
      </c>
      <c r="D1847" t="str">
        <f ca="1"/>
        <v/>
      </c>
      <c r="E1847" t="str">
        <f ca="1"/>
        <v/>
      </c>
      <c r="F1847" t="str">
        <f ca="1"/>
        <v/>
      </c>
      <c r="G1847" t="str">
        <f ca="1"/>
        <v/>
      </c>
      <c r="H1847" s="17" t="str">
        <f ca="1"/>
        <v/>
      </c>
    </row>
    <row r="1848" spans="2:8" x14ac:dyDescent="0.35">
      <c r="B1848" t="str">
        <f ca="1"/>
        <v/>
      </c>
      <c r="C1848" t="str">
        <f ca="1"/>
        <v/>
      </c>
      <c r="D1848" t="str">
        <f ca="1"/>
        <v/>
      </c>
      <c r="E1848" t="str">
        <f ca="1"/>
        <v/>
      </c>
      <c r="F1848" t="str">
        <f ca="1"/>
        <v/>
      </c>
      <c r="G1848" t="str">
        <f ca="1"/>
        <v/>
      </c>
      <c r="H1848" s="17" t="str">
        <f ca="1"/>
        <v/>
      </c>
    </row>
    <row r="1849" spans="2:8" x14ac:dyDescent="0.35">
      <c r="B1849" t="str">
        <f ca="1"/>
        <v/>
      </c>
      <c r="C1849" t="str">
        <f ca="1"/>
        <v/>
      </c>
      <c r="D1849" t="str">
        <f ca="1"/>
        <v/>
      </c>
      <c r="E1849" t="str">
        <f ca="1"/>
        <v/>
      </c>
      <c r="F1849" t="str">
        <f ca="1"/>
        <v/>
      </c>
      <c r="G1849" t="str">
        <f ca="1"/>
        <v/>
      </c>
      <c r="H1849" s="17" t="str">
        <f ca="1"/>
        <v/>
      </c>
    </row>
    <row r="1850" spans="2:8" x14ac:dyDescent="0.35">
      <c r="B1850" t="str">
        <f ca="1"/>
        <v/>
      </c>
      <c r="C1850" t="str">
        <f ca="1"/>
        <v/>
      </c>
      <c r="D1850" t="str">
        <f ca="1"/>
        <v/>
      </c>
      <c r="E1850" t="str">
        <f ca="1"/>
        <v/>
      </c>
      <c r="F1850" t="str">
        <f ca="1"/>
        <v/>
      </c>
      <c r="G1850" t="str">
        <f ca="1"/>
        <v/>
      </c>
      <c r="H1850" s="17" t="str">
        <f ca="1"/>
        <v/>
      </c>
    </row>
    <row r="1851" spans="2:8" x14ac:dyDescent="0.35">
      <c r="B1851" t="str">
        <f ca="1"/>
        <v/>
      </c>
      <c r="C1851" t="str">
        <f ca="1"/>
        <v/>
      </c>
      <c r="D1851" t="str">
        <f ca="1"/>
        <v/>
      </c>
      <c r="E1851" t="str">
        <f ca="1"/>
        <v/>
      </c>
      <c r="F1851" t="str">
        <f ca="1"/>
        <v/>
      </c>
      <c r="G1851" t="str">
        <f ca="1"/>
        <v/>
      </c>
      <c r="H1851" s="17" t="str">
        <f ca="1"/>
        <v/>
      </c>
    </row>
    <row r="1852" spans="2:8" x14ac:dyDescent="0.35">
      <c r="B1852" t="str">
        <f ca="1"/>
        <v/>
      </c>
      <c r="C1852" t="str">
        <f ca="1"/>
        <v/>
      </c>
      <c r="D1852" t="str">
        <f ca="1"/>
        <v/>
      </c>
      <c r="E1852" t="str">
        <f ca="1"/>
        <v/>
      </c>
      <c r="F1852" t="str">
        <f ca="1"/>
        <v/>
      </c>
      <c r="G1852" t="str">
        <f ca="1"/>
        <v/>
      </c>
      <c r="H1852" s="17" t="str">
        <f ca="1"/>
        <v/>
      </c>
    </row>
    <row r="1853" spans="2:8" x14ac:dyDescent="0.35">
      <c r="B1853" t="str">
        <f ca="1"/>
        <v/>
      </c>
      <c r="C1853" t="str">
        <f ca="1"/>
        <v/>
      </c>
      <c r="D1853" t="str">
        <f ca="1"/>
        <v/>
      </c>
      <c r="E1853" t="str">
        <f ca="1"/>
        <v/>
      </c>
      <c r="F1853" t="str">
        <f ca="1"/>
        <v/>
      </c>
      <c r="G1853" t="str">
        <f ca="1"/>
        <v/>
      </c>
      <c r="H1853" s="17" t="str">
        <f ca="1"/>
        <v/>
      </c>
    </row>
    <row r="1854" spans="2:8" x14ac:dyDescent="0.35">
      <c r="B1854" t="str">
        <f ca="1"/>
        <v/>
      </c>
      <c r="C1854" t="str">
        <f ca="1"/>
        <v/>
      </c>
      <c r="D1854" t="str">
        <f ca="1"/>
        <v/>
      </c>
      <c r="E1854" t="str">
        <f ca="1"/>
        <v/>
      </c>
      <c r="F1854" t="str">
        <f ca="1"/>
        <v/>
      </c>
      <c r="G1854" t="str">
        <f ca="1"/>
        <v/>
      </c>
      <c r="H1854" s="17" t="str">
        <f ca="1"/>
        <v/>
      </c>
    </row>
    <row r="1855" spans="2:8" x14ac:dyDescent="0.35">
      <c r="B1855" t="str">
        <f ca="1"/>
        <v/>
      </c>
      <c r="C1855" t="str">
        <f ca="1"/>
        <v/>
      </c>
      <c r="D1855" t="str">
        <f ca="1"/>
        <v/>
      </c>
      <c r="E1855" t="str">
        <f ca="1"/>
        <v/>
      </c>
      <c r="F1855" t="str">
        <f ca="1"/>
        <v/>
      </c>
      <c r="G1855" t="str">
        <f ca="1"/>
        <v/>
      </c>
      <c r="H1855" s="17" t="str">
        <f ca="1"/>
        <v/>
      </c>
    </row>
    <row r="1856" spans="2:8" x14ac:dyDescent="0.35">
      <c r="B1856" t="str">
        <f ca="1"/>
        <v/>
      </c>
      <c r="C1856" t="str">
        <f ca="1"/>
        <v/>
      </c>
      <c r="D1856" t="str">
        <f ca="1"/>
        <v/>
      </c>
      <c r="E1856" t="str">
        <f ca="1"/>
        <v/>
      </c>
      <c r="F1856" t="str">
        <f ca="1"/>
        <v/>
      </c>
      <c r="G1856" t="str">
        <f ca="1"/>
        <v/>
      </c>
      <c r="H1856" s="17" t="str">
        <f ca="1"/>
        <v/>
      </c>
    </row>
    <row r="1857" spans="2:8" x14ac:dyDescent="0.35">
      <c r="B1857" t="str">
        <f ca="1"/>
        <v/>
      </c>
      <c r="C1857" t="str">
        <f ca="1"/>
        <v/>
      </c>
      <c r="D1857" t="str">
        <f ca="1"/>
        <v/>
      </c>
      <c r="E1857" t="str">
        <f ca="1"/>
        <v/>
      </c>
      <c r="F1857" t="str">
        <f ca="1"/>
        <v/>
      </c>
      <c r="G1857" t="str">
        <f ca="1"/>
        <v/>
      </c>
      <c r="H1857" s="17" t="str">
        <f ca="1"/>
        <v/>
      </c>
    </row>
    <row r="1858" spans="2:8" x14ac:dyDescent="0.35">
      <c r="B1858" t="str">
        <f ca="1"/>
        <v/>
      </c>
      <c r="C1858" t="str">
        <f ca="1"/>
        <v/>
      </c>
      <c r="D1858" t="str">
        <f ca="1"/>
        <v/>
      </c>
      <c r="E1858" t="str">
        <f ca="1"/>
        <v/>
      </c>
      <c r="F1858" t="str">
        <f ca="1"/>
        <v/>
      </c>
      <c r="G1858" t="str">
        <f ca="1"/>
        <v/>
      </c>
      <c r="H1858" s="17" t="str">
        <f ca="1"/>
        <v/>
      </c>
    </row>
    <row r="1859" spans="2:8" x14ac:dyDescent="0.35">
      <c r="B1859" t="str">
        <f ca="1"/>
        <v/>
      </c>
      <c r="C1859" t="str">
        <f ca="1"/>
        <v/>
      </c>
      <c r="D1859" t="str">
        <f ca="1"/>
        <v/>
      </c>
      <c r="E1859" t="str">
        <f ca="1"/>
        <v/>
      </c>
      <c r="F1859" t="str">
        <f ca="1"/>
        <v/>
      </c>
      <c r="G1859" t="str">
        <f ca="1"/>
        <v/>
      </c>
      <c r="H1859" s="17" t="str">
        <f ca="1"/>
        <v/>
      </c>
    </row>
    <row r="1860" spans="2:8" x14ac:dyDescent="0.35">
      <c r="B1860" t="str">
        <f ca="1"/>
        <v/>
      </c>
      <c r="C1860" t="str">
        <f ca="1"/>
        <v/>
      </c>
      <c r="D1860" t="str">
        <f ca="1"/>
        <v/>
      </c>
      <c r="E1860" t="str">
        <f ca="1"/>
        <v/>
      </c>
      <c r="F1860" t="str">
        <f ca="1"/>
        <v/>
      </c>
      <c r="G1860" t="str">
        <f ca="1"/>
        <v/>
      </c>
      <c r="H1860" s="17" t="str">
        <f ca="1"/>
        <v/>
      </c>
    </row>
    <row r="1861" spans="2:8" x14ac:dyDescent="0.35">
      <c r="B1861" t="str">
        <f ca="1"/>
        <v/>
      </c>
      <c r="C1861" t="str">
        <f ca="1"/>
        <v/>
      </c>
      <c r="D1861" t="str">
        <f ca="1"/>
        <v/>
      </c>
      <c r="E1861" t="str">
        <f ca="1"/>
        <v/>
      </c>
      <c r="F1861" t="str">
        <f ca="1"/>
        <v/>
      </c>
      <c r="G1861" t="str">
        <f ca="1"/>
        <v/>
      </c>
      <c r="H1861" s="17" t="str">
        <f ca="1"/>
        <v/>
      </c>
    </row>
    <row r="1862" spans="2:8" x14ac:dyDescent="0.35">
      <c r="B1862" t="str">
        <f ca="1"/>
        <v/>
      </c>
      <c r="C1862" t="str">
        <f ca="1"/>
        <v/>
      </c>
      <c r="D1862" t="str">
        <f ca="1"/>
        <v/>
      </c>
      <c r="E1862" t="str">
        <f ca="1"/>
        <v/>
      </c>
      <c r="F1862" t="str">
        <f ca="1"/>
        <v/>
      </c>
      <c r="G1862" t="str">
        <f ca="1"/>
        <v/>
      </c>
      <c r="H1862" s="17" t="str">
        <f ca="1"/>
        <v/>
      </c>
    </row>
    <row r="1863" spans="2:8" x14ac:dyDescent="0.35">
      <c r="B1863" t="str">
        <f ca="1"/>
        <v/>
      </c>
      <c r="C1863" t="str">
        <f ca="1"/>
        <v/>
      </c>
      <c r="D1863" t="str">
        <f ca="1"/>
        <v/>
      </c>
      <c r="E1863" t="str">
        <f ca="1"/>
        <v/>
      </c>
      <c r="F1863" t="str">
        <f ca="1"/>
        <v/>
      </c>
      <c r="G1863" t="str">
        <f ca="1"/>
        <v/>
      </c>
      <c r="H1863" s="17" t="str">
        <f ca="1"/>
        <v/>
      </c>
    </row>
    <row r="1864" spans="2:8" x14ac:dyDescent="0.35">
      <c r="B1864" t="str">
        <f ca="1"/>
        <v/>
      </c>
      <c r="C1864" t="str">
        <f ca="1"/>
        <v/>
      </c>
      <c r="D1864" t="str">
        <f ca="1"/>
        <v/>
      </c>
      <c r="E1864" t="str">
        <f ca="1"/>
        <v/>
      </c>
      <c r="F1864" t="str">
        <f ca="1"/>
        <v/>
      </c>
      <c r="G1864" t="str">
        <f ca="1"/>
        <v/>
      </c>
      <c r="H1864" s="17" t="str">
        <f ca="1"/>
        <v/>
      </c>
    </row>
    <row r="1865" spans="2:8" x14ac:dyDescent="0.35">
      <c r="B1865" t="str">
        <f ca="1"/>
        <v/>
      </c>
      <c r="C1865" t="str">
        <f ca="1"/>
        <v/>
      </c>
      <c r="D1865" t="str">
        <f ca="1"/>
        <v/>
      </c>
      <c r="E1865" t="str">
        <f ca="1"/>
        <v/>
      </c>
      <c r="F1865" t="str">
        <f ca="1"/>
        <v/>
      </c>
      <c r="G1865" t="str">
        <f ca="1"/>
        <v/>
      </c>
      <c r="H1865" s="17" t="str">
        <f ca="1"/>
        <v/>
      </c>
    </row>
    <row r="1866" spans="2:8" x14ac:dyDescent="0.35">
      <c r="B1866" t="str">
        <f ca="1"/>
        <v/>
      </c>
      <c r="C1866" t="str">
        <f ca="1"/>
        <v/>
      </c>
      <c r="D1866" t="str">
        <f ca="1"/>
        <v/>
      </c>
      <c r="E1866" t="str">
        <f ca="1"/>
        <v/>
      </c>
      <c r="F1866" t="str">
        <f ca="1"/>
        <v/>
      </c>
      <c r="G1866" t="str">
        <f ca="1"/>
        <v/>
      </c>
      <c r="H1866" s="17" t="str">
        <f ca="1"/>
        <v/>
      </c>
    </row>
    <row r="1867" spans="2:8" x14ac:dyDescent="0.35">
      <c r="B1867" t="str">
        <f ca="1"/>
        <v/>
      </c>
      <c r="C1867" t="str">
        <f ca="1"/>
        <v/>
      </c>
      <c r="D1867" t="str">
        <f ca="1"/>
        <v/>
      </c>
      <c r="E1867" t="str">
        <f ca="1"/>
        <v/>
      </c>
      <c r="F1867" t="str">
        <f ca="1"/>
        <v/>
      </c>
      <c r="G1867" t="str">
        <f ca="1"/>
        <v/>
      </c>
      <c r="H1867" s="17" t="str">
        <f ca="1"/>
        <v/>
      </c>
    </row>
    <row r="1868" spans="2:8" x14ac:dyDescent="0.35">
      <c r="B1868" t="str">
        <f ca="1"/>
        <v/>
      </c>
      <c r="C1868" t="str">
        <f ca="1"/>
        <v/>
      </c>
      <c r="D1868" t="str">
        <f ca="1"/>
        <v/>
      </c>
      <c r="E1868" t="str">
        <f ca="1"/>
        <v/>
      </c>
      <c r="F1868" t="str">
        <f ca="1"/>
        <v/>
      </c>
      <c r="G1868" t="str">
        <f ca="1"/>
        <v/>
      </c>
      <c r="H1868" s="17" t="str">
        <f ca="1"/>
        <v/>
      </c>
    </row>
    <row r="1869" spans="2:8" x14ac:dyDescent="0.35">
      <c r="B1869" t="str">
        <f ca="1"/>
        <v/>
      </c>
      <c r="C1869" t="str">
        <f ca="1"/>
        <v/>
      </c>
      <c r="D1869" t="str">
        <f ca="1"/>
        <v/>
      </c>
      <c r="E1869" t="str">
        <f ca="1"/>
        <v/>
      </c>
      <c r="F1869" t="str">
        <f ca="1"/>
        <v/>
      </c>
      <c r="G1869" t="str">
        <f ca="1"/>
        <v/>
      </c>
      <c r="H1869" s="17" t="str">
        <f ca="1"/>
        <v/>
      </c>
    </row>
    <row r="1870" spans="2:8" x14ac:dyDescent="0.35">
      <c r="B1870" t="str">
        <f ca="1"/>
        <v/>
      </c>
      <c r="C1870" t="str">
        <f ca="1"/>
        <v/>
      </c>
      <c r="D1870" t="str">
        <f ca="1"/>
        <v/>
      </c>
      <c r="E1870" t="str">
        <f ca="1"/>
        <v/>
      </c>
      <c r="F1870" t="str">
        <f ca="1"/>
        <v/>
      </c>
      <c r="G1870" t="str">
        <f ca="1"/>
        <v/>
      </c>
      <c r="H1870" s="17" t="str">
        <f ca="1"/>
        <v/>
      </c>
    </row>
    <row r="1871" spans="2:8" x14ac:dyDescent="0.35">
      <c r="B1871" t="str">
        <f ca="1"/>
        <v/>
      </c>
      <c r="C1871" t="str">
        <f ca="1"/>
        <v/>
      </c>
      <c r="D1871" t="str">
        <f ca="1"/>
        <v/>
      </c>
      <c r="E1871" t="str">
        <f ca="1"/>
        <v/>
      </c>
      <c r="F1871" t="str">
        <f ca="1"/>
        <v/>
      </c>
      <c r="G1871" t="str">
        <f ca="1"/>
        <v/>
      </c>
      <c r="H1871" s="17" t="str">
        <f ca="1"/>
        <v/>
      </c>
    </row>
    <row r="1872" spans="2:8" x14ac:dyDescent="0.35">
      <c r="B1872" t="str">
        <f ca="1"/>
        <v/>
      </c>
      <c r="C1872" t="str">
        <f ca="1"/>
        <v/>
      </c>
      <c r="D1872" t="str">
        <f ca="1"/>
        <v/>
      </c>
      <c r="E1872" t="str">
        <f ca="1"/>
        <v/>
      </c>
      <c r="F1872" t="str">
        <f ca="1"/>
        <v/>
      </c>
      <c r="G1872" t="str">
        <f ca="1"/>
        <v/>
      </c>
      <c r="H1872" s="17" t="str">
        <f ca="1"/>
        <v/>
      </c>
    </row>
    <row r="1873" spans="2:8" x14ac:dyDescent="0.35">
      <c r="B1873" t="str">
        <f ca="1"/>
        <v/>
      </c>
      <c r="C1873" t="str">
        <f ca="1"/>
        <v/>
      </c>
      <c r="D1873" t="str">
        <f ca="1"/>
        <v/>
      </c>
      <c r="E1873" t="str">
        <f ca="1"/>
        <v/>
      </c>
      <c r="F1873" t="str">
        <f ca="1"/>
        <v/>
      </c>
      <c r="G1873" t="str">
        <f ca="1"/>
        <v/>
      </c>
      <c r="H1873" s="17" t="str">
        <f ca="1"/>
        <v/>
      </c>
    </row>
    <row r="1874" spans="2:8" x14ac:dyDescent="0.35">
      <c r="B1874" t="str">
        <f ca="1"/>
        <v/>
      </c>
      <c r="C1874" t="str">
        <f ca="1"/>
        <v/>
      </c>
      <c r="D1874" t="str">
        <f ca="1"/>
        <v/>
      </c>
      <c r="E1874" t="str">
        <f ca="1"/>
        <v/>
      </c>
      <c r="F1874" t="str">
        <f ca="1"/>
        <v/>
      </c>
      <c r="G1874" t="str">
        <f ca="1"/>
        <v/>
      </c>
      <c r="H1874" s="17" t="str">
        <f ca="1"/>
        <v/>
      </c>
    </row>
    <row r="1875" spans="2:8" x14ac:dyDescent="0.35">
      <c r="B1875" t="str">
        <f ca="1"/>
        <v/>
      </c>
      <c r="C1875" t="str">
        <f ca="1"/>
        <v/>
      </c>
      <c r="D1875" t="str">
        <f ca="1"/>
        <v/>
      </c>
      <c r="E1875" t="str">
        <f ca="1"/>
        <v/>
      </c>
      <c r="F1875" t="str">
        <f ca="1"/>
        <v/>
      </c>
      <c r="G1875" t="str">
        <f ca="1"/>
        <v/>
      </c>
      <c r="H1875" s="17" t="str">
        <f ca="1"/>
        <v/>
      </c>
    </row>
    <row r="1876" spans="2:8" x14ac:dyDescent="0.35">
      <c r="B1876" t="str">
        <f ca="1"/>
        <v/>
      </c>
      <c r="C1876" t="str">
        <f ca="1"/>
        <v/>
      </c>
      <c r="D1876" t="str">
        <f ca="1"/>
        <v/>
      </c>
      <c r="E1876" t="str">
        <f ca="1"/>
        <v/>
      </c>
      <c r="F1876" t="str">
        <f ca="1"/>
        <v/>
      </c>
      <c r="G1876" t="str">
        <f ca="1"/>
        <v/>
      </c>
      <c r="H1876" s="17" t="str">
        <f ca="1"/>
        <v/>
      </c>
    </row>
    <row r="1877" spans="2:8" x14ac:dyDescent="0.35">
      <c r="B1877" t="str">
        <f ca="1"/>
        <v/>
      </c>
      <c r="C1877" t="str">
        <f ca="1"/>
        <v/>
      </c>
      <c r="D1877" t="str">
        <f ca="1"/>
        <v/>
      </c>
      <c r="E1877" t="str">
        <f ca="1"/>
        <v/>
      </c>
      <c r="F1877" t="str">
        <f ca="1"/>
        <v/>
      </c>
      <c r="G1877" t="str">
        <f ca="1"/>
        <v/>
      </c>
      <c r="H1877" s="17" t="str">
        <f ca="1"/>
        <v/>
      </c>
    </row>
    <row r="1878" spans="2:8" x14ac:dyDescent="0.35">
      <c r="B1878" t="str">
        <f ca="1"/>
        <v/>
      </c>
      <c r="C1878" t="str">
        <f ca="1"/>
        <v/>
      </c>
      <c r="D1878" t="str">
        <f ca="1"/>
        <v/>
      </c>
      <c r="E1878" t="str">
        <f ca="1"/>
        <v/>
      </c>
      <c r="F1878" t="str">
        <f ca="1"/>
        <v/>
      </c>
      <c r="G1878" t="str">
        <f ca="1"/>
        <v/>
      </c>
      <c r="H1878" s="17" t="str">
        <f ca="1"/>
        <v/>
      </c>
    </row>
    <row r="1879" spans="2:8" x14ac:dyDescent="0.35">
      <c r="B1879" t="str">
        <f ca="1"/>
        <v/>
      </c>
      <c r="C1879" t="str">
        <f ca="1"/>
        <v/>
      </c>
      <c r="D1879" t="str">
        <f ca="1"/>
        <v/>
      </c>
      <c r="E1879" t="str">
        <f ca="1"/>
        <v/>
      </c>
      <c r="F1879" t="str">
        <f ca="1"/>
        <v/>
      </c>
      <c r="G1879" t="str">
        <f ca="1"/>
        <v/>
      </c>
      <c r="H1879" s="17" t="str">
        <f ca="1"/>
        <v/>
      </c>
    </row>
    <row r="1880" spans="2:8" x14ac:dyDescent="0.35">
      <c r="B1880" t="str">
        <f ca="1"/>
        <v/>
      </c>
      <c r="C1880" t="str">
        <f ca="1"/>
        <v/>
      </c>
      <c r="D1880" t="str">
        <f ca="1"/>
        <v/>
      </c>
      <c r="E1880" t="str">
        <f ca="1"/>
        <v/>
      </c>
      <c r="F1880" t="str">
        <f ca="1"/>
        <v/>
      </c>
      <c r="G1880" t="str">
        <f ca="1"/>
        <v/>
      </c>
      <c r="H1880" s="17" t="str">
        <f ca="1"/>
        <v/>
      </c>
    </row>
    <row r="1881" spans="2:8" x14ac:dyDescent="0.35">
      <c r="B1881" t="str">
        <f ca="1"/>
        <v/>
      </c>
      <c r="C1881" t="str">
        <f ca="1"/>
        <v/>
      </c>
      <c r="D1881" t="str">
        <f ca="1"/>
        <v/>
      </c>
      <c r="E1881" t="str">
        <f ca="1"/>
        <v/>
      </c>
      <c r="F1881" t="str">
        <f ca="1"/>
        <v/>
      </c>
      <c r="G1881" t="str">
        <f ca="1"/>
        <v/>
      </c>
      <c r="H1881" s="17" t="str">
        <f ca="1"/>
        <v/>
      </c>
    </row>
    <row r="1882" spans="2:8" x14ac:dyDescent="0.35">
      <c r="B1882" t="str">
        <f ca="1"/>
        <v/>
      </c>
      <c r="C1882" t="str">
        <f ca="1"/>
        <v/>
      </c>
      <c r="D1882" t="str">
        <f ca="1"/>
        <v/>
      </c>
      <c r="E1882" t="str">
        <f ca="1"/>
        <v/>
      </c>
      <c r="F1882" t="str">
        <f ca="1"/>
        <v/>
      </c>
      <c r="G1882" t="str">
        <f ca="1"/>
        <v/>
      </c>
      <c r="H1882" s="17" t="str">
        <f ca="1"/>
        <v/>
      </c>
    </row>
    <row r="1883" spans="2:8" x14ac:dyDescent="0.35">
      <c r="B1883" t="str">
        <f ca="1"/>
        <v/>
      </c>
      <c r="C1883" t="str">
        <f ca="1"/>
        <v/>
      </c>
      <c r="D1883" t="str">
        <f ca="1"/>
        <v/>
      </c>
      <c r="E1883" t="str">
        <f ca="1"/>
        <v/>
      </c>
      <c r="F1883" t="str">
        <f ca="1"/>
        <v/>
      </c>
      <c r="G1883" t="str">
        <f ca="1"/>
        <v/>
      </c>
      <c r="H1883" s="17" t="str">
        <f ca="1"/>
        <v/>
      </c>
    </row>
    <row r="1884" spans="2:8" x14ac:dyDescent="0.35">
      <c r="B1884" t="str">
        <f ca="1"/>
        <v/>
      </c>
      <c r="C1884" t="str">
        <f ca="1"/>
        <v/>
      </c>
      <c r="D1884" t="str">
        <f ca="1"/>
        <v/>
      </c>
      <c r="E1884" t="str">
        <f ca="1"/>
        <v/>
      </c>
      <c r="F1884" t="str">
        <f ca="1"/>
        <v/>
      </c>
      <c r="G1884" t="str">
        <f ca="1"/>
        <v/>
      </c>
      <c r="H1884" s="17" t="str">
        <f ca="1"/>
        <v/>
      </c>
    </row>
    <row r="1885" spans="2:8" x14ac:dyDescent="0.35">
      <c r="B1885" t="str">
        <f ca="1"/>
        <v/>
      </c>
      <c r="C1885" t="str">
        <f ca="1"/>
        <v/>
      </c>
      <c r="D1885" t="str">
        <f ca="1"/>
        <v/>
      </c>
      <c r="E1885" t="str">
        <f ca="1"/>
        <v/>
      </c>
      <c r="F1885" t="str">
        <f ca="1"/>
        <v/>
      </c>
      <c r="G1885" t="str">
        <f ca="1"/>
        <v/>
      </c>
      <c r="H1885" s="17" t="str">
        <f ca="1"/>
        <v/>
      </c>
    </row>
    <row r="1886" spans="2:8" x14ac:dyDescent="0.35">
      <c r="B1886" t="str">
        <f ca="1"/>
        <v/>
      </c>
      <c r="C1886" t="str">
        <f ca="1"/>
        <v/>
      </c>
      <c r="D1886" t="str">
        <f ca="1"/>
        <v/>
      </c>
      <c r="E1886" t="str">
        <f ca="1"/>
        <v/>
      </c>
      <c r="F1886" t="str">
        <f ca="1"/>
        <v/>
      </c>
      <c r="G1886" t="str">
        <f ca="1"/>
        <v/>
      </c>
      <c r="H1886" s="17" t="str">
        <f ca="1"/>
        <v/>
      </c>
    </row>
    <row r="1887" spans="2:8" x14ac:dyDescent="0.35">
      <c r="B1887" t="str">
        <f ca="1"/>
        <v/>
      </c>
      <c r="C1887" t="str">
        <f ca="1"/>
        <v/>
      </c>
      <c r="D1887" t="str">
        <f ca="1"/>
        <v/>
      </c>
      <c r="E1887" t="str">
        <f ca="1"/>
        <v/>
      </c>
      <c r="F1887" t="str">
        <f ca="1"/>
        <v/>
      </c>
      <c r="G1887" t="str">
        <f ca="1"/>
        <v/>
      </c>
      <c r="H1887" s="17" t="str">
        <f ca="1"/>
        <v/>
      </c>
    </row>
    <row r="1888" spans="2:8" x14ac:dyDescent="0.35">
      <c r="B1888" t="str">
        <f ca="1"/>
        <v/>
      </c>
      <c r="C1888" t="str">
        <f ca="1"/>
        <v/>
      </c>
      <c r="D1888" t="str">
        <f ca="1"/>
        <v/>
      </c>
      <c r="E1888" t="str">
        <f ca="1"/>
        <v/>
      </c>
      <c r="F1888" t="str">
        <f ca="1"/>
        <v/>
      </c>
      <c r="G1888" t="str">
        <f ca="1"/>
        <v/>
      </c>
      <c r="H1888" s="17" t="str">
        <f ca="1"/>
        <v/>
      </c>
    </row>
    <row r="1889" spans="2:8" x14ac:dyDescent="0.35">
      <c r="B1889" t="str">
        <f ca="1"/>
        <v/>
      </c>
      <c r="C1889" t="str">
        <f ca="1"/>
        <v/>
      </c>
      <c r="D1889" t="str">
        <f ca="1"/>
        <v/>
      </c>
      <c r="E1889" t="str">
        <f ca="1"/>
        <v/>
      </c>
      <c r="F1889" t="str">
        <f ca="1"/>
        <v/>
      </c>
      <c r="G1889" t="str">
        <f ca="1"/>
        <v/>
      </c>
      <c r="H1889" s="17" t="str">
        <f ca="1"/>
        <v/>
      </c>
    </row>
    <row r="1890" spans="2:8" x14ac:dyDescent="0.35">
      <c r="B1890" t="str">
        <f ca="1"/>
        <v/>
      </c>
      <c r="C1890" t="str">
        <f ca="1"/>
        <v/>
      </c>
      <c r="D1890" t="str">
        <f ca="1"/>
        <v/>
      </c>
      <c r="E1890" t="str">
        <f ca="1"/>
        <v/>
      </c>
      <c r="F1890" t="str">
        <f ca="1"/>
        <v/>
      </c>
      <c r="G1890" t="str">
        <f ca="1"/>
        <v/>
      </c>
      <c r="H1890" s="17" t="str">
        <f ca="1"/>
        <v/>
      </c>
    </row>
    <row r="1891" spans="2:8" x14ac:dyDescent="0.35">
      <c r="B1891" t="str">
        <f ca="1"/>
        <v/>
      </c>
      <c r="C1891" t="str">
        <f ca="1"/>
        <v/>
      </c>
      <c r="D1891" t="str">
        <f ca="1"/>
        <v/>
      </c>
      <c r="E1891" t="str">
        <f ca="1"/>
        <v/>
      </c>
      <c r="F1891" t="str">
        <f ca="1"/>
        <v/>
      </c>
      <c r="G1891" t="str">
        <f ca="1"/>
        <v/>
      </c>
      <c r="H1891" s="17" t="str">
        <f ca="1"/>
        <v/>
      </c>
    </row>
    <row r="1892" spans="2:8" x14ac:dyDescent="0.35">
      <c r="B1892" t="str">
        <f ca="1"/>
        <v/>
      </c>
      <c r="C1892" t="str">
        <f ca="1"/>
        <v/>
      </c>
      <c r="D1892" t="str">
        <f ca="1"/>
        <v/>
      </c>
      <c r="E1892" t="str">
        <f ca="1"/>
        <v/>
      </c>
      <c r="F1892" t="str">
        <f ca="1"/>
        <v/>
      </c>
      <c r="G1892" t="str">
        <f ca="1"/>
        <v/>
      </c>
      <c r="H1892" s="17" t="str">
        <f ca="1"/>
        <v/>
      </c>
    </row>
    <row r="1893" spans="2:8" x14ac:dyDescent="0.35">
      <c r="B1893" t="str">
        <f ca="1"/>
        <v/>
      </c>
      <c r="C1893" t="str">
        <f ca="1"/>
        <v/>
      </c>
      <c r="D1893" t="str">
        <f ca="1"/>
        <v/>
      </c>
      <c r="E1893" t="str">
        <f ca="1"/>
        <v/>
      </c>
      <c r="F1893" t="str">
        <f ca="1"/>
        <v/>
      </c>
      <c r="G1893" t="str">
        <f ca="1"/>
        <v/>
      </c>
      <c r="H1893" s="17" t="str">
        <f ca="1"/>
        <v/>
      </c>
    </row>
    <row r="1894" spans="2:8" x14ac:dyDescent="0.35">
      <c r="B1894" t="str">
        <f ca="1"/>
        <v/>
      </c>
      <c r="C1894" t="str">
        <f ca="1"/>
        <v/>
      </c>
      <c r="D1894" t="str">
        <f ca="1"/>
        <v/>
      </c>
      <c r="E1894" t="str">
        <f ca="1"/>
        <v/>
      </c>
      <c r="F1894" t="str">
        <f ca="1"/>
        <v/>
      </c>
      <c r="G1894" t="str">
        <f ca="1"/>
        <v/>
      </c>
      <c r="H1894" s="17" t="str">
        <f ca="1"/>
        <v/>
      </c>
    </row>
    <row r="1895" spans="2:8" x14ac:dyDescent="0.35">
      <c r="B1895" t="str">
        <f ca="1"/>
        <v/>
      </c>
      <c r="C1895" t="str">
        <f ca="1"/>
        <v/>
      </c>
      <c r="D1895" t="str">
        <f ca="1"/>
        <v/>
      </c>
      <c r="E1895" t="str">
        <f ca="1"/>
        <v/>
      </c>
      <c r="F1895" t="str">
        <f ca="1"/>
        <v/>
      </c>
      <c r="G1895" t="str">
        <f ca="1"/>
        <v/>
      </c>
      <c r="H1895" s="17" t="str">
        <f ca="1"/>
        <v/>
      </c>
    </row>
    <row r="1896" spans="2:8" x14ac:dyDescent="0.35">
      <c r="B1896" t="str">
        <f ca="1"/>
        <v/>
      </c>
      <c r="C1896" t="str">
        <f ca="1"/>
        <v/>
      </c>
      <c r="D1896" t="str">
        <f ca="1"/>
        <v/>
      </c>
      <c r="E1896" t="str">
        <f ca="1"/>
        <v/>
      </c>
      <c r="F1896" t="str">
        <f ca="1"/>
        <v/>
      </c>
      <c r="G1896" t="str">
        <f ca="1"/>
        <v/>
      </c>
      <c r="H1896" s="17" t="str">
        <f ca="1"/>
        <v/>
      </c>
    </row>
    <row r="1897" spans="2:8" x14ac:dyDescent="0.35">
      <c r="B1897" t="str">
        <f ca="1"/>
        <v/>
      </c>
      <c r="C1897" t="str">
        <f ca="1"/>
        <v/>
      </c>
      <c r="D1897" t="str">
        <f ca="1"/>
        <v/>
      </c>
      <c r="E1897" t="str">
        <f ca="1"/>
        <v/>
      </c>
      <c r="F1897" t="str">
        <f ca="1"/>
        <v/>
      </c>
      <c r="G1897" t="str">
        <f ca="1"/>
        <v/>
      </c>
      <c r="H1897" s="17" t="str">
        <f ca="1"/>
        <v/>
      </c>
    </row>
    <row r="1898" spans="2:8" x14ac:dyDescent="0.35">
      <c r="B1898" t="str">
        <f ca="1"/>
        <v/>
      </c>
      <c r="C1898" t="str">
        <f ca="1"/>
        <v/>
      </c>
      <c r="D1898" t="str">
        <f ca="1"/>
        <v/>
      </c>
      <c r="E1898" t="str">
        <f ca="1"/>
        <v/>
      </c>
      <c r="F1898" t="str">
        <f ca="1"/>
        <v/>
      </c>
      <c r="G1898" t="str">
        <f ca="1"/>
        <v/>
      </c>
      <c r="H1898" s="17" t="str">
        <f ca="1"/>
        <v/>
      </c>
    </row>
    <row r="1899" spans="2:8" x14ac:dyDescent="0.35">
      <c r="B1899" t="str">
        <f ca="1"/>
        <v/>
      </c>
      <c r="C1899" t="str">
        <f ca="1"/>
        <v/>
      </c>
      <c r="D1899" t="str">
        <f ca="1"/>
        <v/>
      </c>
      <c r="E1899" t="str">
        <f ca="1"/>
        <v/>
      </c>
      <c r="F1899" t="str">
        <f ca="1"/>
        <v/>
      </c>
      <c r="G1899" t="str">
        <f ca="1"/>
        <v/>
      </c>
      <c r="H1899" s="17" t="str">
        <f ca="1"/>
        <v/>
      </c>
    </row>
    <row r="1900" spans="2:8" x14ac:dyDescent="0.35">
      <c r="B1900" t="str">
        <f ca="1"/>
        <v/>
      </c>
      <c r="C1900" t="str">
        <f ca="1"/>
        <v/>
      </c>
      <c r="D1900" t="str">
        <f ca="1"/>
        <v/>
      </c>
      <c r="E1900" t="str">
        <f ca="1"/>
        <v/>
      </c>
      <c r="F1900" t="str">
        <f ca="1"/>
        <v/>
      </c>
      <c r="G1900" t="str">
        <f ca="1"/>
        <v/>
      </c>
      <c r="H1900" s="17" t="str">
        <f ca="1"/>
        <v/>
      </c>
    </row>
    <row r="1901" spans="2:8" x14ac:dyDescent="0.35">
      <c r="B1901" t="str">
        <f ca="1"/>
        <v/>
      </c>
      <c r="C1901" t="str">
        <f ca="1"/>
        <v/>
      </c>
      <c r="D1901" t="str">
        <f ca="1"/>
        <v/>
      </c>
      <c r="E1901" t="str">
        <f ca="1"/>
        <v/>
      </c>
      <c r="F1901" t="str">
        <f ca="1"/>
        <v/>
      </c>
      <c r="G1901" t="str">
        <f ca="1"/>
        <v/>
      </c>
      <c r="H1901" s="17" t="str">
        <f ca="1"/>
        <v/>
      </c>
    </row>
    <row r="1902" spans="2:8" x14ac:dyDescent="0.35">
      <c r="B1902" t="str">
        <f ca="1"/>
        <v/>
      </c>
      <c r="C1902" t="str">
        <f ca="1"/>
        <v/>
      </c>
      <c r="D1902" t="str">
        <f ca="1"/>
        <v/>
      </c>
      <c r="E1902" t="str">
        <f ca="1"/>
        <v/>
      </c>
      <c r="F1902" t="str">
        <f ca="1"/>
        <v/>
      </c>
      <c r="G1902" t="str">
        <f ca="1"/>
        <v/>
      </c>
      <c r="H1902" s="17" t="str">
        <f ca="1"/>
        <v/>
      </c>
    </row>
    <row r="1903" spans="2:8" x14ac:dyDescent="0.35">
      <c r="B1903" t="str">
        <f ca="1"/>
        <v/>
      </c>
      <c r="C1903" t="str">
        <f ca="1"/>
        <v/>
      </c>
      <c r="D1903" t="str">
        <f ca="1"/>
        <v/>
      </c>
      <c r="E1903" t="str">
        <f ca="1"/>
        <v/>
      </c>
      <c r="F1903" t="str">
        <f ca="1"/>
        <v/>
      </c>
      <c r="G1903" t="str">
        <f ca="1"/>
        <v/>
      </c>
      <c r="H1903" s="17" t="str">
        <f ca="1"/>
        <v/>
      </c>
    </row>
    <row r="1904" spans="2:8" x14ac:dyDescent="0.35">
      <c r="B1904" t="str">
        <f ca="1"/>
        <v/>
      </c>
      <c r="C1904" t="str">
        <f ca="1"/>
        <v/>
      </c>
      <c r="D1904" t="str">
        <f ca="1"/>
        <v/>
      </c>
      <c r="E1904" t="str">
        <f ca="1"/>
        <v/>
      </c>
      <c r="F1904" t="str">
        <f ca="1"/>
        <v/>
      </c>
      <c r="G1904" t="str">
        <f ca="1"/>
        <v/>
      </c>
      <c r="H1904" s="17" t="str">
        <f ca="1"/>
        <v/>
      </c>
    </row>
    <row r="1905" spans="2:8" x14ac:dyDescent="0.35">
      <c r="B1905" t="str">
        <f ca="1"/>
        <v/>
      </c>
      <c r="C1905" t="str">
        <f ca="1"/>
        <v/>
      </c>
      <c r="D1905" t="str">
        <f ca="1"/>
        <v/>
      </c>
      <c r="E1905" t="str">
        <f ca="1"/>
        <v/>
      </c>
      <c r="F1905" t="str">
        <f ca="1"/>
        <v/>
      </c>
      <c r="G1905" t="str">
        <f ca="1"/>
        <v/>
      </c>
      <c r="H1905" s="17" t="str">
        <f ca="1"/>
        <v/>
      </c>
    </row>
    <row r="1906" spans="2:8" x14ac:dyDescent="0.35">
      <c r="B1906" t="str">
        <f ca="1"/>
        <v/>
      </c>
      <c r="C1906" t="str">
        <f ca="1"/>
        <v/>
      </c>
      <c r="D1906" t="str">
        <f ca="1"/>
        <v/>
      </c>
      <c r="E1906" t="str">
        <f ca="1"/>
        <v/>
      </c>
      <c r="F1906" t="str">
        <f ca="1"/>
        <v/>
      </c>
      <c r="G1906" t="str">
        <f ca="1"/>
        <v/>
      </c>
      <c r="H1906" s="17" t="str">
        <f ca="1"/>
        <v/>
      </c>
    </row>
    <row r="1907" spans="2:8" x14ac:dyDescent="0.35">
      <c r="B1907" t="str">
        <f ca="1"/>
        <v/>
      </c>
      <c r="C1907" t="str">
        <f ca="1"/>
        <v/>
      </c>
      <c r="D1907" t="str">
        <f ca="1"/>
        <v/>
      </c>
      <c r="E1907" t="str">
        <f ca="1"/>
        <v/>
      </c>
      <c r="F1907" t="str">
        <f ca="1"/>
        <v/>
      </c>
      <c r="G1907" t="str">
        <f ca="1"/>
        <v/>
      </c>
      <c r="H1907" s="17" t="str">
        <f ca="1"/>
        <v/>
      </c>
    </row>
    <row r="1908" spans="2:8" x14ac:dyDescent="0.35">
      <c r="B1908" t="str">
        <f ca="1"/>
        <v/>
      </c>
      <c r="C1908" t="str">
        <f ca="1"/>
        <v/>
      </c>
      <c r="D1908" t="str">
        <f ca="1"/>
        <v/>
      </c>
      <c r="E1908" t="str">
        <f ca="1"/>
        <v/>
      </c>
      <c r="F1908" t="str">
        <f ca="1"/>
        <v/>
      </c>
      <c r="G1908" t="str">
        <f ca="1"/>
        <v/>
      </c>
      <c r="H1908" s="17" t="str">
        <f ca="1"/>
        <v/>
      </c>
    </row>
    <row r="1909" spans="2:8" x14ac:dyDescent="0.35">
      <c r="B1909" t="str">
        <f ca="1"/>
        <v/>
      </c>
      <c r="C1909" t="str">
        <f ca="1"/>
        <v/>
      </c>
      <c r="D1909" t="str">
        <f ca="1"/>
        <v/>
      </c>
      <c r="E1909" t="str">
        <f ca="1"/>
        <v/>
      </c>
      <c r="F1909" t="str">
        <f ca="1"/>
        <v/>
      </c>
      <c r="G1909" t="str">
        <f ca="1"/>
        <v/>
      </c>
      <c r="H1909" s="17" t="str">
        <f ca="1"/>
        <v/>
      </c>
    </row>
    <row r="1910" spans="2:8" x14ac:dyDescent="0.35">
      <c r="B1910" t="str">
        <f ca="1"/>
        <v/>
      </c>
      <c r="C1910" t="str">
        <f ca="1"/>
        <v/>
      </c>
      <c r="D1910" t="str">
        <f ca="1"/>
        <v/>
      </c>
      <c r="E1910" t="str">
        <f ca="1"/>
        <v/>
      </c>
      <c r="F1910" t="str">
        <f ca="1"/>
        <v/>
      </c>
      <c r="G1910" t="str">
        <f ca="1"/>
        <v/>
      </c>
      <c r="H1910" s="17" t="str">
        <f ca="1"/>
        <v/>
      </c>
    </row>
    <row r="1911" spans="2:8" x14ac:dyDescent="0.35">
      <c r="B1911" t="str">
        <f ca="1"/>
        <v/>
      </c>
      <c r="C1911" t="str">
        <f ca="1"/>
        <v/>
      </c>
      <c r="D1911" t="str">
        <f ca="1"/>
        <v/>
      </c>
      <c r="E1911" t="str">
        <f ca="1"/>
        <v/>
      </c>
      <c r="F1911" t="str">
        <f ca="1"/>
        <v/>
      </c>
      <c r="G1911" t="str">
        <f ca="1"/>
        <v/>
      </c>
      <c r="H1911" s="17" t="str">
        <f ca="1"/>
        <v/>
      </c>
    </row>
    <row r="1912" spans="2:8" x14ac:dyDescent="0.35">
      <c r="B1912" t="str">
        <f ca="1"/>
        <v/>
      </c>
      <c r="C1912" t="str">
        <f ca="1"/>
        <v/>
      </c>
      <c r="D1912" t="str">
        <f ca="1"/>
        <v/>
      </c>
      <c r="E1912" t="str">
        <f ca="1"/>
        <v/>
      </c>
      <c r="F1912" t="str">
        <f ca="1"/>
        <v/>
      </c>
      <c r="G1912" t="str">
        <f ca="1"/>
        <v/>
      </c>
      <c r="H1912" s="17" t="str">
        <f ca="1"/>
        <v/>
      </c>
    </row>
    <row r="1913" spans="2:8" x14ac:dyDescent="0.35">
      <c r="B1913" t="str">
        <f ca="1"/>
        <v/>
      </c>
      <c r="C1913" t="str">
        <f ca="1"/>
        <v/>
      </c>
      <c r="D1913" t="str">
        <f ca="1"/>
        <v/>
      </c>
      <c r="E1913" t="str">
        <f ca="1"/>
        <v/>
      </c>
      <c r="F1913" t="str">
        <f ca="1"/>
        <v/>
      </c>
      <c r="G1913" t="str">
        <f ca="1"/>
        <v/>
      </c>
      <c r="H1913" s="17" t="str">
        <f ca="1"/>
        <v/>
      </c>
    </row>
    <row r="1914" spans="2:8" x14ac:dyDescent="0.35">
      <c r="B1914" t="str">
        <f ca="1"/>
        <v/>
      </c>
      <c r="C1914" t="str">
        <f ca="1"/>
        <v/>
      </c>
      <c r="D1914" t="str">
        <f ca="1"/>
        <v/>
      </c>
      <c r="E1914" t="str">
        <f ca="1"/>
        <v/>
      </c>
      <c r="F1914" t="str">
        <f ca="1"/>
        <v/>
      </c>
      <c r="G1914" t="str">
        <f ca="1"/>
        <v/>
      </c>
      <c r="H1914" s="17" t="str">
        <f ca="1"/>
        <v/>
      </c>
    </row>
    <row r="1915" spans="2:8" x14ac:dyDescent="0.35">
      <c r="B1915" t="str">
        <f ca="1"/>
        <v/>
      </c>
      <c r="C1915" t="str">
        <f ca="1"/>
        <v/>
      </c>
      <c r="D1915" t="str">
        <f ca="1"/>
        <v/>
      </c>
      <c r="E1915" t="str">
        <f ca="1"/>
        <v/>
      </c>
      <c r="F1915" t="str">
        <f ca="1"/>
        <v/>
      </c>
      <c r="G1915" t="str">
        <f ca="1"/>
        <v/>
      </c>
      <c r="H1915" s="17" t="str">
        <f ca="1"/>
        <v/>
      </c>
    </row>
    <row r="1916" spans="2:8" x14ac:dyDescent="0.35">
      <c r="B1916" t="str">
        <f ca="1"/>
        <v/>
      </c>
      <c r="C1916" t="str">
        <f ca="1"/>
        <v/>
      </c>
      <c r="D1916" t="str">
        <f ca="1"/>
        <v/>
      </c>
      <c r="E1916" t="str">
        <f ca="1"/>
        <v/>
      </c>
      <c r="F1916" t="str">
        <f ca="1"/>
        <v/>
      </c>
      <c r="G1916" t="str">
        <f ca="1"/>
        <v/>
      </c>
      <c r="H1916" s="17" t="str">
        <f ca="1"/>
        <v/>
      </c>
    </row>
    <row r="1917" spans="2:8" x14ac:dyDescent="0.35">
      <c r="B1917" t="str">
        <f ca="1"/>
        <v/>
      </c>
      <c r="C1917" t="str">
        <f ca="1"/>
        <v/>
      </c>
      <c r="D1917" t="str">
        <f ca="1"/>
        <v/>
      </c>
      <c r="E1917" t="str">
        <f ca="1"/>
        <v/>
      </c>
      <c r="F1917" t="str">
        <f ca="1"/>
        <v/>
      </c>
      <c r="G1917" t="str">
        <f ca="1"/>
        <v/>
      </c>
      <c r="H1917" s="17" t="str">
        <f ca="1"/>
        <v/>
      </c>
    </row>
    <row r="1918" spans="2:8" x14ac:dyDescent="0.35">
      <c r="B1918" t="str">
        <f ca="1"/>
        <v/>
      </c>
      <c r="C1918" t="str">
        <f ca="1"/>
        <v/>
      </c>
      <c r="D1918" t="str">
        <f ca="1"/>
        <v/>
      </c>
      <c r="E1918" t="str">
        <f ca="1"/>
        <v/>
      </c>
      <c r="F1918" t="str">
        <f ca="1"/>
        <v/>
      </c>
      <c r="G1918" t="str">
        <f ca="1"/>
        <v/>
      </c>
      <c r="H1918" s="17" t="str">
        <f ca="1"/>
        <v/>
      </c>
    </row>
    <row r="1919" spans="2:8" x14ac:dyDescent="0.35">
      <c r="B1919" t="str">
        <f ca="1"/>
        <v/>
      </c>
      <c r="C1919" t="str">
        <f ca="1"/>
        <v/>
      </c>
      <c r="D1919" t="str">
        <f ca="1"/>
        <v/>
      </c>
      <c r="E1919" t="str">
        <f ca="1"/>
        <v/>
      </c>
      <c r="F1919" t="str">
        <f ca="1"/>
        <v/>
      </c>
      <c r="G1919" t="str">
        <f ca="1"/>
        <v/>
      </c>
      <c r="H1919" s="17" t="str">
        <f ca="1"/>
        <v/>
      </c>
    </row>
    <row r="1920" spans="2:8" x14ac:dyDescent="0.35">
      <c r="B1920" t="str">
        <f ca="1"/>
        <v/>
      </c>
      <c r="C1920" t="str">
        <f ca="1"/>
        <v/>
      </c>
      <c r="D1920" t="str">
        <f ca="1"/>
        <v/>
      </c>
      <c r="E1920" t="str">
        <f ca="1"/>
        <v/>
      </c>
      <c r="F1920" t="str">
        <f ca="1"/>
        <v/>
      </c>
      <c r="G1920" t="str">
        <f ca="1"/>
        <v/>
      </c>
      <c r="H1920" s="17" t="str">
        <f ca="1"/>
        <v/>
      </c>
    </row>
    <row r="1921" spans="2:8" x14ac:dyDescent="0.35">
      <c r="B1921" t="str">
        <f ca="1"/>
        <v/>
      </c>
      <c r="C1921" t="str">
        <f ca="1"/>
        <v/>
      </c>
      <c r="D1921" t="str">
        <f ca="1"/>
        <v/>
      </c>
      <c r="E1921" t="str">
        <f ca="1"/>
        <v/>
      </c>
      <c r="F1921" t="str">
        <f ca="1"/>
        <v/>
      </c>
      <c r="G1921" t="str">
        <f ca="1"/>
        <v/>
      </c>
      <c r="H1921" s="17" t="str">
        <f ca="1"/>
        <v/>
      </c>
    </row>
    <row r="1922" spans="2:8" x14ac:dyDescent="0.35">
      <c r="B1922" t="str">
        <f ca="1"/>
        <v/>
      </c>
      <c r="C1922" t="str">
        <f ca="1"/>
        <v/>
      </c>
      <c r="D1922" t="str">
        <f ca="1"/>
        <v/>
      </c>
      <c r="E1922" t="str">
        <f ca="1"/>
        <v/>
      </c>
      <c r="F1922" t="str">
        <f ca="1"/>
        <v/>
      </c>
      <c r="G1922" t="str">
        <f ca="1"/>
        <v/>
      </c>
      <c r="H1922" s="17" t="str">
        <f ca="1"/>
        <v/>
      </c>
    </row>
    <row r="1923" spans="2:8" x14ac:dyDescent="0.35">
      <c r="B1923" t="str">
        <f ca="1"/>
        <v/>
      </c>
      <c r="C1923" t="str">
        <f ca="1"/>
        <v/>
      </c>
      <c r="D1923" t="str">
        <f ca="1"/>
        <v/>
      </c>
      <c r="E1923" t="str">
        <f ca="1"/>
        <v/>
      </c>
      <c r="F1923" t="str">
        <f ca="1"/>
        <v/>
      </c>
      <c r="G1923" t="str">
        <f ca="1"/>
        <v/>
      </c>
      <c r="H1923" s="17" t="str">
        <f ca="1"/>
        <v/>
      </c>
    </row>
    <row r="1924" spans="2:8" x14ac:dyDescent="0.35">
      <c r="B1924" t="str">
        <f ca="1"/>
        <v/>
      </c>
      <c r="C1924" t="str">
        <f ca="1"/>
        <v/>
      </c>
      <c r="D1924" t="str">
        <f ca="1"/>
        <v/>
      </c>
      <c r="E1924" t="str">
        <f ca="1"/>
        <v/>
      </c>
      <c r="F1924" t="str">
        <f ca="1"/>
        <v/>
      </c>
      <c r="G1924" t="str">
        <f ca="1"/>
        <v/>
      </c>
      <c r="H1924" s="17" t="str">
        <f ca="1"/>
        <v/>
      </c>
    </row>
    <row r="1925" spans="2:8" x14ac:dyDescent="0.35">
      <c r="B1925" t="str">
        <f ca="1"/>
        <v/>
      </c>
      <c r="C1925" t="str">
        <f ca="1"/>
        <v/>
      </c>
      <c r="D1925" t="str">
        <f ca="1"/>
        <v/>
      </c>
      <c r="E1925" t="str">
        <f ca="1"/>
        <v/>
      </c>
      <c r="F1925" t="str">
        <f ca="1"/>
        <v/>
      </c>
      <c r="G1925" t="str">
        <f ca="1"/>
        <v/>
      </c>
      <c r="H1925" s="17" t="str">
        <f ca="1"/>
        <v/>
      </c>
    </row>
    <row r="1926" spans="2:8" x14ac:dyDescent="0.35">
      <c r="B1926" t="str">
        <f ca="1"/>
        <v/>
      </c>
      <c r="C1926" t="str">
        <f ca="1"/>
        <v/>
      </c>
      <c r="D1926" t="str">
        <f ca="1"/>
        <v/>
      </c>
      <c r="E1926" t="str">
        <f ca="1"/>
        <v/>
      </c>
      <c r="F1926" t="str">
        <f ca="1"/>
        <v/>
      </c>
      <c r="G1926" t="str">
        <f ca="1"/>
        <v/>
      </c>
      <c r="H1926" s="17" t="str">
        <f ca="1"/>
        <v/>
      </c>
    </row>
    <row r="1927" spans="2:8" x14ac:dyDescent="0.35">
      <c r="B1927" t="str">
        <f ca="1"/>
        <v/>
      </c>
      <c r="C1927" t="str">
        <f ca="1"/>
        <v/>
      </c>
      <c r="D1927" t="str">
        <f ca="1"/>
        <v/>
      </c>
      <c r="E1927" t="str">
        <f ca="1"/>
        <v/>
      </c>
      <c r="F1927" t="str">
        <f ca="1"/>
        <v/>
      </c>
      <c r="G1927" t="str">
        <f ca="1"/>
        <v/>
      </c>
      <c r="H1927" s="17" t="str">
        <f ca="1"/>
        <v/>
      </c>
    </row>
    <row r="1928" spans="2:8" x14ac:dyDescent="0.35">
      <c r="B1928" t="str">
        <f ca="1"/>
        <v/>
      </c>
      <c r="C1928" t="str">
        <f ca="1"/>
        <v/>
      </c>
      <c r="D1928" t="str">
        <f ca="1"/>
        <v/>
      </c>
      <c r="E1928" t="str">
        <f ca="1"/>
        <v/>
      </c>
      <c r="F1928" t="str">
        <f ca="1"/>
        <v/>
      </c>
      <c r="G1928" t="str">
        <f ca="1"/>
        <v/>
      </c>
      <c r="H1928" s="17" t="str">
        <f ca="1"/>
        <v/>
      </c>
    </row>
    <row r="1929" spans="2:8" x14ac:dyDescent="0.35">
      <c r="B1929" t="str">
        <f ca="1"/>
        <v/>
      </c>
      <c r="C1929" t="str">
        <f ca="1"/>
        <v/>
      </c>
      <c r="D1929" t="str">
        <f ca="1"/>
        <v/>
      </c>
      <c r="E1929" t="str">
        <f ca="1"/>
        <v/>
      </c>
      <c r="F1929" t="str">
        <f ca="1"/>
        <v/>
      </c>
      <c r="G1929" t="str">
        <f ca="1"/>
        <v/>
      </c>
      <c r="H1929" s="17" t="str">
        <f ca="1"/>
        <v/>
      </c>
    </row>
    <row r="1930" spans="2:8" x14ac:dyDescent="0.35">
      <c r="B1930" t="str">
        <f ca="1"/>
        <v/>
      </c>
      <c r="C1930" t="str">
        <f ca="1"/>
        <v/>
      </c>
      <c r="D1930" t="str">
        <f ca="1"/>
        <v/>
      </c>
      <c r="E1930" t="str">
        <f ca="1"/>
        <v/>
      </c>
      <c r="F1930" t="str">
        <f ca="1"/>
        <v/>
      </c>
      <c r="G1930" t="str">
        <f ca="1"/>
        <v/>
      </c>
      <c r="H1930" s="17" t="str">
        <f ca="1"/>
        <v/>
      </c>
    </row>
    <row r="1931" spans="2:8" x14ac:dyDescent="0.35">
      <c r="B1931" t="str">
        <f ca="1"/>
        <v/>
      </c>
      <c r="C1931" t="str">
        <f ca="1"/>
        <v/>
      </c>
      <c r="D1931" t="str">
        <f ca="1"/>
        <v/>
      </c>
      <c r="E1931" t="str">
        <f ca="1"/>
        <v/>
      </c>
      <c r="F1931" t="str">
        <f ca="1"/>
        <v/>
      </c>
      <c r="G1931" t="str">
        <f ca="1"/>
        <v/>
      </c>
      <c r="H1931" s="17" t="str">
        <f ca="1"/>
        <v/>
      </c>
    </row>
    <row r="1932" spans="2:8" x14ac:dyDescent="0.35">
      <c r="B1932" t="str">
        <f ca="1"/>
        <v/>
      </c>
      <c r="C1932" t="str">
        <f ca="1"/>
        <v/>
      </c>
      <c r="D1932" t="str">
        <f ca="1"/>
        <v/>
      </c>
      <c r="E1932" t="str">
        <f ca="1"/>
        <v/>
      </c>
      <c r="F1932" t="str">
        <f ca="1"/>
        <v/>
      </c>
      <c r="G1932" t="str">
        <f ca="1"/>
        <v/>
      </c>
      <c r="H1932" s="17" t="str">
        <f ca="1"/>
        <v/>
      </c>
    </row>
    <row r="1933" spans="2:8" x14ac:dyDescent="0.35">
      <c r="B1933" t="str">
        <f ca="1"/>
        <v/>
      </c>
      <c r="C1933" t="str">
        <f ca="1"/>
        <v/>
      </c>
      <c r="D1933" t="str">
        <f ca="1"/>
        <v/>
      </c>
      <c r="E1933" t="str">
        <f ca="1"/>
        <v/>
      </c>
      <c r="F1933" t="str">
        <f ca="1"/>
        <v/>
      </c>
      <c r="G1933" t="str">
        <f ca="1"/>
        <v/>
      </c>
      <c r="H1933" s="17" t="str">
        <f ca="1"/>
        <v/>
      </c>
    </row>
    <row r="1934" spans="2:8" x14ac:dyDescent="0.35">
      <c r="B1934" t="str">
        <f ca="1"/>
        <v/>
      </c>
      <c r="C1934" t="str">
        <f ca="1"/>
        <v/>
      </c>
      <c r="D1934" t="str">
        <f ca="1"/>
        <v/>
      </c>
      <c r="E1934" t="str">
        <f ca="1"/>
        <v/>
      </c>
      <c r="F1934" t="str">
        <f ca="1"/>
        <v/>
      </c>
      <c r="G1934" t="str">
        <f ca="1"/>
        <v/>
      </c>
      <c r="H1934" s="17" t="str">
        <f ca="1"/>
        <v/>
      </c>
    </row>
    <row r="1935" spans="2:8" x14ac:dyDescent="0.35">
      <c r="B1935" t="str">
        <f ca="1"/>
        <v/>
      </c>
      <c r="C1935" t="str">
        <f ca="1"/>
        <v/>
      </c>
      <c r="D1935" t="str">
        <f ca="1"/>
        <v/>
      </c>
      <c r="E1935" t="str">
        <f ca="1"/>
        <v/>
      </c>
      <c r="F1935" t="str">
        <f ca="1"/>
        <v/>
      </c>
      <c r="G1935" t="str">
        <f ca="1"/>
        <v/>
      </c>
      <c r="H1935" s="17" t="str">
        <f ca="1"/>
        <v/>
      </c>
    </row>
    <row r="1936" spans="2:8" x14ac:dyDescent="0.35">
      <c r="B1936" t="str">
        <f ca="1"/>
        <v/>
      </c>
      <c r="C1936" t="str">
        <f ca="1"/>
        <v/>
      </c>
      <c r="D1936" t="str">
        <f ca="1"/>
        <v/>
      </c>
      <c r="E1936" t="str">
        <f ca="1"/>
        <v/>
      </c>
      <c r="F1936" t="str">
        <f ca="1"/>
        <v/>
      </c>
      <c r="G1936" t="str">
        <f ca="1"/>
        <v/>
      </c>
      <c r="H1936" s="17" t="str">
        <f ca="1"/>
        <v/>
      </c>
    </row>
    <row r="1937" spans="2:8" x14ac:dyDescent="0.35">
      <c r="B1937" t="str">
        <f ca="1"/>
        <v/>
      </c>
      <c r="C1937" t="str">
        <f ca="1"/>
        <v/>
      </c>
      <c r="D1937" t="str">
        <f ca="1"/>
        <v/>
      </c>
      <c r="E1937" t="str">
        <f ca="1"/>
        <v/>
      </c>
      <c r="F1937" t="str">
        <f ca="1"/>
        <v/>
      </c>
      <c r="G1937" t="str">
        <f ca="1"/>
        <v/>
      </c>
      <c r="H1937" s="17" t="str">
        <f ca="1"/>
        <v/>
      </c>
    </row>
    <row r="1938" spans="2:8" x14ac:dyDescent="0.35">
      <c r="B1938" t="str">
        <f ca="1"/>
        <v/>
      </c>
      <c r="C1938" t="str">
        <f ca="1"/>
        <v/>
      </c>
      <c r="D1938" t="str">
        <f ca="1"/>
        <v/>
      </c>
      <c r="E1938" t="str">
        <f ca="1"/>
        <v/>
      </c>
      <c r="F1938" t="str">
        <f ca="1"/>
        <v/>
      </c>
      <c r="G1938" t="str">
        <f ca="1"/>
        <v/>
      </c>
      <c r="H1938" s="17" t="str">
        <f ca="1"/>
        <v/>
      </c>
    </row>
    <row r="1939" spans="2:8" x14ac:dyDescent="0.35">
      <c r="B1939" t="str">
        <f ca="1"/>
        <v/>
      </c>
      <c r="C1939" t="str">
        <f ca="1"/>
        <v/>
      </c>
      <c r="D1939" t="str">
        <f ca="1"/>
        <v/>
      </c>
      <c r="E1939" t="str">
        <f ca="1"/>
        <v/>
      </c>
      <c r="F1939" t="str">
        <f ca="1"/>
        <v/>
      </c>
      <c r="G1939" t="str">
        <f ca="1"/>
        <v/>
      </c>
      <c r="H1939" s="17" t="str">
        <f ca="1"/>
        <v/>
      </c>
    </row>
    <row r="1940" spans="2:8" x14ac:dyDescent="0.35">
      <c r="B1940" t="str">
        <f ca="1"/>
        <v/>
      </c>
      <c r="C1940" t="str">
        <f ca="1"/>
        <v/>
      </c>
      <c r="D1940" t="str">
        <f ca="1"/>
        <v/>
      </c>
      <c r="E1940" t="str">
        <f ca="1"/>
        <v/>
      </c>
      <c r="F1940" t="str">
        <f ca="1"/>
        <v/>
      </c>
      <c r="G1940" t="str">
        <f ca="1"/>
        <v/>
      </c>
      <c r="H1940" s="17" t="str">
        <f ca="1"/>
        <v/>
      </c>
    </row>
    <row r="1941" spans="2:8" x14ac:dyDescent="0.35">
      <c r="B1941" t="str">
        <f ca="1"/>
        <v/>
      </c>
      <c r="C1941" t="str">
        <f ca="1"/>
        <v/>
      </c>
      <c r="D1941" t="str">
        <f ca="1"/>
        <v/>
      </c>
      <c r="E1941" t="str">
        <f ca="1"/>
        <v/>
      </c>
      <c r="F1941" t="str">
        <f ca="1"/>
        <v/>
      </c>
      <c r="G1941" t="str">
        <f ca="1"/>
        <v/>
      </c>
      <c r="H1941" s="17" t="str">
        <f ca="1"/>
        <v/>
      </c>
    </row>
    <row r="1942" spans="2:8" x14ac:dyDescent="0.35">
      <c r="B1942" t="str">
        <f ca="1"/>
        <v/>
      </c>
      <c r="C1942" t="str">
        <f ca="1"/>
        <v/>
      </c>
      <c r="D1942" t="str">
        <f ca="1"/>
        <v/>
      </c>
      <c r="E1942" t="str">
        <f ca="1"/>
        <v/>
      </c>
      <c r="F1942" t="str">
        <f ca="1"/>
        <v/>
      </c>
      <c r="G1942" t="str">
        <f ca="1"/>
        <v/>
      </c>
      <c r="H1942" s="17" t="str">
        <f ca="1"/>
        <v/>
      </c>
    </row>
    <row r="1943" spans="2:8" x14ac:dyDescent="0.35">
      <c r="B1943" t="str">
        <f ca="1"/>
        <v/>
      </c>
      <c r="C1943" t="str">
        <f ca="1"/>
        <v/>
      </c>
      <c r="D1943" t="str">
        <f ca="1"/>
        <v/>
      </c>
      <c r="E1943" t="str">
        <f ca="1"/>
        <v/>
      </c>
      <c r="F1943" t="str">
        <f ca="1"/>
        <v/>
      </c>
      <c r="G1943" t="str">
        <f ca="1"/>
        <v/>
      </c>
      <c r="H1943" s="17" t="str">
        <f ca="1"/>
        <v/>
      </c>
    </row>
    <row r="1944" spans="2:8" x14ac:dyDescent="0.35">
      <c r="B1944" t="str">
        <f ca="1"/>
        <v/>
      </c>
      <c r="C1944" t="str">
        <f ca="1"/>
        <v/>
      </c>
      <c r="D1944" t="str">
        <f ca="1"/>
        <v/>
      </c>
      <c r="E1944" t="str">
        <f ca="1"/>
        <v/>
      </c>
      <c r="F1944" t="str">
        <f ca="1"/>
        <v/>
      </c>
      <c r="G1944" t="str">
        <f ca="1"/>
        <v/>
      </c>
      <c r="H1944" s="17" t="str">
        <f ca="1"/>
        <v/>
      </c>
    </row>
    <row r="1945" spans="2:8" x14ac:dyDescent="0.35">
      <c r="B1945" t="str">
        <f ca="1"/>
        <v/>
      </c>
      <c r="C1945" t="str">
        <f ca="1"/>
        <v/>
      </c>
      <c r="D1945" t="str">
        <f ca="1"/>
        <v/>
      </c>
      <c r="E1945" t="str">
        <f ca="1"/>
        <v/>
      </c>
      <c r="F1945" t="str">
        <f ca="1"/>
        <v/>
      </c>
      <c r="G1945" t="str">
        <f ca="1"/>
        <v/>
      </c>
      <c r="H1945" s="17" t="str">
        <f ca="1"/>
        <v/>
      </c>
    </row>
    <row r="1946" spans="2:8" x14ac:dyDescent="0.35">
      <c r="B1946" t="str">
        <f ca="1"/>
        <v/>
      </c>
      <c r="C1946" t="str">
        <f ca="1"/>
        <v/>
      </c>
      <c r="D1946" t="str">
        <f ca="1"/>
        <v/>
      </c>
      <c r="E1946" t="str">
        <f ca="1"/>
        <v/>
      </c>
      <c r="F1946" t="str">
        <f ca="1"/>
        <v/>
      </c>
      <c r="G1946" t="str">
        <f ca="1"/>
        <v/>
      </c>
      <c r="H1946" s="17" t="str">
        <f ca="1"/>
        <v/>
      </c>
    </row>
    <row r="1947" spans="2:8" x14ac:dyDescent="0.35">
      <c r="B1947" t="str">
        <f ca="1"/>
        <v/>
      </c>
      <c r="C1947" t="str">
        <f ca="1"/>
        <v/>
      </c>
      <c r="D1947" t="str">
        <f ca="1"/>
        <v/>
      </c>
      <c r="E1947" t="str">
        <f ca="1"/>
        <v/>
      </c>
      <c r="F1947" t="str">
        <f ca="1"/>
        <v/>
      </c>
      <c r="G1947" t="str">
        <f ca="1"/>
        <v/>
      </c>
      <c r="H1947" s="17" t="str">
        <f ca="1"/>
        <v/>
      </c>
    </row>
    <row r="1948" spans="2:8" x14ac:dyDescent="0.35">
      <c r="B1948" t="str">
        <f ca="1"/>
        <v/>
      </c>
      <c r="C1948" t="str">
        <f ca="1"/>
        <v/>
      </c>
      <c r="D1948" t="str">
        <f ca="1"/>
        <v/>
      </c>
      <c r="E1948" t="str">
        <f ca="1"/>
        <v/>
      </c>
      <c r="F1948" t="str">
        <f ca="1"/>
        <v/>
      </c>
      <c r="G1948" t="str">
        <f ca="1"/>
        <v/>
      </c>
      <c r="H1948" s="17" t="str">
        <f ca="1"/>
        <v/>
      </c>
    </row>
    <row r="1949" spans="2:8" x14ac:dyDescent="0.35">
      <c r="B1949" t="str">
        <f ca="1"/>
        <v/>
      </c>
      <c r="C1949" t="str">
        <f ca="1"/>
        <v/>
      </c>
      <c r="D1949" t="str">
        <f ca="1"/>
        <v/>
      </c>
      <c r="E1949" t="str">
        <f ca="1"/>
        <v/>
      </c>
      <c r="F1949" t="str">
        <f ca="1"/>
        <v/>
      </c>
      <c r="G1949" t="str">
        <f ca="1"/>
        <v/>
      </c>
      <c r="H1949" s="17" t="str">
        <f ca="1"/>
        <v/>
      </c>
    </row>
    <row r="1950" spans="2:8" x14ac:dyDescent="0.35">
      <c r="B1950" t="str">
        <f ca="1"/>
        <v/>
      </c>
      <c r="C1950" t="str">
        <f ca="1"/>
        <v/>
      </c>
      <c r="D1950" t="str">
        <f ca="1"/>
        <v/>
      </c>
      <c r="E1950" t="str">
        <f ca="1"/>
        <v/>
      </c>
      <c r="F1950" t="str">
        <f ca="1"/>
        <v/>
      </c>
      <c r="G1950" t="str">
        <f ca="1"/>
        <v/>
      </c>
      <c r="H1950" s="17" t="str">
        <f ca="1"/>
        <v/>
      </c>
    </row>
    <row r="1951" spans="2:8" x14ac:dyDescent="0.35">
      <c r="B1951" t="str">
        <f ca="1"/>
        <v/>
      </c>
      <c r="C1951" t="str">
        <f ca="1"/>
        <v/>
      </c>
      <c r="D1951" t="str">
        <f ca="1"/>
        <v/>
      </c>
      <c r="E1951" t="str">
        <f ca="1"/>
        <v/>
      </c>
      <c r="F1951" t="str">
        <f ca="1"/>
        <v/>
      </c>
      <c r="G1951" t="str">
        <f ca="1"/>
        <v/>
      </c>
      <c r="H1951" s="17" t="str">
        <f ca="1"/>
        <v/>
      </c>
    </row>
    <row r="1952" spans="2:8" x14ac:dyDescent="0.35">
      <c r="B1952" t="str">
        <f ca="1"/>
        <v/>
      </c>
      <c r="C1952" t="str">
        <f ca="1"/>
        <v/>
      </c>
      <c r="D1952" t="str">
        <f ca="1"/>
        <v/>
      </c>
      <c r="E1952" t="str">
        <f ca="1"/>
        <v/>
      </c>
      <c r="F1952" t="str">
        <f ca="1"/>
        <v/>
      </c>
      <c r="G1952" t="str">
        <f ca="1"/>
        <v/>
      </c>
      <c r="H1952" s="17" t="str">
        <f ca="1"/>
        <v/>
      </c>
    </row>
    <row r="1953" spans="2:8" x14ac:dyDescent="0.35">
      <c r="B1953" t="str">
        <f ca="1"/>
        <v/>
      </c>
      <c r="C1953" t="str">
        <f ca="1"/>
        <v/>
      </c>
      <c r="D1953" t="str">
        <f ca="1"/>
        <v/>
      </c>
      <c r="E1953" t="str">
        <f ca="1"/>
        <v/>
      </c>
      <c r="F1953" t="str">
        <f ca="1"/>
        <v/>
      </c>
      <c r="G1953" t="str">
        <f ca="1"/>
        <v/>
      </c>
      <c r="H1953" s="17" t="str">
        <f ca="1"/>
        <v/>
      </c>
    </row>
    <row r="1954" spans="2:8" x14ac:dyDescent="0.35">
      <c r="B1954" t="str">
        <f ca="1"/>
        <v/>
      </c>
      <c r="C1954" t="str">
        <f ca="1"/>
        <v/>
      </c>
      <c r="D1954" t="str">
        <f ca="1"/>
        <v/>
      </c>
      <c r="E1954" t="str">
        <f ca="1"/>
        <v/>
      </c>
      <c r="F1954" t="str">
        <f ca="1"/>
        <v/>
      </c>
      <c r="G1954" t="str">
        <f ca="1"/>
        <v/>
      </c>
      <c r="H1954" s="17" t="str">
        <f ca="1"/>
        <v/>
      </c>
    </row>
    <row r="1955" spans="2:8" x14ac:dyDescent="0.35">
      <c r="B1955" t="str">
        <f ca="1"/>
        <v/>
      </c>
      <c r="C1955" t="str">
        <f ca="1"/>
        <v/>
      </c>
      <c r="D1955" t="str">
        <f ca="1"/>
        <v/>
      </c>
      <c r="E1955" t="str">
        <f ca="1"/>
        <v/>
      </c>
      <c r="F1955" t="str">
        <f ca="1"/>
        <v/>
      </c>
      <c r="G1955" t="str">
        <f ca="1"/>
        <v/>
      </c>
      <c r="H1955" s="17" t="str">
        <f ca="1"/>
        <v/>
      </c>
    </row>
    <row r="1956" spans="2:8" x14ac:dyDescent="0.35">
      <c r="B1956" t="str">
        <f ca="1"/>
        <v/>
      </c>
      <c r="C1956" t="str">
        <f ca="1"/>
        <v/>
      </c>
      <c r="D1956" t="str">
        <f ca="1"/>
        <v/>
      </c>
      <c r="E1956" t="str">
        <f ca="1"/>
        <v/>
      </c>
      <c r="F1956" t="str">
        <f ca="1"/>
        <v/>
      </c>
      <c r="G1956" t="str">
        <f ca="1"/>
        <v/>
      </c>
      <c r="H1956" s="17" t="str">
        <f ca="1"/>
        <v/>
      </c>
    </row>
    <row r="1957" spans="2:8" x14ac:dyDescent="0.35">
      <c r="B1957" t="str">
        <f ca="1"/>
        <v/>
      </c>
      <c r="C1957" t="str">
        <f ca="1"/>
        <v/>
      </c>
      <c r="D1957" t="str">
        <f ca="1"/>
        <v/>
      </c>
      <c r="E1957" t="str">
        <f ca="1"/>
        <v/>
      </c>
      <c r="F1957" t="str">
        <f ca="1"/>
        <v/>
      </c>
      <c r="G1957" t="str">
        <f ca="1"/>
        <v/>
      </c>
      <c r="H1957" s="17" t="str">
        <f ca="1"/>
        <v/>
      </c>
    </row>
    <row r="1958" spans="2:8" x14ac:dyDescent="0.35">
      <c r="B1958" t="str">
        <f ca="1"/>
        <v/>
      </c>
      <c r="C1958" t="str">
        <f ca="1"/>
        <v/>
      </c>
      <c r="D1958" t="str">
        <f ca="1"/>
        <v/>
      </c>
      <c r="E1958" t="str">
        <f ca="1"/>
        <v/>
      </c>
      <c r="F1958" t="str">
        <f ca="1"/>
        <v/>
      </c>
      <c r="G1958" t="str">
        <f ca="1"/>
        <v/>
      </c>
      <c r="H1958" s="17" t="str">
        <f ca="1"/>
        <v/>
      </c>
    </row>
    <row r="1959" spans="2:8" x14ac:dyDescent="0.35">
      <c r="B1959" t="str">
        <f ca="1"/>
        <v/>
      </c>
      <c r="C1959" t="str">
        <f ca="1"/>
        <v/>
      </c>
      <c r="D1959" t="str">
        <f ca="1"/>
        <v/>
      </c>
      <c r="E1959" t="str">
        <f ca="1"/>
        <v/>
      </c>
      <c r="F1959" t="str">
        <f ca="1"/>
        <v/>
      </c>
      <c r="G1959" t="str">
        <f ca="1"/>
        <v/>
      </c>
      <c r="H1959" s="17" t="str">
        <f ca="1"/>
        <v/>
      </c>
    </row>
    <row r="1960" spans="2:8" x14ac:dyDescent="0.35">
      <c r="B1960" t="str">
        <f ca="1"/>
        <v/>
      </c>
      <c r="C1960" t="str">
        <f ca="1"/>
        <v/>
      </c>
      <c r="D1960" t="str">
        <f ca="1"/>
        <v/>
      </c>
      <c r="E1960" t="str">
        <f ca="1"/>
        <v/>
      </c>
      <c r="F1960" t="str">
        <f ca="1"/>
        <v/>
      </c>
      <c r="G1960" t="str">
        <f ca="1"/>
        <v/>
      </c>
      <c r="H1960" s="17" t="str">
        <f ca="1"/>
        <v/>
      </c>
    </row>
    <row r="1961" spans="2:8" x14ac:dyDescent="0.35">
      <c r="B1961" t="str">
        <f ca="1"/>
        <v/>
      </c>
      <c r="C1961" t="str">
        <f ca="1"/>
        <v/>
      </c>
      <c r="D1961" t="str">
        <f ca="1"/>
        <v/>
      </c>
      <c r="E1961" t="str">
        <f ca="1"/>
        <v/>
      </c>
      <c r="F1961" t="str">
        <f ca="1"/>
        <v/>
      </c>
      <c r="G1961" t="str">
        <f ca="1"/>
        <v/>
      </c>
      <c r="H1961" s="17" t="str">
        <f ca="1"/>
        <v/>
      </c>
    </row>
    <row r="1962" spans="2:8" x14ac:dyDescent="0.35">
      <c r="B1962" t="str">
        <f ca="1"/>
        <v/>
      </c>
      <c r="C1962" t="str">
        <f ca="1"/>
        <v/>
      </c>
      <c r="D1962" t="str">
        <f ca="1"/>
        <v/>
      </c>
      <c r="E1962" t="str">
        <f ca="1"/>
        <v/>
      </c>
      <c r="F1962" t="str">
        <f ca="1"/>
        <v/>
      </c>
      <c r="G1962" t="str">
        <f ca="1"/>
        <v/>
      </c>
      <c r="H1962" s="17" t="str">
        <f ca="1"/>
        <v/>
      </c>
    </row>
    <row r="1963" spans="2:8" x14ac:dyDescent="0.35">
      <c r="B1963" t="str">
        <f ca="1"/>
        <v/>
      </c>
      <c r="C1963" t="str">
        <f ca="1"/>
        <v/>
      </c>
      <c r="D1963" t="str">
        <f ca="1"/>
        <v/>
      </c>
      <c r="E1963" t="str">
        <f ca="1"/>
        <v/>
      </c>
      <c r="F1963" t="str">
        <f ca="1"/>
        <v/>
      </c>
      <c r="G1963" t="str">
        <f ca="1"/>
        <v/>
      </c>
      <c r="H1963" s="17" t="str">
        <f ca="1"/>
        <v/>
      </c>
    </row>
    <row r="1964" spans="2:8" x14ac:dyDescent="0.35">
      <c r="B1964" t="str">
        <f ca="1"/>
        <v/>
      </c>
      <c r="C1964" t="str">
        <f ca="1"/>
        <v/>
      </c>
      <c r="D1964" t="str">
        <f ca="1"/>
        <v/>
      </c>
      <c r="E1964" t="str">
        <f ca="1"/>
        <v/>
      </c>
      <c r="F1964" t="str">
        <f ca="1"/>
        <v/>
      </c>
      <c r="G1964" t="str">
        <f ca="1"/>
        <v/>
      </c>
      <c r="H1964" s="17" t="str">
        <f ca="1"/>
        <v/>
      </c>
    </row>
    <row r="1965" spans="2:8" x14ac:dyDescent="0.35">
      <c r="B1965" t="str">
        <f ca="1"/>
        <v/>
      </c>
      <c r="C1965" t="str">
        <f ca="1"/>
        <v/>
      </c>
      <c r="D1965" t="str">
        <f ca="1"/>
        <v/>
      </c>
      <c r="E1965" t="str">
        <f ca="1"/>
        <v/>
      </c>
      <c r="F1965" t="str">
        <f ca="1"/>
        <v/>
      </c>
      <c r="G1965" t="str">
        <f ca="1"/>
        <v/>
      </c>
      <c r="H1965" s="17" t="str">
        <f ca="1"/>
        <v/>
      </c>
    </row>
    <row r="1966" spans="2:8" x14ac:dyDescent="0.35">
      <c r="B1966" t="str">
        <f ca="1"/>
        <v/>
      </c>
      <c r="C1966" t="str">
        <f ca="1"/>
        <v/>
      </c>
      <c r="D1966" t="str">
        <f ca="1"/>
        <v/>
      </c>
      <c r="E1966" t="str">
        <f ca="1"/>
        <v/>
      </c>
      <c r="F1966" t="str">
        <f ca="1"/>
        <v/>
      </c>
      <c r="G1966" t="str">
        <f ca="1"/>
        <v/>
      </c>
      <c r="H1966" s="17" t="str">
        <f ca="1"/>
        <v/>
      </c>
    </row>
    <row r="1967" spans="2:8" x14ac:dyDescent="0.35">
      <c r="B1967" t="str">
        <f ca="1"/>
        <v/>
      </c>
      <c r="C1967" t="str">
        <f ca="1"/>
        <v/>
      </c>
      <c r="D1967" t="str">
        <f ca="1"/>
        <v/>
      </c>
      <c r="E1967" t="str">
        <f ca="1"/>
        <v/>
      </c>
      <c r="F1967" t="str">
        <f ca="1"/>
        <v/>
      </c>
      <c r="G1967" t="str">
        <f ca="1"/>
        <v/>
      </c>
      <c r="H1967" s="17" t="str">
        <f ca="1"/>
        <v/>
      </c>
    </row>
    <row r="1968" spans="2:8" x14ac:dyDescent="0.35">
      <c r="B1968" t="str">
        <f ca="1"/>
        <v/>
      </c>
      <c r="C1968" t="str">
        <f ca="1"/>
        <v/>
      </c>
      <c r="D1968" t="str">
        <f ca="1"/>
        <v/>
      </c>
      <c r="E1968" t="str">
        <f ca="1"/>
        <v/>
      </c>
      <c r="F1968" t="str">
        <f ca="1"/>
        <v/>
      </c>
      <c r="G1968" t="str">
        <f ca="1"/>
        <v/>
      </c>
      <c r="H1968" s="17" t="str">
        <f ca="1"/>
        <v/>
      </c>
    </row>
    <row r="1969" spans="2:8" x14ac:dyDescent="0.35">
      <c r="B1969" t="str">
        <f ca="1"/>
        <v/>
      </c>
      <c r="C1969" t="str">
        <f ca="1"/>
        <v/>
      </c>
      <c r="D1969" t="str">
        <f ca="1"/>
        <v/>
      </c>
      <c r="E1969" t="str">
        <f ca="1"/>
        <v/>
      </c>
      <c r="F1969" t="str">
        <f ca="1"/>
        <v/>
      </c>
      <c r="G1969" t="str">
        <f ca="1"/>
        <v/>
      </c>
      <c r="H1969" s="17" t="str">
        <f ca="1"/>
        <v/>
      </c>
    </row>
    <row r="1970" spans="2:8" x14ac:dyDescent="0.35">
      <c r="B1970" t="str">
        <f ca="1"/>
        <v/>
      </c>
      <c r="C1970" t="str">
        <f ca="1"/>
        <v/>
      </c>
      <c r="D1970" t="str">
        <f ca="1"/>
        <v/>
      </c>
      <c r="E1970" t="str">
        <f ca="1"/>
        <v/>
      </c>
      <c r="F1970" t="str">
        <f ca="1"/>
        <v/>
      </c>
      <c r="G1970" t="str">
        <f ca="1"/>
        <v/>
      </c>
      <c r="H1970" s="17" t="str">
        <f ca="1"/>
        <v/>
      </c>
    </row>
    <row r="1971" spans="2:8" x14ac:dyDescent="0.35">
      <c r="B1971" t="str">
        <f ca="1"/>
        <v/>
      </c>
      <c r="C1971" t="str">
        <f ca="1"/>
        <v/>
      </c>
      <c r="D1971" t="str">
        <f ca="1"/>
        <v/>
      </c>
      <c r="E1971" t="str">
        <f ca="1"/>
        <v/>
      </c>
      <c r="F1971" t="str">
        <f ca="1"/>
        <v/>
      </c>
      <c r="G1971" t="str">
        <f ca="1"/>
        <v/>
      </c>
      <c r="H1971" s="17" t="str">
        <f ca="1"/>
        <v/>
      </c>
    </row>
    <row r="1972" spans="2:8" x14ac:dyDescent="0.35">
      <c r="B1972" t="str">
        <f ca="1"/>
        <v/>
      </c>
      <c r="C1972" t="str">
        <f ca="1"/>
        <v/>
      </c>
      <c r="D1972" t="str">
        <f ca="1"/>
        <v/>
      </c>
      <c r="E1972" t="str">
        <f ca="1"/>
        <v/>
      </c>
      <c r="F1972" t="str">
        <f ca="1"/>
        <v/>
      </c>
      <c r="G1972" t="str">
        <f ca="1"/>
        <v/>
      </c>
      <c r="H1972" s="17" t="str">
        <f ca="1"/>
        <v/>
      </c>
    </row>
    <row r="1973" spans="2:8" x14ac:dyDescent="0.35">
      <c r="B1973" t="str">
        <f ca="1"/>
        <v/>
      </c>
      <c r="C1973" t="str">
        <f ca="1"/>
        <v/>
      </c>
      <c r="D1973" t="str">
        <f ca="1"/>
        <v/>
      </c>
      <c r="E1973" t="str">
        <f ca="1"/>
        <v/>
      </c>
      <c r="F1973" t="str">
        <f ca="1"/>
        <v/>
      </c>
      <c r="G1973" t="str">
        <f ca="1"/>
        <v/>
      </c>
      <c r="H1973" s="17" t="str">
        <f ca="1"/>
        <v/>
      </c>
    </row>
    <row r="1974" spans="2:8" x14ac:dyDescent="0.35">
      <c r="B1974" t="str">
        <f ca="1"/>
        <v/>
      </c>
      <c r="C1974" t="str">
        <f ca="1"/>
        <v/>
      </c>
      <c r="D1974" t="str">
        <f ca="1"/>
        <v/>
      </c>
      <c r="E1974" t="str">
        <f ca="1"/>
        <v/>
      </c>
      <c r="F1974" t="str">
        <f ca="1"/>
        <v/>
      </c>
      <c r="G1974" t="str">
        <f ca="1"/>
        <v/>
      </c>
      <c r="H1974" s="17" t="str">
        <f ca="1"/>
        <v/>
      </c>
    </row>
    <row r="1975" spans="2:8" x14ac:dyDescent="0.35">
      <c r="B1975" t="str">
        <f ca="1"/>
        <v/>
      </c>
      <c r="C1975" t="str">
        <f ca="1"/>
        <v/>
      </c>
      <c r="D1975" t="str">
        <f ca="1"/>
        <v/>
      </c>
      <c r="E1975" t="str">
        <f ca="1"/>
        <v/>
      </c>
      <c r="F1975" t="str">
        <f ca="1"/>
        <v/>
      </c>
      <c r="G1975" t="str">
        <f ca="1"/>
        <v/>
      </c>
      <c r="H1975" s="17" t="str">
        <f ca="1"/>
        <v/>
      </c>
    </row>
    <row r="1976" spans="2:8" x14ac:dyDescent="0.35">
      <c r="B1976" t="str">
        <f ca="1"/>
        <v/>
      </c>
      <c r="C1976" t="str">
        <f ca="1"/>
        <v/>
      </c>
      <c r="D1976" t="str">
        <f ca="1"/>
        <v/>
      </c>
      <c r="E1976" t="str">
        <f ca="1"/>
        <v/>
      </c>
      <c r="F1976" t="str">
        <f ca="1"/>
        <v/>
      </c>
      <c r="G1976" t="str">
        <f ca="1"/>
        <v/>
      </c>
      <c r="H1976" s="17" t="str">
        <f ca="1"/>
        <v/>
      </c>
    </row>
    <row r="1977" spans="2:8" x14ac:dyDescent="0.35">
      <c r="B1977" t="str">
        <f ca="1"/>
        <v/>
      </c>
      <c r="C1977" t="str">
        <f ca="1"/>
        <v/>
      </c>
      <c r="D1977" t="str">
        <f ca="1"/>
        <v/>
      </c>
      <c r="E1977" t="str">
        <f ca="1"/>
        <v/>
      </c>
      <c r="F1977" t="str">
        <f ca="1"/>
        <v/>
      </c>
      <c r="G1977" t="str">
        <f ca="1"/>
        <v/>
      </c>
      <c r="H1977" s="17" t="str">
        <f ca="1"/>
        <v/>
      </c>
    </row>
    <row r="1978" spans="2:8" x14ac:dyDescent="0.35">
      <c r="B1978" t="str">
        <f ca="1"/>
        <v/>
      </c>
      <c r="C1978" t="str">
        <f ca="1"/>
        <v/>
      </c>
      <c r="D1978" t="str">
        <f ca="1"/>
        <v/>
      </c>
      <c r="E1978" t="str">
        <f ca="1"/>
        <v/>
      </c>
      <c r="F1978" t="str">
        <f ca="1"/>
        <v/>
      </c>
      <c r="G1978" t="str">
        <f ca="1"/>
        <v/>
      </c>
      <c r="H1978" s="17" t="str">
        <f ca="1"/>
        <v/>
      </c>
    </row>
    <row r="1979" spans="2:8" x14ac:dyDescent="0.35">
      <c r="B1979" t="str">
        <f ca="1"/>
        <v/>
      </c>
      <c r="C1979" t="str">
        <f ca="1"/>
        <v/>
      </c>
      <c r="D1979" t="str">
        <f ca="1"/>
        <v/>
      </c>
      <c r="E1979" t="str">
        <f ca="1"/>
        <v/>
      </c>
      <c r="F1979" t="str">
        <f ca="1"/>
        <v/>
      </c>
      <c r="G1979" t="str">
        <f ca="1"/>
        <v/>
      </c>
      <c r="H1979" s="17" t="str">
        <f ca="1"/>
        <v/>
      </c>
    </row>
    <row r="1980" spans="2:8" x14ac:dyDescent="0.35">
      <c r="B1980" t="str">
        <f ca="1"/>
        <v/>
      </c>
      <c r="C1980" t="str">
        <f ca="1"/>
        <v/>
      </c>
      <c r="D1980" t="str">
        <f ca="1"/>
        <v/>
      </c>
      <c r="E1980" t="str">
        <f ca="1"/>
        <v/>
      </c>
      <c r="F1980" t="str">
        <f ca="1"/>
        <v/>
      </c>
      <c r="G1980" t="str">
        <f ca="1"/>
        <v/>
      </c>
      <c r="H1980" s="17" t="str">
        <f ca="1"/>
        <v/>
      </c>
    </row>
    <row r="1981" spans="2:8" x14ac:dyDescent="0.35">
      <c r="B1981" t="str">
        <f ca="1"/>
        <v/>
      </c>
      <c r="C1981" t="str">
        <f ca="1"/>
        <v/>
      </c>
      <c r="D1981" t="str">
        <f ca="1"/>
        <v/>
      </c>
      <c r="E1981" t="str">
        <f ca="1"/>
        <v/>
      </c>
      <c r="F1981" t="str">
        <f ca="1"/>
        <v/>
      </c>
      <c r="G1981" t="str">
        <f ca="1"/>
        <v/>
      </c>
      <c r="H1981" s="17" t="str">
        <f ca="1"/>
        <v/>
      </c>
    </row>
    <row r="1982" spans="2:8" x14ac:dyDescent="0.35">
      <c r="B1982" t="str">
        <f ca="1"/>
        <v/>
      </c>
      <c r="C1982" t="str">
        <f ca="1"/>
        <v/>
      </c>
      <c r="D1982" t="str">
        <f ca="1"/>
        <v/>
      </c>
      <c r="E1982" t="str">
        <f ca="1"/>
        <v/>
      </c>
      <c r="F1982" t="str">
        <f ca="1"/>
        <v/>
      </c>
      <c r="G1982" t="str">
        <f ca="1"/>
        <v/>
      </c>
      <c r="H1982" s="17" t="str">
        <f ca="1"/>
        <v/>
      </c>
    </row>
    <row r="1983" spans="2:8" x14ac:dyDescent="0.35">
      <c r="B1983" t="str">
        <f ca="1"/>
        <v/>
      </c>
      <c r="C1983" t="str">
        <f ca="1"/>
        <v/>
      </c>
      <c r="D1983" t="str">
        <f ca="1"/>
        <v/>
      </c>
      <c r="E1983" t="str">
        <f ca="1"/>
        <v/>
      </c>
      <c r="F1983" t="str">
        <f ca="1"/>
        <v/>
      </c>
      <c r="G1983" t="str">
        <f ca="1"/>
        <v/>
      </c>
      <c r="H1983" s="17" t="str">
        <f ca="1"/>
        <v/>
      </c>
    </row>
    <row r="1984" spans="2:8" x14ac:dyDescent="0.35">
      <c r="B1984" t="str">
        <f ca="1"/>
        <v/>
      </c>
      <c r="C1984" t="str">
        <f ca="1"/>
        <v/>
      </c>
      <c r="D1984" t="str">
        <f ca="1"/>
        <v/>
      </c>
      <c r="E1984" t="str">
        <f ca="1"/>
        <v/>
      </c>
      <c r="F1984" t="str">
        <f ca="1"/>
        <v/>
      </c>
      <c r="G1984" t="str">
        <f ca="1"/>
        <v/>
      </c>
      <c r="H1984" s="17" t="str">
        <f ca="1"/>
        <v/>
      </c>
    </row>
    <row r="1985" spans="2:8" x14ac:dyDescent="0.35">
      <c r="B1985" t="str">
        <f ca="1"/>
        <v/>
      </c>
      <c r="C1985" t="str">
        <f ca="1"/>
        <v/>
      </c>
      <c r="D1985" t="str">
        <f ca="1"/>
        <v/>
      </c>
      <c r="E1985" t="str">
        <f ca="1"/>
        <v/>
      </c>
      <c r="F1985" t="str">
        <f ca="1"/>
        <v/>
      </c>
      <c r="G1985" t="str">
        <f ca="1"/>
        <v/>
      </c>
      <c r="H1985" s="17" t="str">
        <f ca="1"/>
        <v/>
      </c>
    </row>
    <row r="1986" spans="2:8" x14ac:dyDescent="0.35">
      <c r="B1986" t="str">
        <f ca="1"/>
        <v/>
      </c>
      <c r="C1986" t="str">
        <f ca="1"/>
        <v/>
      </c>
      <c r="D1986" t="str">
        <f ca="1"/>
        <v/>
      </c>
      <c r="E1986" t="str">
        <f ca="1"/>
        <v/>
      </c>
      <c r="F1986" t="str">
        <f ca="1"/>
        <v/>
      </c>
      <c r="G1986" t="str">
        <f ca="1"/>
        <v/>
      </c>
      <c r="H1986" s="17" t="str">
        <f ca="1"/>
        <v/>
      </c>
    </row>
    <row r="1987" spans="2:8" x14ac:dyDescent="0.35">
      <c r="B1987" t="str">
        <f ca="1"/>
        <v/>
      </c>
      <c r="C1987" t="str">
        <f ca="1"/>
        <v/>
      </c>
      <c r="D1987" t="str">
        <f ca="1"/>
        <v/>
      </c>
      <c r="E1987" t="str">
        <f ca="1"/>
        <v/>
      </c>
      <c r="F1987" t="str">
        <f ca="1"/>
        <v/>
      </c>
      <c r="G1987" t="str">
        <f ca="1"/>
        <v/>
      </c>
      <c r="H1987" s="17" t="str">
        <f ca="1"/>
        <v/>
      </c>
    </row>
    <row r="1988" spans="2:8" x14ac:dyDescent="0.35">
      <c r="B1988" t="str">
        <f ca="1"/>
        <v/>
      </c>
      <c r="C1988" t="str">
        <f ca="1"/>
        <v/>
      </c>
      <c r="D1988" t="str">
        <f ca="1"/>
        <v/>
      </c>
      <c r="E1988" t="str">
        <f ca="1"/>
        <v/>
      </c>
      <c r="F1988" t="str">
        <f ca="1"/>
        <v/>
      </c>
      <c r="G1988" t="str">
        <f ca="1"/>
        <v/>
      </c>
      <c r="H1988" s="17" t="str">
        <f ca="1"/>
        <v/>
      </c>
    </row>
    <row r="1989" spans="2:8" x14ac:dyDescent="0.35">
      <c r="B1989" t="str">
        <f ca="1"/>
        <v/>
      </c>
      <c r="C1989" t="str">
        <f ca="1"/>
        <v/>
      </c>
      <c r="D1989" t="str">
        <f ca="1"/>
        <v/>
      </c>
      <c r="E1989" t="str">
        <f ca="1"/>
        <v/>
      </c>
      <c r="F1989" t="str">
        <f ca="1"/>
        <v/>
      </c>
      <c r="G1989" t="str">
        <f ca="1"/>
        <v/>
      </c>
      <c r="H1989" s="17" t="str">
        <f ca="1"/>
        <v/>
      </c>
    </row>
    <row r="1990" spans="2:8" x14ac:dyDescent="0.35">
      <c r="B1990" t="str">
        <f ca="1"/>
        <v/>
      </c>
      <c r="C1990" t="str">
        <f ca="1"/>
        <v/>
      </c>
      <c r="D1990" t="str">
        <f ca="1"/>
        <v/>
      </c>
      <c r="E1990" t="str">
        <f ca="1"/>
        <v/>
      </c>
      <c r="F1990" t="str">
        <f ca="1"/>
        <v/>
      </c>
      <c r="G1990" t="str">
        <f ca="1"/>
        <v/>
      </c>
      <c r="H1990" s="17" t="str">
        <f ca="1"/>
        <v/>
      </c>
    </row>
    <row r="1991" spans="2:8" x14ac:dyDescent="0.35">
      <c r="B1991" t="str">
        <f ca="1"/>
        <v/>
      </c>
      <c r="C1991" t="str">
        <f ca="1"/>
        <v/>
      </c>
      <c r="D1991" t="str">
        <f ca="1"/>
        <v/>
      </c>
      <c r="E1991" t="str">
        <f ca="1"/>
        <v/>
      </c>
      <c r="F1991" t="str">
        <f ca="1"/>
        <v/>
      </c>
      <c r="G1991" t="str">
        <f ca="1"/>
        <v/>
      </c>
      <c r="H1991" s="17" t="str">
        <f ca="1"/>
        <v/>
      </c>
    </row>
    <row r="1992" spans="2:8" x14ac:dyDescent="0.35">
      <c r="B1992" t="str">
        <f ca="1"/>
        <v/>
      </c>
      <c r="C1992" t="str">
        <f ca="1"/>
        <v/>
      </c>
      <c r="D1992" t="str">
        <f ca="1"/>
        <v/>
      </c>
      <c r="E1992" t="str">
        <f ca="1"/>
        <v/>
      </c>
      <c r="F1992" t="str">
        <f ca="1"/>
        <v/>
      </c>
      <c r="G1992" t="str">
        <f ca="1"/>
        <v/>
      </c>
      <c r="H1992" s="17" t="str">
        <f ca="1"/>
        <v/>
      </c>
    </row>
    <row r="1993" spans="2:8" x14ac:dyDescent="0.35">
      <c r="B1993" t="str">
        <f ca="1"/>
        <v/>
      </c>
      <c r="C1993" t="str">
        <f ca="1"/>
        <v/>
      </c>
      <c r="D1993" t="str">
        <f ca="1"/>
        <v/>
      </c>
      <c r="E1993" t="str">
        <f ca="1"/>
        <v/>
      </c>
      <c r="F1993" t="str">
        <f ca="1"/>
        <v/>
      </c>
      <c r="G1993" t="str">
        <f ca="1"/>
        <v/>
      </c>
      <c r="H1993" s="17" t="str">
        <f ca="1"/>
        <v/>
      </c>
    </row>
    <row r="1994" spans="2:8" x14ac:dyDescent="0.35">
      <c r="B1994" t="str">
        <f ca="1"/>
        <v/>
      </c>
      <c r="C1994" t="str">
        <f ca="1"/>
        <v/>
      </c>
      <c r="D1994" t="str">
        <f ca="1"/>
        <v/>
      </c>
      <c r="E1994" t="str">
        <f ca="1"/>
        <v/>
      </c>
      <c r="F1994" t="str">
        <f ca="1"/>
        <v/>
      </c>
      <c r="G1994" t="str">
        <f ca="1"/>
        <v/>
      </c>
      <c r="H1994" s="17" t="str">
        <f ca="1"/>
        <v/>
      </c>
    </row>
    <row r="1995" spans="2:8" x14ac:dyDescent="0.35">
      <c r="B1995" t="str">
        <f ca="1"/>
        <v/>
      </c>
      <c r="C1995" t="str">
        <f ca="1"/>
        <v/>
      </c>
      <c r="D1995" t="str">
        <f ca="1"/>
        <v/>
      </c>
      <c r="E1995" t="str">
        <f ca="1"/>
        <v/>
      </c>
      <c r="F1995" t="str">
        <f ca="1"/>
        <v/>
      </c>
      <c r="G1995" t="str">
        <f ca="1"/>
        <v/>
      </c>
      <c r="H1995" s="17" t="str">
        <f ca="1"/>
        <v/>
      </c>
    </row>
    <row r="1996" spans="2:8" x14ac:dyDescent="0.35">
      <c r="B1996" t="str">
        <f ca="1"/>
        <v/>
      </c>
      <c r="C1996" t="str">
        <f ca="1"/>
        <v/>
      </c>
      <c r="D1996" t="str">
        <f ca="1"/>
        <v/>
      </c>
      <c r="E1996" t="str">
        <f ca="1"/>
        <v/>
      </c>
      <c r="F1996" t="str">
        <f ca="1"/>
        <v/>
      </c>
      <c r="G1996" t="str">
        <f ca="1"/>
        <v/>
      </c>
      <c r="H1996" s="17" t="str">
        <f ca="1"/>
        <v/>
      </c>
    </row>
    <row r="1997" spans="2:8" x14ac:dyDescent="0.35">
      <c r="B1997" t="str">
        <f ca="1"/>
        <v/>
      </c>
      <c r="C1997" t="str">
        <f ca="1"/>
        <v/>
      </c>
      <c r="D1997" t="str">
        <f ca="1"/>
        <v/>
      </c>
      <c r="E1997" t="str">
        <f ca="1"/>
        <v/>
      </c>
      <c r="F1997" t="str">
        <f ca="1"/>
        <v/>
      </c>
      <c r="G1997" t="str">
        <f ca="1"/>
        <v/>
      </c>
      <c r="H1997" s="17" t="str">
        <f ca="1"/>
        <v/>
      </c>
    </row>
    <row r="1998" spans="2:8" x14ac:dyDescent="0.35">
      <c r="B1998" t="str">
        <f ca="1"/>
        <v/>
      </c>
      <c r="C1998" t="str">
        <f ca="1"/>
        <v/>
      </c>
      <c r="D1998" t="str">
        <f ca="1"/>
        <v/>
      </c>
      <c r="E1998" t="str">
        <f ca="1"/>
        <v/>
      </c>
      <c r="F1998" t="str">
        <f ca="1"/>
        <v/>
      </c>
      <c r="G1998" t="str">
        <f ca="1"/>
        <v/>
      </c>
      <c r="H1998" s="17" t="str">
        <f ca="1"/>
        <v/>
      </c>
    </row>
    <row r="1999" spans="2:8" x14ac:dyDescent="0.35">
      <c r="B1999" t="str">
        <f ca="1"/>
        <v/>
      </c>
      <c r="C1999" t="str">
        <f ca="1"/>
        <v/>
      </c>
      <c r="D1999" t="str">
        <f ca="1"/>
        <v/>
      </c>
      <c r="E1999" t="str">
        <f ca="1"/>
        <v/>
      </c>
      <c r="F1999" t="str">
        <f ca="1"/>
        <v/>
      </c>
      <c r="G1999" t="str">
        <f ca="1"/>
        <v/>
      </c>
      <c r="H1999" s="17" t="str">
        <f ca="1"/>
        <v/>
      </c>
    </row>
    <row r="2000" spans="2:8" x14ac:dyDescent="0.35">
      <c r="B2000" t="str">
        <f ca="1"/>
        <v/>
      </c>
      <c r="C2000" t="str">
        <f ca="1"/>
        <v/>
      </c>
      <c r="D2000" t="str">
        <f ca="1"/>
        <v/>
      </c>
      <c r="E2000" t="str">
        <f ca="1"/>
        <v/>
      </c>
      <c r="F2000" t="str">
        <f ca="1"/>
        <v/>
      </c>
      <c r="G2000" t="str">
        <f ca="1"/>
        <v/>
      </c>
      <c r="H2000" s="17" t="str">
        <f ca="1"/>
        <v/>
      </c>
    </row>
    <row r="2001" spans="2:8" x14ac:dyDescent="0.35">
      <c r="B2001" t="str">
        <f ca="1"/>
        <v/>
      </c>
      <c r="C2001" t="str">
        <f ca="1"/>
        <v/>
      </c>
      <c r="D2001" t="str">
        <f ca="1"/>
        <v/>
      </c>
      <c r="E2001" t="str">
        <f ca="1"/>
        <v/>
      </c>
      <c r="F2001" t="str">
        <f ca="1"/>
        <v/>
      </c>
      <c r="G2001" t="str">
        <f ca="1"/>
        <v/>
      </c>
      <c r="H2001" s="17" t="str">
        <f ca="1"/>
        <v/>
      </c>
    </row>
    <row r="2002" spans="2:8" x14ac:dyDescent="0.35">
      <c r="B2002" t="str">
        <f ca="1"/>
        <v/>
      </c>
      <c r="C2002" t="str">
        <f ca="1"/>
        <v/>
      </c>
      <c r="D2002" t="str">
        <f ca="1"/>
        <v/>
      </c>
      <c r="E2002" t="str">
        <f ca="1"/>
        <v/>
      </c>
      <c r="F2002" t="str">
        <f ca="1"/>
        <v/>
      </c>
      <c r="G2002" t="str">
        <f ca="1"/>
        <v/>
      </c>
      <c r="H2002" s="17" t="str">
        <f ca="1"/>
        <v/>
      </c>
    </row>
    <row r="2003" spans="2:8" x14ac:dyDescent="0.35">
      <c r="B2003" t="str">
        <f ca="1"/>
        <v/>
      </c>
      <c r="C2003" t="str">
        <f ca="1"/>
        <v/>
      </c>
      <c r="D2003" t="str">
        <f ca="1"/>
        <v/>
      </c>
      <c r="E2003" t="str">
        <f ca="1"/>
        <v/>
      </c>
      <c r="F2003" t="str">
        <f ca="1"/>
        <v/>
      </c>
      <c r="G2003" t="str">
        <f ca="1"/>
        <v/>
      </c>
      <c r="H2003" s="17" t="str">
        <f ca="1"/>
        <v/>
      </c>
    </row>
    <row r="2004" spans="2:8" x14ac:dyDescent="0.35">
      <c r="B2004" t="str">
        <f ca="1"/>
        <v/>
      </c>
      <c r="C2004" t="str">
        <f ca="1"/>
        <v/>
      </c>
      <c r="D2004" t="str">
        <f ca="1"/>
        <v/>
      </c>
      <c r="E2004" t="str">
        <f ca="1"/>
        <v/>
      </c>
      <c r="F2004" t="str">
        <f ca="1"/>
        <v/>
      </c>
      <c r="G2004" t="str">
        <f ca="1"/>
        <v/>
      </c>
      <c r="H2004" s="17" t="str">
        <f ca="1"/>
        <v/>
      </c>
    </row>
    <row r="2005" spans="2:8" x14ac:dyDescent="0.35">
      <c r="B2005" t="str">
        <f ca="1"/>
        <v/>
      </c>
      <c r="C2005" t="str">
        <f ca="1"/>
        <v/>
      </c>
      <c r="D2005" t="str">
        <f ca="1"/>
        <v/>
      </c>
      <c r="E2005" t="str">
        <f ca="1"/>
        <v/>
      </c>
      <c r="F2005" t="str">
        <f ca="1"/>
        <v/>
      </c>
      <c r="G2005" t="str">
        <f ca="1"/>
        <v/>
      </c>
      <c r="H2005" s="17" t="str">
        <f ca="1"/>
        <v/>
      </c>
    </row>
    <row r="2006" spans="2:8" x14ac:dyDescent="0.35">
      <c r="B2006" t="str">
        <f ca="1"/>
        <v/>
      </c>
      <c r="C2006" t="str">
        <f ca="1"/>
        <v/>
      </c>
      <c r="D2006" t="str">
        <f ca="1"/>
        <v/>
      </c>
      <c r="E2006" t="str">
        <f ca="1"/>
        <v/>
      </c>
      <c r="F2006" t="str">
        <f ca="1"/>
        <v/>
      </c>
      <c r="G2006" t="str">
        <f ca="1"/>
        <v/>
      </c>
      <c r="H2006" s="17" t="str">
        <f ca="1"/>
        <v/>
      </c>
    </row>
    <row r="2007" spans="2:8" x14ac:dyDescent="0.35">
      <c r="B2007" t="str">
        <f ca="1"/>
        <v/>
      </c>
      <c r="C2007" t="str">
        <f ca="1"/>
        <v/>
      </c>
      <c r="D2007" t="str">
        <f ca="1"/>
        <v/>
      </c>
      <c r="E2007" t="str">
        <f ca="1"/>
        <v/>
      </c>
      <c r="F2007" t="str">
        <f ca="1"/>
        <v/>
      </c>
      <c r="G2007" t="str">
        <f ca="1"/>
        <v/>
      </c>
      <c r="H2007" s="17" t="str">
        <f ca="1"/>
        <v/>
      </c>
    </row>
    <row r="2008" spans="2:8" x14ac:dyDescent="0.35">
      <c r="B2008" t="str">
        <f ca="1"/>
        <v/>
      </c>
      <c r="C2008" t="str">
        <f ca="1"/>
        <v/>
      </c>
      <c r="D2008" t="str">
        <f ca="1"/>
        <v/>
      </c>
      <c r="E2008" t="str">
        <f ca="1"/>
        <v/>
      </c>
      <c r="F2008" t="str">
        <f ca="1"/>
        <v/>
      </c>
      <c r="G2008" t="str">
        <f ca="1"/>
        <v/>
      </c>
      <c r="H2008" s="17" t="str">
        <f ca="1"/>
        <v/>
      </c>
    </row>
    <row r="2009" spans="2:8" x14ac:dyDescent="0.35">
      <c r="B2009" t="str">
        <f ca="1"/>
        <v/>
      </c>
      <c r="C2009" t="str">
        <f ca="1"/>
        <v/>
      </c>
      <c r="D2009" t="str">
        <f ca="1"/>
        <v/>
      </c>
      <c r="E2009" t="str">
        <f ca="1"/>
        <v/>
      </c>
      <c r="F2009" t="str">
        <f ca="1"/>
        <v/>
      </c>
      <c r="G2009" t="str">
        <f ca="1"/>
        <v/>
      </c>
      <c r="H2009" s="17" t="str">
        <f ca="1"/>
        <v/>
      </c>
    </row>
    <row r="2010" spans="2:8" x14ac:dyDescent="0.35">
      <c r="B2010" t="str">
        <f ca="1"/>
        <v/>
      </c>
      <c r="C2010" t="str">
        <f ca="1"/>
        <v/>
      </c>
      <c r="D2010" t="str">
        <f ca="1"/>
        <v/>
      </c>
      <c r="E2010" t="str">
        <f ca="1"/>
        <v/>
      </c>
      <c r="F2010" t="str">
        <f ca="1"/>
        <v/>
      </c>
      <c r="G2010" t="str">
        <f ca="1"/>
        <v/>
      </c>
      <c r="H2010" s="17" t="str">
        <f ca="1"/>
        <v/>
      </c>
    </row>
    <row r="2011" spans="2:8" x14ac:dyDescent="0.35">
      <c r="B2011" t="str">
        <f ca="1"/>
        <v/>
      </c>
      <c r="C2011" t="str">
        <f ca="1"/>
        <v/>
      </c>
      <c r="D2011" t="str">
        <f ca="1"/>
        <v/>
      </c>
      <c r="E2011" t="str">
        <f ca="1"/>
        <v/>
      </c>
      <c r="F2011" t="str">
        <f ca="1"/>
        <v/>
      </c>
      <c r="G2011" t="str">
        <f ca="1"/>
        <v/>
      </c>
      <c r="H2011" s="17" t="str">
        <f ca="1"/>
        <v/>
      </c>
    </row>
    <row r="2012" spans="2:8" x14ac:dyDescent="0.35">
      <c r="B2012" t="str">
        <f ca="1"/>
        <v/>
      </c>
      <c r="C2012" t="str">
        <f ca="1"/>
        <v/>
      </c>
      <c r="D2012" t="str">
        <f ca="1"/>
        <v/>
      </c>
      <c r="E2012" t="str">
        <f ca="1"/>
        <v/>
      </c>
      <c r="F2012" t="str">
        <f ca="1"/>
        <v/>
      </c>
      <c r="G2012" t="str">
        <f ca="1"/>
        <v/>
      </c>
      <c r="H2012" s="17" t="str">
        <f ca="1"/>
        <v/>
      </c>
    </row>
    <row r="2013" spans="2:8" x14ac:dyDescent="0.35">
      <c r="B2013" t="str">
        <f ca="1"/>
        <v/>
      </c>
      <c r="C2013" t="str">
        <f ca="1"/>
        <v/>
      </c>
      <c r="D2013" t="str">
        <f ca="1"/>
        <v/>
      </c>
      <c r="E2013" t="str">
        <f ca="1"/>
        <v/>
      </c>
      <c r="F2013" t="str">
        <f ca="1"/>
        <v/>
      </c>
      <c r="G2013" t="str">
        <f ca="1"/>
        <v/>
      </c>
      <c r="H2013" s="17" t="str">
        <f ca="1"/>
        <v/>
      </c>
    </row>
    <row r="2014" spans="2:8" x14ac:dyDescent="0.35">
      <c r="B2014" t="str">
        <f ca="1"/>
        <v/>
      </c>
      <c r="C2014" t="str">
        <f ca="1"/>
        <v/>
      </c>
      <c r="D2014" t="str">
        <f ca="1"/>
        <v/>
      </c>
      <c r="E2014" t="str">
        <f ca="1"/>
        <v/>
      </c>
      <c r="F2014" t="str">
        <f ca="1"/>
        <v/>
      </c>
      <c r="G2014" t="str">
        <f ca="1"/>
        <v/>
      </c>
      <c r="H2014" s="17" t="str">
        <f ca="1"/>
        <v/>
      </c>
    </row>
    <row r="2015" spans="2:8" x14ac:dyDescent="0.35">
      <c r="B2015" t="str">
        <f ca="1"/>
        <v/>
      </c>
      <c r="C2015" t="str">
        <f ca="1"/>
        <v/>
      </c>
      <c r="D2015" t="str">
        <f ca="1"/>
        <v/>
      </c>
      <c r="E2015" t="str">
        <f ca="1"/>
        <v/>
      </c>
      <c r="F2015" t="str">
        <f ca="1"/>
        <v/>
      </c>
      <c r="G2015" t="str">
        <f ca="1"/>
        <v/>
      </c>
      <c r="H2015" s="17" t="str">
        <f ca="1"/>
        <v/>
      </c>
    </row>
    <row r="2016" spans="2:8" x14ac:dyDescent="0.35">
      <c r="B2016" t="str">
        <f ca="1"/>
        <v/>
      </c>
      <c r="C2016" t="str">
        <f ca="1"/>
        <v/>
      </c>
      <c r="D2016" t="str">
        <f ca="1"/>
        <v/>
      </c>
      <c r="E2016" t="str">
        <f ca="1"/>
        <v/>
      </c>
      <c r="F2016" t="str">
        <f ca="1"/>
        <v/>
      </c>
      <c r="G2016" t="str">
        <f ca="1"/>
        <v/>
      </c>
      <c r="H2016" s="17" t="str">
        <f ca="1"/>
        <v/>
      </c>
    </row>
    <row r="2017" spans="2:8" x14ac:dyDescent="0.35">
      <c r="B2017" t="str">
        <f ca="1"/>
        <v/>
      </c>
      <c r="C2017" t="str">
        <f ca="1"/>
        <v/>
      </c>
      <c r="D2017" t="str">
        <f ca="1"/>
        <v/>
      </c>
      <c r="E2017" t="str">
        <f ca="1"/>
        <v/>
      </c>
      <c r="F2017" t="str">
        <f ca="1"/>
        <v/>
      </c>
      <c r="G2017" t="str">
        <f ca="1"/>
        <v/>
      </c>
      <c r="H2017" s="17" t="str">
        <f ca="1"/>
        <v/>
      </c>
    </row>
    <row r="2018" spans="2:8" x14ac:dyDescent="0.35">
      <c r="B2018" t="str">
        <f ca="1"/>
        <v/>
      </c>
      <c r="C2018" t="str">
        <f ca="1"/>
        <v/>
      </c>
      <c r="D2018" t="str">
        <f ca="1"/>
        <v/>
      </c>
      <c r="E2018" t="str">
        <f ca="1"/>
        <v/>
      </c>
      <c r="F2018" t="str">
        <f ca="1"/>
        <v/>
      </c>
      <c r="G2018" t="str">
        <f ca="1"/>
        <v/>
      </c>
      <c r="H2018" s="17" t="str">
        <f ca="1"/>
        <v/>
      </c>
    </row>
    <row r="2019" spans="2:8" x14ac:dyDescent="0.35">
      <c r="B2019" t="str">
        <f ca="1"/>
        <v/>
      </c>
      <c r="C2019" t="str">
        <f ca="1"/>
        <v/>
      </c>
      <c r="D2019" t="str">
        <f ca="1"/>
        <v/>
      </c>
      <c r="E2019" t="str">
        <f ca="1"/>
        <v/>
      </c>
      <c r="F2019" t="str">
        <f ca="1"/>
        <v/>
      </c>
      <c r="G2019" t="str">
        <f ca="1"/>
        <v/>
      </c>
      <c r="H2019" s="17" t="str">
        <f ca="1"/>
        <v/>
      </c>
    </row>
    <row r="2020" spans="2:8" x14ac:dyDescent="0.35">
      <c r="B2020" t="str">
        <f ca="1"/>
        <v/>
      </c>
      <c r="C2020" t="str">
        <f ca="1"/>
        <v/>
      </c>
      <c r="D2020" t="str">
        <f ca="1"/>
        <v/>
      </c>
      <c r="E2020" t="str">
        <f ca="1"/>
        <v/>
      </c>
      <c r="F2020" t="str">
        <f ca="1"/>
        <v/>
      </c>
      <c r="G2020" t="str">
        <f ca="1"/>
        <v/>
      </c>
      <c r="H2020" s="17" t="str">
        <f ca="1"/>
        <v/>
      </c>
    </row>
    <row r="2021" spans="2:8" x14ac:dyDescent="0.35">
      <c r="B2021" t="str">
        <f ca="1"/>
        <v/>
      </c>
      <c r="C2021" t="str">
        <f ca="1"/>
        <v/>
      </c>
      <c r="D2021" t="str">
        <f ca="1"/>
        <v/>
      </c>
      <c r="E2021" t="str">
        <f ca="1"/>
        <v/>
      </c>
      <c r="F2021" t="str">
        <f ca="1"/>
        <v/>
      </c>
      <c r="G2021" t="str">
        <f ca="1"/>
        <v/>
      </c>
      <c r="H2021" s="17" t="str">
        <f ca="1"/>
        <v/>
      </c>
    </row>
    <row r="2022" spans="2:8" x14ac:dyDescent="0.35">
      <c r="B2022" t="str">
        <f ca="1"/>
        <v/>
      </c>
      <c r="C2022" t="str">
        <f ca="1"/>
        <v/>
      </c>
      <c r="D2022" t="str">
        <f ca="1"/>
        <v/>
      </c>
      <c r="E2022" t="str">
        <f ca="1"/>
        <v/>
      </c>
      <c r="F2022" t="str">
        <f ca="1"/>
        <v/>
      </c>
      <c r="G2022" t="str">
        <f ca="1"/>
        <v/>
      </c>
      <c r="H2022" s="17" t="str">
        <f ca="1"/>
        <v/>
      </c>
    </row>
    <row r="2023" spans="2:8" x14ac:dyDescent="0.35">
      <c r="B2023" t="str">
        <f ca="1"/>
        <v/>
      </c>
      <c r="C2023" t="str">
        <f ca="1"/>
        <v/>
      </c>
      <c r="D2023" t="str">
        <f ca="1"/>
        <v/>
      </c>
      <c r="E2023" t="str">
        <f ca="1"/>
        <v/>
      </c>
      <c r="F2023" t="str">
        <f ca="1"/>
        <v/>
      </c>
      <c r="G2023" t="str">
        <f ca="1"/>
        <v/>
      </c>
      <c r="H2023" s="17" t="str">
        <f ca="1"/>
        <v/>
      </c>
    </row>
    <row r="2024" spans="2:8" x14ac:dyDescent="0.35">
      <c r="B2024" t="str">
        <f ca="1"/>
        <v/>
      </c>
      <c r="C2024" t="str">
        <f ca="1"/>
        <v/>
      </c>
      <c r="D2024" t="str">
        <f ca="1"/>
        <v/>
      </c>
      <c r="E2024" t="str">
        <f ca="1"/>
        <v/>
      </c>
      <c r="F2024" t="str">
        <f ca="1"/>
        <v/>
      </c>
      <c r="G2024" t="str">
        <f ca="1"/>
        <v/>
      </c>
      <c r="H2024" s="17" t="str">
        <f ca="1"/>
        <v/>
      </c>
    </row>
    <row r="2025" spans="2:8" x14ac:dyDescent="0.35">
      <c r="B2025" t="str">
        <f ca="1"/>
        <v/>
      </c>
      <c r="C2025" t="str">
        <f ca="1"/>
        <v/>
      </c>
      <c r="D2025" t="str">
        <f ca="1"/>
        <v/>
      </c>
      <c r="E2025" t="str">
        <f ca="1"/>
        <v/>
      </c>
      <c r="F2025" t="str">
        <f ca="1"/>
        <v/>
      </c>
      <c r="G2025" t="str">
        <f ca="1"/>
        <v/>
      </c>
      <c r="H2025" s="17" t="str">
        <f ca="1"/>
        <v/>
      </c>
    </row>
    <row r="2026" spans="2:8" x14ac:dyDescent="0.35">
      <c r="B2026" t="str">
        <f ca="1"/>
        <v/>
      </c>
      <c r="C2026" t="str">
        <f ca="1"/>
        <v/>
      </c>
      <c r="D2026" t="str">
        <f ca="1"/>
        <v/>
      </c>
      <c r="E2026" t="str">
        <f ca="1"/>
        <v/>
      </c>
      <c r="F2026" t="str">
        <f ca="1"/>
        <v/>
      </c>
      <c r="G2026" t="str">
        <f ca="1"/>
        <v/>
      </c>
      <c r="H2026" s="17" t="str">
        <f ca="1"/>
        <v/>
      </c>
    </row>
    <row r="2027" spans="2:8" x14ac:dyDescent="0.35">
      <c r="B2027" t="str">
        <f ca="1"/>
        <v/>
      </c>
      <c r="C2027" t="str">
        <f ca="1"/>
        <v/>
      </c>
      <c r="D2027" t="str">
        <f ca="1"/>
        <v/>
      </c>
      <c r="E2027" t="str">
        <f ca="1"/>
        <v/>
      </c>
      <c r="F2027" t="str">
        <f ca="1"/>
        <v/>
      </c>
      <c r="G2027" t="str">
        <f ca="1"/>
        <v/>
      </c>
      <c r="H2027" s="17" t="str">
        <f ca="1"/>
        <v/>
      </c>
    </row>
    <row r="2028" spans="2:8" x14ac:dyDescent="0.35">
      <c r="B2028" t="str">
        <f ca="1"/>
        <v/>
      </c>
      <c r="C2028" t="str">
        <f ca="1"/>
        <v/>
      </c>
      <c r="D2028" t="str">
        <f ca="1"/>
        <v/>
      </c>
      <c r="E2028" t="str">
        <f ca="1"/>
        <v/>
      </c>
      <c r="F2028" t="str">
        <f ca="1"/>
        <v/>
      </c>
      <c r="G2028" t="str">
        <f ca="1"/>
        <v/>
      </c>
      <c r="H2028" s="17" t="str">
        <f ca="1"/>
        <v/>
      </c>
    </row>
    <row r="2029" spans="2:8" x14ac:dyDescent="0.35">
      <c r="B2029" t="str">
        <f ca="1"/>
        <v/>
      </c>
      <c r="C2029" t="str">
        <f ca="1"/>
        <v/>
      </c>
      <c r="D2029" t="str">
        <f ca="1"/>
        <v/>
      </c>
      <c r="E2029" t="str">
        <f ca="1"/>
        <v/>
      </c>
      <c r="F2029" t="str">
        <f ca="1"/>
        <v/>
      </c>
      <c r="G2029" t="str">
        <f ca="1"/>
        <v/>
      </c>
      <c r="H2029" s="17" t="str">
        <f ca="1"/>
        <v/>
      </c>
    </row>
    <row r="2030" spans="2:8" x14ac:dyDescent="0.35">
      <c r="B2030" t="str">
        <f ca="1"/>
        <v/>
      </c>
      <c r="C2030" t="str">
        <f ca="1"/>
        <v/>
      </c>
      <c r="D2030" t="str">
        <f ca="1"/>
        <v/>
      </c>
      <c r="E2030" t="str">
        <f ca="1"/>
        <v/>
      </c>
      <c r="F2030" t="str">
        <f ca="1"/>
        <v/>
      </c>
      <c r="G2030" t="str">
        <f ca="1"/>
        <v/>
      </c>
      <c r="H2030" s="17" t="str">
        <f ca="1"/>
        <v/>
      </c>
    </row>
    <row r="2031" spans="2:8" x14ac:dyDescent="0.35">
      <c r="B2031" t="str">
        <f ca="1"/>
        <v/>
      </c>
      <c r="C2031" t="str">
        <f ca="1"/>
        <v/>
      </c>
      <c r="D2031" t="str">
        <f ca="1"/>
        <v/>
      </c>
      <c r="E2031" t="str">
        <f ca="1"/>
        <v/>
      </c>
      <c r="F2031" t="str">
        <f ca="1"/>
        <v/>
      </c>
      <c r="G2031" t="str">
        <f ca="1"/>
        <v/>
      </c>
      <c r="H2031" s="17" t="str">
        <f ca="1"/>
        <v/>
      </c>
    </row>
    <row r="2032" spans="2:8" x14ac:dyDescent="0.35">
      <c r="B2032" t="str">
        <f ca="1"/>
        <v/>
      </c>
      <c r="C2032" t="str">
        <f ca="1"/>
        <v/>
      </c>
      <c r="D2032" t="str">
        <f ca="1"/>
        <v/>
      </c>
      <c r="E2032" t="str">
        <f ca="1"/>
        <v/>
      </c>
      <c r="F2032" t="str">
        <f ca="1"/>
        <v/>
      </c>
      <c r="G2032" t="str">
        <f ca="1"/>
        <v/>
      </c>
      <c r="H2032" s="17" t="str">
        <f ca="1"/>
        <v/>
      </c>
    </row>
    <row r="2033" spans="2:8" x14ac:dyDescent="0.35">
      <c r="B2033" t="str">
        <f ca="1"/>
        <v/>
      </c>
      <c r="C2033" t="str">
        <f ca="1"/>
        <v/>
      </c>
      <c r="D2033" t="str">
        <f ca="1"/>
        <v/>
      </c>
      <c r="E2033" t="str">
        <f ca="1"/>
        <v/>
      </c>
      <c r="F2033" t="str">
        <f ca="1"/>
        <v/>
      </c>
      <c r="G2033" t="str">
        <f ca="1"/>
        <v/>
      </c>
      <c r="H2033" s="17" t="str">
        <f ca="1"/>
        <v/>
      </c>
    </row>
    <row r="2034" spans="2:8" x14ac:dyDescent="0.35">
      <c r="B2034" t="str">
        <f ca="1"/>
        <v/>
      </c>
      <c r="C2034" t="str">
        <f ca="1"/>
        <v/>
      </c>
      <c r="D2034" t="str">
        <f ca="1"/>
        <v/>
      </c>
      <c r="E2034" t="str">
        <f ca="1"/>
        <v/>
      </c>
      <c r="F2034" t="str">
        <f ca="1"/>
        <v/>
      </c>
      <c r="G2034" t="str">
        <f ca="1"/>
        <v/>
      </c>
      <c r="H2034" s="17" t="str">
        <f ca="1"/>
        <v/>
      </c>
    </row>
    <row r="2035" spans="2:8" x14ac:dyDescent="0.35">
      <c r="B2035" t="str">
        <f ca="1"/>
        <v/>
      </c>
      <c r="C2035" t="str">
        <f ca="1"/>
        <v/>
      </c>
      <c r="D2035" t="str">
        <f ca="1"/>
        <v/>
      </c>
      <c r="E2035" t="str">
        <f ca="1"/>
        <v/>
      </c>
      <c r="F2035" t="str">
        <f ca="1"/>
        <v/>
      </c>
      <c r="G2035" t="str">
        <f ca="1"/>
        <v/>
      </c>
      <c r="H2035" s="17" t="str">
        <f ca="1"/>
        <v/>
      </c>
    </row>
    <row r="2036" spans="2:8" x14ac:dyDescent="0.35">
      <c r="B2036" t="str">
        <f ca="1"/>
        <v/>
      </c>
      <c r="C2036" t="str">
        <f ca="1"/>
        <v/>
      </c>
      <c r="D2036" t="str">
        <f ca="1"/>
        <v/>
      </c>
      <c r="E2036" t="str">
        <f ca="1"/>
        <v/>
      </c>
      <c r="F2036" t="str">
        <f ca="1"/>
        <v/>
      </c>
      <c r="G2036" t="str">
        <f ca="1"/>
        <v/>
      </c>
      <c r="H2036" s="17" t="str">
        <f ca="1"/>
        <v/>
      </c>
    </row>
    <row r="2037" spans="2:8" x14ac:dyDescent="0.35">
      <c r="B2037" t="str">
        <f ca="1"/>
        <v/>
      </c>
      <c r="C2037" t="str">
        <f ca="1"/>
        <v/>
      </c>
      <c r="D2037" t="str">
        <f ca="1"/>
        <v/>
      </c>
      <c r="E2037" t="str">
        <f ca="1"/>
        <v/>
      </c>
      <c r="F2037" t="str">
        <f ca="1"/>
        <v/>
      </c>
      <c r="G2037" t="str">
        <f ca="1"/>
        <v/>
      </c>
      <c r="H2037" s="17" t="str">
        <f ca="1"/>
        <v/>
      </c>
    </row>
    <row r="2038" spans="2:8" x14ac:dyDescent="0.35">
      <c r="B2038" t="str">
        <f ca="1"/>
        <v/>
      </c>
      <c r="C2038" t="str">
        <f ca="1"/>
        <v/>
      </c>
      <c r="D2038" t="str">
        <f ca="1"/>
        <v/>
      </c>
      <c r="E2038" t="str">
        <f ca="1"/>
        <v/>
      </c>
      <c r="F2038" t="str">
        <f ca="1"/>
        <v/>
      </c>
      <c r="G2038" t="str">
        <f ca="1"/>
        <v/>
      </c>
      <c r="H2038" s="17" t="str">
        <f ca="1"/>
        <v/>
      </c>
    </row>
    <row r="2039" spans="2:8" x14ac:dyDescent="0.35">
      <c r="B2039" t="str">
        <f ca="1"/>
        <v/>
      </c>
      <c r="C2039" t="str">
        <f ca="1"/>
        <v/>
      </c>
      <c r="D2039" t="str">
        <f ca="1"/>
        <v/>
      </c>
      <c r="E2039" t="str">
        <f ca="1"/>
        <v/>
      </c>
      <c r="F2039" t="str">
        <f ca="1"/>
        <v/>
      </c>
      <c r="G2039" t="str">
        <f ca="1"/>
        <v/>
      </c>
      <c r="H2039" s="17" t="str">
        <f ca="1"/>
        <v/>
      </c>
    </row>
    <row r="2040" spans="2:8" x14ac:dyDescent="0.35">
      <c r="B2040" t="str">
        <f ca="1"/>
        <v/>
      </c>
      <c r="C2040" t="str">
        <f ca="1"/>
        <v/>
      </c>
      <c r="D2040" t="str">
        <f ca="1"/>
        <v/>
      </c>
      <c r="E2040" t="str">
        <f ca="1"/>
        <v/>
      </c>
      <c r="F2040" t="str">
        <f ca="1"/>
        <v/>
      </c>
      <c r="G2040" t="str">
        <f ca="1"/>
        <v/>
      </c>
      <c r="H2040" s="17" t="str">
        <f ca="1"/>
        <v/>
      </c>
    </row>
    <row r="2041" spans="2:8" x14ac:dyDescent="0.35">
      <c r="B2041" t="str">
        <f ca="1"/>
        <v/>
      </c>
      <c r="C2041" t="str">
        <f ca="1"/>
        <v/>
      </c>
      <c r="D2041" t="str">
        <f ca="1"/>
        <v/>
      </c>
      <c r="E2041" t="str">
        <f ca="1"/>
        <v/>
      </c>
      <c r="F2041" t="str">
        <f ca="1"/>
        <v/>
      </c>
      <c r="G2041" t="str">
        <f ca="1"/>
        <v/>
      </c>
      <c r="H2041" s="17" t="str">
        <f ca="1"/>
        <v/>
      </c>
    </row>
    <row r="2042" spans="2:8" x14ac:dyDescent="0.35">
      <c r="B2042" t="str">
        <f ca="1"/>
        <v/>
      </c>
      <c r="C2042" t="str">
        <f ca="1"/>
        <v/>
      </c>
      <c r="D2042" t="str">
        <f ca="1"/>
        <v/>
      </c>
      <c r="E2042" t="str">
        <f ca="1"/>
        <v/>
      </c>
      <c r="F2042" t="str">
        <f ca="1"/>
        <v/>
      </c>
      <c r="G2042" t="str">
        <f ca="1"/>
        <v/>
      </c>
      <c r="H2042" s="17" t="str">
        <f ca="1"/>
        <v/>
      </c>
    </row>
    <row r="2043" spans="2:8" x14ac:dyDescent="0.35">
      <c r="B2043" t="str">
        <f ca="1"/>
        <v/>
      </c>
      <c r="C2043" t="str">
        <f ca="1"/>
        <v/>
      </c>
      <c r="D2043" t="str">
        <f ca="1"/>
        <v/>
      </c>
      <c r="E2043" t="str">
        <f ca="1"/>
        <v/>
      </c>
      <c r="F2043" t="str">
        <f ca="1"/>
        <v/>
      </c>
      <c r="G2043" t="str">
        <f ca="1"/>
        <v/>
      </c>
      <c r="H2043" s="17" t="str">
        <f ca="1"/>
        <v/>
      </c>
    </row>
    <row r="2044" spans="2:8" x14ac:dyDescent="0.35">
      <c r="B2044" t="str">
        <f ca="1"/>
        <v/>
      </c>
      <c r="C2044" t="str">
        <f ca="1"/>
        <v/>
      </c>
      <c r="D2044" t="str">
        <f ca="1"/>
        <v/>
      </c>
      <c r="E2044" t="str">
        <f ca="1"/>
        <v/>
      </c>
      <c r="F2044" t="str">
        <f ca="1"/>
        <v/>
      </c>
      <c r="G2044" t="str">
        <f ca="1"/>
        <v/>
      </c>
      <c r="H2044" s="17" t="str">
        <f ca="1"/>
        <v/>
      </c>
    </row>
    <row r="2045" spans="2:8" x14ac:dyDescent="0.35">
      <c r="B2045" t="str">
        <f ca="1"/>
        <v/>
      </c>
      <c r="C2045" t="str">
        <f ca="1"/>
        <v/>
      </c>
      <c r="D2045" t="str">
        <f ca="1"/>
        <v/>
      </c>
      <c r="E2045" t="str">
        <f ca="1"/>
        <v/>
      </c>
      <c r="F2045" t="str">
        <f ca="1"/>
        <v/>
      </c>
      <c r="G2045" t="str">
        <f ca="1"/>
        <v/>
      </c>
      <c r="H2045" s="17" t="str">
        <f ca="1"/>
        <v/>
      </c>
    </row>
    <row r="2046" spans="2:8" x14ac:dyDescent="0.35">
      <c r="B2046" t="str">
        <f ca="1"/>
        <v/>
      </c>
      <c r="C2046" t="str">
        <f ca="1"/>
        <v/>
      </c>
      <c r="D2046" t="str">
        <f ca="1"/>
        <v/>
      </c>
      <c r="E2046" t="str">
        <f ca="1"/>
        <v/>
      </c>
      <c r="F2046" t="str">
        <f ca="1"/>
        <v/>
      </c>
      <c r="G2046" t="str">
        <f ca="1"/>
        <v/>
      </c>
      <c r="H2046" s="17" t="str">
        <f ca="1"/>
        <v/>
      </c>
    </row>
    <row r="2047" spans="2:8" x14ac:dyDescent="0.35">
      <c r="B2047" t="str">
        <f ca="1"/>
        <v/>
      </c>
      <c r="C2047" t="str">
        <f ca="1"/>
        <v/>
      </c>
      <c r="D2047" t="str">
        <f ca="1"/>
        <v/>
      </c>
      <c r="E2047" t="str">
        <f ca="1"/>
        <v/>
      </c>
      <c r="F2047" t="str">
        <f ca="1"/>
        <v/>
      </c>
      <c r="G2047" t="str">
        <f ca="1"/>
        <v/>
      </c>
      <c r="H2047" s="17" t="str">
        <f ca="1"/>
        <v/>
      </c>
    </row>
    <row r="2048" spans="2:8" x14ac:dyDescent="0.35">
      <c r="B2048" t="str">
        <f ca="1"/>
        <v/>
      </c>
      <c r="C2048" t="str">
        <f ca="1"/>
        <v/>
      </c>
      <c r="D2048" t="str">
        <f ca="1"/>
        <v/>
      </c>
      <c r="E2048" t="str">
        <f ca="1"/>
        <v/>
      </c>
      <c r="F2048" t="str">
        <f ca="1"/>
        <v/>
      </c>
      <c r="G2048" t="str">
        <f ca="1"/>
        <v/>
      </c>
      <c r="H2048" s="17" t="str">
        <f ca="1"/>
        <v/>
      </c>
    </row>
    <row r="2049" spans="2:8" x14ac:dyDescent="0.35">
      <c r="B2049" t="str">
        <f ca="1"/>
        <v/>
      </c>
      <c r="C2049" t="str">
        <f ca="1"/>
        <v/>
      </c>
      <c r="D2049" t="str">
        <f ca="1"/>
        <v/>
      </c>
      <c r="E2049" t="str">
        <f ca="1"/>
        <v/>
      </c>
      <c r="F2049" t="str">
        <f ca="1"/>
        <v/>
      </c>
      <c r="G2049" t="str">
        <f ca="1"/>
        <v/>
      </c>
      <c r="H2049" s="17" t="str">
        <f ca="1"/>
        <v/>
      </c>
    </row>
    <row r="2050" spans="2:8" x14ac:dyDescent="0.35">
      <c r="B2050" t="str">
        <f ca="1"/>
        <v/>
      </c>
      <c r="C2050" t="str">
        <f ca="1"/>
        <v/>
      </c>
      <c r="D2050" t="str">
        <f ca="1"/>
        <v/>
      </c>
      <c r="E2050" t="str">
        <f ca="1"/>
        <v/>
      </c>
      <c r="F2050" t="str">
        <f ca="1"/>
        <v/>
      </c>
      <c r="G2050" t="str">
        <f ca="1"/>
        <v/>
      </c>
      <c r="H2050" s="17" t="str">
        <f ca="1"/>
        <v/>
      </c>
    </row>
    <row r="2051" spans="2:8" x14ac:dyDescent="0.35">
      <c r="B2051" t="str">
        <f ca="1"/>
        <v/>
      </c>
      <c r="C2051" t="str">
        <f ca="1"/>
        <v/>
      </c>
      <c r="D2051" t="str">
        <f ca="1"/>
        <v/>
      </c>
      <c r="E2051" t="str">
        <f ca="1"/>
        <v/>
      </c>
      <c r="F2051" t="str">
        <f ca="1"/>
        <v/>
      </c>
      <c r="G2051" t="str">
        <f ca="1"/>
        <v/>
      </c>
      <c r="H2051" s="17" t="str">
        <f ca="1"/>
        <v/>
      </c>
    </row>
    <row r="2052" spans="2:8" x14ac:dyDescent="0.35">
      <c r="B2052" t="str">
        <f ca="1"/>
        <v/>
      </c>
      <c r="C2052" t="str">
        <f ca="1"/>
        <v/>
      </c>
      <c r="D2052" t="str">
        <f ca="1"/>
        <v/>
      </c>
      <c r="E2052" t="str">
        <f ca="1"/>
        <v/>
      </c>
      <c r="F2052" t="str">
        <f ca="1"/>
        <v/>
      </c>
      <c r="G2052" t="str">
        <f ca="1"/>
        <v/>
      </c>
      <c r="H2052" s="17" t="str">
        <f ca="1"/>
        <v/>
      </c>
    </row>
    <row r="2053" spans="2:8" x14ac:dyDescent="0.35">
      <c r="B2053" t="str">
        <f ca="1"/>
        <v/>
      </c>
      <c r="C2053" t="str">
        <f ca="1"/>
        <v/>
      </c>
      <c r="D2053" t="str">
        <f ca="1"/>
        <v/>
      </c>
      <c r="E2053" t="str">
        <f ca="1"/>
        <v/>
      </c>
      <c r="F2053" t="str">
        <f ca="1"/>
        <v/>
      </c>
      <c r="G2053" t="str">
        <f ca="1"/>
        <v/>
      </c>
      <c r="H2053" s="17" t="str">
        <f ca="1"/>
        <v/>
      </c>
    </row>
    <row r="2054" spans="2:8" x14ac:dyDescent="0.35">
      <c r="B2054" t="str">
        <f ca="1"/>
        <v/>
      </c>
      <c r="C2054" t="str">
        <f ca="1"/>
        <v/>
      </c>
      <c r="D2054" t="str">
        <f ca="1"/>
        <v/>
      </c>
      <c r="E2054" t="str">
        <f ca="1"/>
        <v/>
      </c>
      <c r="F2054" t="str">
        <f ca="1"/>
        <v/>
      </c>
      <c r="G2054" t="str">
        <f ca="1"/>
        <v/>
      </c>
      <c r="H2054" s="17" t="str">
        <f ca="1"/>
        <v/>
      </c>
    </row>
    <row r="2055" spans="2:8" x14ac:dyDescent="0.35">
      <c r="B2055" t="str">
        <f ca="1"/>
        <v/>
      </c>
      <c r="C2055" t="str">
        <f ca="1"/>
        <v/>
      </c>
      <c r="D2055" t="str">
        <f ca="1"/>
        <v/>
      </c>
      <c r="E2055" t="str">
        <f ca="1"/>
        <v/>
      </c>
      <c r="F2055" t="str">
        <f ca="1"/>
        <v/>
      </c>
      <c r="G2055" t="str">
        <f ca="1"/>
        <v/>
      </c>
      <c r="H2055" s="17" t="str">
        <f ca="1"/>
        <v/>
      </c>
    </row>
    <row r="2056" spans="2:8" x14ac:dyDescent="0.35">
      <c r="B2056" t="str">
        <f ca="1"/>
        <v/>
      </c>
      <c r="C2056" t="str">
        <f ca="1"/>
        <v/>
      </c>
      <c r="D2056" t="str">
        <f ca="1"/>
        <v/>
      </c>
      <c r="E2056" t="str">
        <f ca="1"/>
        <v/>
      </c>
      <c r="F2056" t="str">
        <f ca="1"/>
        <v/>
      </c>
      <c r="G2056" t="str">
        <f ca="1"/>
        <v/>
      </c>
      <c r="H2056" s="17" t="str">
        <f ca="1"/>
        <v/>
      </c>
    </row>
    <row r="2057" spans="2:8" x14ac:dyDescent="0.35">
      <c r="B2057" t="str">
        <f ca="1"/>
        <v/>
      </c>
      <c r="C2057" t="str">
        <f ca="1"/>
        <v/>
      </c>
      <c r="D2057" t="str">
        <f ca="1"/>
        <v/>
      </c>
      <c r="E2057" t="str">
        <f ca="1"/>
        <v/>
      </c>
      <c r="F2057" t="str">
        <f ca="1"/>
        <v/>
      </c>
      <c r="G2057" t="str">
        <f ca="1"/>
        <v/>
      </c>
      <c r="H2057" s="17" t="str">
        <f ca="1"/>
        <v/>
      </c>
    </row>
    <row r="2058" spans="2:8" x14ac:dyDescent="0.35">
      <c r="B2058" t="str">
        <f ca="1"/>
        <v/>
      </c>
      <c r="C2058" t="str">
        <f ca="1"/>
        <v/>
      </c>
      <c r="D2058" t="str">
        <f ca="1"/>
        <v/>
      </c>
      <c r="E2058" t="str">
        <f ca="1"/>
        <v/>
      </c>
      <c r="F2058" t="str">
        <f ca="1"/>
        <v/>
      </c>
      <c r="G2058" t="str">
        <f ca="1"/>
        <v/>
      </c>
      <c r="H2058" s="17" t="str">
        <f ca="1"/>
        <v/>
      </c>
    </row>
    <row r="2059" spans="2:8" x14ac:dyDescent="0.35">
      <c r="B2059" t="str">
        <f ca="1"/>
        <v/>
      </c>
      <c r="C2059" t="str">
        <f ca="1"/>
        <v/>
      </c>
      <c r="D2059" t="str">
        <f ca="1"/>
        <v/>
      </c>
      <c r="E2059" t="str">
        <f ca="1"/>
        <v/>
      </c>
      <c r="F2059" t="str">
        <f ca="1"/>
        <v/>
      </c>
      <c r="G2059" t="str">
        <f ca="1"/>
        <v/>
      </c>
      <c r="H2059" s="17" t="str">
        <f ca="1"/>
        <v/>
      </c>
    </row>
    <row r="2060" spans="2:8" x14ac:dyDescent="0.35">
      <c r="B2060" t="str">
        <f ca="1"/>
        <v/>
      </c>
      <c r="C2060" t="str">
        <f ca="1"/>
        <v/>
      </c>
      <c r="D2060" t="str">
        <f ca="1"/>
        <v/>
      </c>
      <c r="E2060" t="str">
        <f ca="1"/>
        <v/>
      </c>
      <c r="F2060" t="str">
        <f ca="1"/>
        <v/>
      </c>
      <c r="G2060" t="str">
        <f ca="1"/>
        <v/>
      </c>
      <c r="H2060" s="17" t="str">
        <f ca="1"/>
        <v/>
      </c>
    </row>
    <row r="2061" spans="2:8" x14ac:dyDescent="0.35">
      <c r="B2061" t="str">
        <f ca="1"/>
        <v/>
      </c>
      <c r="C2061" t="str">
        <f ca="1"/>
        <v/>
      </c>
      <c r="D2061" t="str">
        <f ca="1"/>
        <v/>
      </c>
      <c r="E2061" t="str">
        <f ca="1"/>
        <v/>
      </c>
      <c r="F2061" t="str">
        <f ca="1"/>
        <v/>
      </c>
      <c r="G2061" t="str">
        <f ca="1"/>
        <v/>
      </c>
      <c r="H2061" s="17" t="str">
        <f ca="1"/>
        <v/>
      </c>
    </row>
    <row r="2062" spans="2:8" x14ac:dyDescent="0.35">
      <c r="B2062" t="str">
        <f ca="1"/>
        <v/>
      </c>
      <c r="C2062" t="str">
        <f ca="1"/>
        <v/>
      </c>
      <c r="D2062" t="str">
        <f ca="1"/>
        <v/>
      </c>
      <c r="E2062" t="str">
        <f ca="1"/>
        <v/>
      </c>
      <c r="F2062" t="str">
        <f ca="1"/>
        <v/>
      </c>
      <c r="G2062" t="str">
        <f ca="1"/>
        <v/>
      </c>
      <c r="H2062" s="17" t="str">
        <f ca="1"/>
        <v/>
      </c>
    </row>
    <row r="2063" spans="2:8" x14ac:dyDescent="0.35">
      <c r="B2063" t="str">
        <f ca="1"/>
        <v/>
      </c>
      <c r="C2063" t="str">
        <f ca="1"/>
        <v/>
      </c>
      <c r="D2063" t="str">
        <f ca="1"/>
        <v/>
      </c>
      <c r="E2063" t="str">
        <f ca="1"/>
        <v/>
      </c>
      <c r="F2063" t="str">
        <f ca="1"/>
        <v/>
      </c>
      <c r="G2063" t="str">
        <f ca="1"/>
        <v/>
      </c>
      <c r="H2063" s="17" t="str">
        <f ca="1"/>
        <v/>
      </c>
    </row>
    <row r="2064" spans="2:8" x14ac:dyDescent="0.35">
      <c r="B2064" t="str">
        <f ca="1"/>
        <v/>
      </c>
      <c r="C2064" t="str">
        <f ca="1"/>
        <v/>
      </c>
      <c r="D2064" t="str">
        <f ca="1"/>
        <v/>
      </c>
      <c r="E2064" t="str">
        <f ca="1"/>
        <v/>
      </c>
      <c r="F2064" t="str">
        <f ca="1"/>
        <v/>
      </c>
      <c r="G2064" t="str">
        <f ca="1"/>
        <v/>
      </c>
      <c r="H2064" s="17" t="str">
        <f ca="1"/>
        <v/>
      </c>
    </row>
    <row r="2065" spans="2:8" x14ac:dyDescent="0.35">
      <c r="B2065" t="str">
        <f ca="1"/>
        <v/>
      </c>
      <c r="C2065" t="str">
        <f ca="1"/>
        <v/>
      </c>
      <c r="D2065" t="str">
        <f ca="1"/>
        <v/>
      </c>
      <c r="E2065" t="str">
        <f ca="1"/>
        <v/>
      </c>
      <c r="F2065" t="str">
        <f ca="1"/>
        <v/>
      </c>
      <c r="G2065" t="str">
        <f ca="1"/>
        <v/>
      </c>
      <c r="H2065" s="17" t="str">
        <f ca="1"/>
        <v/>
      </c>
    </row>
    <row r="2066" spans="2:8" x14ac:dyDescent="0.35">
      <c r="B2066" t="str">
        <f ca="1"/>
        <v/>
      </c>
      <c r="C2066" t="str">
        <f ca="1"/>
        <v/>
      </c>
      <c r="D2066" t="str">
        <f ca="1"/>
        <v/>
      </c>
      <c r="E2066" t="str">
        <f ca="1"/>
        <v/>
      </c>
      <c r="F2066" t="str">
        <f ca="1"/>
        <v/>
      </c>
      <c r="G2066" t="str">
        <f ca="1"/>
        <v/>
      </c>
      <c r="H2066" s="17" t="str">
        <f ca="1"/>
        <v/>
      </c>
    </row>
    <row r="2067" spans="2:8" x14ac:dyDescent="0.35">
      <c r="B2067" t="str">
        <f ca="1"/>
        <v/>
      </c>
      <c r="C2067" t="str">
        <f ca="1"/>
        <v/>
      </c>
      <c r="D2067" t="str">
        <f ca="1"/>
        <v/>
      </c>
      <c r="E2067" t="str">
        <f ca="1"/>
        <v/>
      </c>
      <c r="F2067" t="str">
        <f ca="1"/>
        <v/>
      </c>
      <c r="G2067" t="str">
        <f ca="1"/>
        <v/>
      </c>
      <c r="H2067" s="17" t="str">
        <f ca="1"/>
        <v/>
      </c>
    </row>
    <row r="2068" spans="2:8" x14ac:dyDescent="0.35">
      <c r="B2068" t="str">
        <f ca="1"/>
        <v/>
      </c>
      <c r="C2068" t="str">
        <f ca="1"/>
        <v/>
      </c>
      <c r="D2068" t="str">
        <f ca="1"/>
        <v/>
      </c>
      <c r="E2068" t="str">
        <f ca="1"/>
        <v/>
      </c>
      <c r="F2068" t="str">
        <f ca="1"/>
        <v/>
      </c>
      <c r="G2068" t="str">
        <f ca="1"/>
        <v/>
      </c>
      <c r="H2068" s="17" t="str">
        <f ca="1"/>
        <v/>
      </c>
    </row>
    <row r="2069" spans="2:8" x14ac:dyDescent="0.35">
      <c r="B2069" t="str">
        <f ca="1"/>
        <v/>
      </c>
      <c r="C2069" t="str">
        <f ca="1"/>
        <v/>
      </c>
      <c r="D2069" t="str">
        <f ca="1"/>
        <v/>
      </c>
      <c r="E2069" t="str">
        <f ca="1"/>
        <v/>
      </c>
      <c r="F2069" t="str">
        <f ca="1"/>
        <v/>
      </c>
      <c r="G2069" t="str">
        <f ca="1"/>
        <v/>
      </c>
      <c r="H2069" s="17" t="str">
        <f ca="1"/>
        <v/>
      </c>
    </row>
    <row r="2070" spans="2:8" x14ac:dyDescent="0.35">
      <c r="B2070" t="str">
        <f ca="1"/>
        <v/>
      </c>
      <c r="C2070" t="str">
        <f ca="1"/>
        <v/>
      </c>
      <c r="D2070" t="str">
        <f ca="1"/>
        <v/>
      </c>
      <c r="E2070" t="str">
        <f ca="1"/>
        <v/>
      </c>
      <c r="F2070" t="str">
        <f ca="1"/>
        <v/>
      </c>
      <c r="G2070" t="str">
        <f ca="1"/>
        <v/>
      </c>
      <c r="H2070" s="17" t="str">
        <f ca="1"/>
        <v/>
      </c>
    </row>
    <row r="2071" spans="2:8" x14ac:dyDescent="0.35">
      <c r="B2071" t="str">
        <f ca="1"/>
        <v/>
      </c>
      <c r="C2071" t="str">
        <f ca="1"/>
        <v/>
      </c>
      <c r="D2071" t="str">
        <f ca="1"/>
        <v/>
      </c>
      <c r="E2071" t="str">
        <f ca="1"/>
        <v/>
      </c>
      <c r="F2071" t="str">
        <f ca="1"/>
        <v/>
      </c>
      <c r="G2071" t="str">
        <f ca="1"/>
        <v/>
      </c>
      <c r="H2071" s="17" t="str">
        <f ca="1"/>
        <v/>
      </c>
    </row>
    <row r="2072" spans="2:8" x14ac:dyDescent="0.35">
      <c r="H2072" s="17"/>
    </row>
    <row r="2073" spans="2:8" x14ac:dyDescent="0.35">
      <c r="H2073" s="17"/>
    </row>
    <row r="2074" spans="2:8" x14ac:dyDescent="0.35">
      <c r="H2074" s="17"/>
    </row>
    <row r="2075" spans="2:8" x14ac:dyDescent="0.35">
      <c r="H2075" s="17"/>
    </row>
    <row r="2076" spans="2:8" x14ac:dyDescent="0.35">
      <c r="H2076" s="17"/>
    </row>
    <row r="2077" spans="2:8" x14ac:dyDescent="0.35">
      <c r="H2077" s="17"/>
    </row>
    <row r="2078" spans="2:8" x14ac:dyDescent="0.35">
      <c r="H2078" s="17"/>
    </row>
    <row r="2079" spans="2:8" x14ac:dyDescent="0.35">
      <c r="H2079" s="17"/>
    </row>
    <row r="2080" spans="2:8" x14ac:dyDescent="0.35">
      <c r="H2080" s="17"/>
    </row>
    <row r="2081" spans="8:8" x14ac:dyDescent="0.35">
      <c r="H2081" s="17"/>
    </row>
    <row r="2082" spans="8:8" x14ac:dyDescent="0.35">
      <c r="H2082" s="17"/>
    </row>
    <row r="2083" spans="8:8" x14ac:dyDescent="0.35">
      <c r="H2083" s="17"/>
    </row>
    <row r="2084" spans="8:8" x14ac:dyDescent="0.35">
      <c r="H2084" s="17"/>
    </row>
    <row r="2085" spans="8:8" x14ac:dyDescent="0.35">
      <c r="H2085" s="17"/>
    </row>
    <row r="2086" spans="8:8" x14ac:dyDescent="0.35">
      <c r="H2086" s="17"/>
    </row>
    <row r="2087" spans="8:8" x14ac:dyDescent="0.35">
      <c r="H2087" s="17"/>
    </row>
    <row r="2088" spans="8:8" x14ac:dyDescent="0.35">
      <c r="H2088" s="17"/>
    </row>
    <row r="2089" spans="8:8" x14ac:dyDescent="0.35">
      <c r="H2089" s="17"/>
    </row>
    <row r="2090" spans="8:8" x14ac:dyDescent="0.35">
      <c r="H2090" s="17"/>
    </row>
    <row r="2091" spans="8:8" x14ac:dyDescent="0.35">
      <c r="H2091" s="17"/>
    </row>
    <row r="2092" spans="8:8" x14ac:dyDescent="0.35">
      <c r="H2092" s="17"/>
    </row>
    <row r="2093" spans="8:8" x14ac:dyDescent="0.35">
      <c r="H2093" s="17"/>
    </row>
    <row r="2094" spans="8:8" x14ac:dyDescent="0.35">
      <c r="H2094" s="17"/>
    </row>
    <row r="2095" spans="8:8" x14ac:dyDescent="0.35">
      <c r="H2095" s="17"/>
    </row>
    <row r="2096" spans="8:8" x14ac:dyDescent="0.35">
      <c r="H2096" s="17"/>
    </row>
    <row r="2097" spans="8:8" x14ac:dyDescent="0.35">
      <c r="H2097" s="17"/>
    </row>
    <row r="2098" spans="8:8" x14ac:dyDescent="0.35">
      <c r="H2098" s="17"/>
    </row>
    <row r="2099" spans="8:8" x14ac:dyDescent="0.35">
      <c r="H2099" s="17"/>
    </row>
    <row r="2100" spans="8:8" x14ac:dyDescent="0.35">
      <c r="H2100" s="17"/>
    </row>
    <row r="2101" spans="8:8" x14ac:dyDescent="0.35">
      <c r="H2101" s="17"/>
    </row>
    <row r="2102" spans="8:8" x14ac:dyDescent="0.35">
      <c r="H2102" s="17"/>
    </row>
    <row r="2103" spans="8:8" x14ac:dyDescent="0.35">
      <c r="H2103" s="17"/>
    </row>
    <row r="2104" spans="8:8" x14ac:dyDescent="0.35">
      <c r="H2104" s="17"/>
    </row>
    <row r="2105" spans="8:8" x14ac:dyDescent="0.35">
      <c r="H2105" s="17"/>
    </row>
    <row r="2106" spans="8:8" x14ac:dyDescent="0.35">
      <c r="H2106" s="17"/>
    </row>
    <row r="2107" spans="8:8" x14ac:dyDescent="0.35">
      <c r="H2107" s="17"/>
    </row>
    <row r="2108" spans="8:8" x14ac:dyDescent="0.35">
      <c r="H2108" s="17"/>
    </row>
    <row r="2109" spans="8:8" x14ac:dyDescent="0.35">
      <c r="H2109" s="17"/>
    </row>
    <row r="2110" spans="8:8" x14ac:dyDescent="0.35">
      <c r="H2110" s="17"/>
    </row>
    <row r="2111" spans="8:8" x14ac:dyDescent="0.35">
      <c r="H2111" s="17"/>
    </row>
    <row r="2112" spans="8:8" x14ac:dyDescent="0.35">
      <c r="H2112" s="17"/>
    </row>
    <row r="2113" spans="8:8" x14ac:dyDescent="0.35">
      <c r="H2113" s="17"/>
    </row>
    <row r="2114" spans="8:8" x14ac:dyDescent="0.35">
      <c r="H2114" s="17"/>
    </row>
    <row r="2115" spans="8:8" x14ac:dyDescent="0.35">
      <c r="H2115" s="17"/>
    </row>
    <row r="2116" spans="8:8" x14ac:dyDescent="0.35">
      <c r="H2116" s="17"/>
    </row>
    <row r="2117" spans="8:8" x14ac:dyDescent="0.35">
      <c r="H2117" s="17"/>
    </row>
    <row r="2118" spans="8:8" x14ac:dyDescent="0.35">
      <c r="H2118" s="17"/>
    </row>
    <row r="2119" spans="8:8" x14ac:dyDescent="0.35">
      <c r="H2119" s="17"/>
    </row>
    <row r="2120" spans="8:8" x14ac:dyDescent="0.35">
      <c r="H2120" s="17"/>
    </row>
    <row r="2121" spans="8:8" x14ac:dyDescent="0.35">
      <c r="H2121" s="17"/>
    </row>
    <row r="2122" spans="8:8" x14ac:dyDescent="0.35">
      <c r="H2122" s="17"/>
    </row>
    <row r="2123" spans="8:8" x14ac:dyDescent="0.35">
      <c r="H2123" s="17"/>
    </row>
    <row r="2124" spans="8:8" x14ac:dyDescent="0.35">
      <c r="H2124" s="17"/>
    </row>
    <row r="2125" spans="8:8" x14ac:dyDescent="0.35">
      <c r="H2125" s="17"/>
    </row>
    <row r="2126" spans="8:8" x14ac:dyDescent="0.35">
      <c r="H2126" s="17"/>
    </row>
    <row r="2127" spans="8:8" x14ac:dyDescent="0.35">
      <c r="H2127" s="17"/>
    </row>
    <row r="2128" spans="8:8" x14ac:dyDescent="0.35">
      <c r="H2128" s="17"/>
    </row>
    <row r="2129" spans="8:8" x14ac:dyDescent="0.35">
      <c r="H2129" s="17"/>
    </row>
    <row r="2130" spans="8:8" x14ac:dyDescent="0.35">
      <c r="H2130" s="17"/>
    </row>
    <row r="2131" spans="8:8" x14ac:dyDescent="0.35">
      <c r="H2131" s="17"/>
    </row>
    <row r="2132" spans="8:8" x14ac:dyDescent="0.35">
      <c r="H2132" s="17"/>
    </row>
    <row r="2133" spans="8:8" x14ac:dyDescent="0.35">
      <c r="H2133" s="17"/>
    </row>
    <row r="2134" spans="8:8" x14ac:dyDescent="0.35">
      <c r="H2134" s="17"/>
    </row>
    <row r="2135" spans="8:8" x14ac:dyDescent="0.35">
      <c r="H2135" s="17"/>
    </row>
    <row r="2136" spans="8:8" x14ac:dyDescent="0.35">
      <c r="H2136" s="17"/>
    </row>
    <row r="2137" spans="8:8" x14ac:dyDescent="0.35">
      <c r="H2137" s="17"/>
    </row>
    <row r="2138" spans="8:8" x14ac:dyDescent="0.35">
      <c r="H2138" s="17"/>
    </row>
    <row r="2139" spans="8:8" x14ac:dyDescent="0.35">
      <c r="H2139" s="17"/>
    </row>
    <row r="2140" spans="8:8" x14ac:dyDescent="0.35">
      <c r="H2140" s="17"/>
    </row>
    <row r="2141" spans="8:8" x14ac:dyDescent="0.35">
      <c r="H2141" s="17"/>
    </row>
    <row r="2142" spans="8:8" x14ac:dyDescent="0.35">
      <c r="H2142" s="17"/>
    </row>
    <row r="2143" spans="8:8" x14ac:dyDescent="0.35">
      <c r="H2143" s="17"/>
    </row>
    <row r="2144" spans="8:8" x14ac:dyDescent="0.35">
      <c r="H2144" s="17"/>
    </row>
    <row r="2145" spans="8:8" x14ac:dyDescent="0.35">
      <c r="H2145" s="17"/>
    </row>
    <row r="2146" spans="8:8" x14ac:dyDescent="0.35">
      <c r="H2146" s="17"/>
    </row>
    <row r="2147" spans="8:8" x14ac:dyDescent="0.35">
      <c r="H2147" s="17"/>
    </row>
    <row r="2148" spans="8:8" x14ac:dyDescent="0.35">
      <c r="H2148" s="17"/>
    </row>
    <row r="2149" spans="8:8" x14ac:dyDescent="0.35">
      <c r="H2149" s="17"/>
    </row>
    <row r="2150" spans="8:8" x14ac:dyDescent="0.35">
      <c r="H2150" s="17"/>
    </row>
    <row r="2151" spans="8:8" x14ac:dyDescent="0.35">
      <c r="H2151" s="17"/>
    </row>
    <row r="2152" spans="8:8" x14ac:dyDescent="0.35">
      <c r="H2152" s="17"/>
    </row>
    <row r="2153" spans="8:8" x14ac:dyDescent="0.35">
      <c r="H2153" s="17"/>
    </row>
    <row r="2154" spans="8:8" x14ac:dyDescent="0.35">
      <c r="H2154" s="17"/>
    </row>
    <row r="2155" spans="8:8" x14ac:dyDescent="0.35">
      <c r="H2155" s="17"/>
    </row>
    <row r="2156" spans="8:8" x14ac:dyDescent="0.35">
      <c r="H2156" s="17"/>
    </row>
    <row r="2157" spans="8:8" x14ac:dyDescent="0.35">
      <c r="H2157" s="17"/>
    </row>
    <row r="2158" spans="8:8" x14ac:dyDescent="0.35">
      <c r="H2158" s="17"/>
    </row>
    <row r="2159" spans="8:8" x14ac:dyDescent="0.35">
      <c r="H2159" s="17"/>
    </row>
    <row r="2160" spans="8:8" x14ac:dyDescent="0.35">
      <c r="H2160" s="17"/>
    </row>
    <row r="2161" spans="8:8" x14ac:dyDescent="0.35">
      <c r="H2161" s="17"/>
    </row>
    <row r="2162" spans="8:8" x14ac:dyDescent="0.35">
      <c r="H2162" s="17"/>
    </row>
    <row r="2163" spans="8:8" x14ac:dyDescent="0.35">
      <c r="H2163" s="17"/>
    </row>
    <row r="2164" spans="8:8" x14ac:dyDescent="0.35">
      <c r="H2164" s="17"/>
    </row>
    <row r="2165" spans="8:8" x14ac:dyDescent="0.35">
      <c r="H2165" s="17"/>
    </row>
    <row r="2166" spans="8:8" x14ac:dyDescent="0.35">
      <c r="H2166" s="17"/>
    </row>
    <row r="2167" spans="8:8" x14ac:dyDescent="0.35">
      <c r="H2167" s="17"/>
    </row>
    <row r="2168" spans="8:8" x14ac:dyDescent="0.35">
      <c r="H2168" s="17"/>
    </row>
    <row r="2169" spans="8:8" x14ac:dyDescent="0.35">
      <c r="H2169" s="17"/>
    </row>
    <row r="2170" spans="8:8" x14ac:dyDescent="0.35">
      <c r="H2170" s="17"/>
    </row>
    <row r="2171" spans="8:8" x14ac:dyDescent="0.35">
      <c r="H2171" s="17"/>
    </row>
    <row r="2172" spans="8:8" x14ac:dyDescent="0.35">
      <c r="H2172" s="17"/>
    </row>
    <row r="2173" spans="8:8" x14ac:dyDescent="0.35">
      <c r="H2173" s="17"/>
    </row>
    <row r="2174" spans="8:8" x14ac:dyDescent="0.35">
      <c r="H2174" s="17"/>
    </row>
    <row r="2175" spans="8:8" x14ac:dyDescent="0.35">
      <c r="H2175" s="17"/>
    </row>
    <row r="2176" spans="8:8" x14ac:dyDescent="0.35">
      <c r="H2176" s="17"/>
    </row>
    <row r="2177" spans="8:8" x14ac:dyDescent="0.35">
      <c r="H2177" s="17"/>
    </row>
    <row r="2178" spans="8:8" x14ac:dyDescent="0.35">
      <c r="H2178" s="17"/>
    </row>
    <row r="2179" spans="8:8" x14ac:dyDescent="0.35">
      <c r="H2179" s="17"/>
    </row>
    <row r="2180" spans="8:8" x14ac:dyDescent="0.35">
      <c r="H2180" s="17"/>
    </row>
    <row r="2181" spans="8:8" x14ac:dyDescent="0.35">
      <c r="H2181" s="17"/>
    </row>
    <row r="2182" spans="8:8" x14ac:dyDescent="0.35">
      <c r="H2182" s="17"/>
    </row>
    <row r="2183" spans="8:8" x14ac:dyDescent="0.35">
      <c r="H2183" s="17"/>
    </row>
    <row r="2184" spans="8:8" x14ac:dyDescent="0.35">
      <c r="H2184" s="17"/>
    </row>
    <row r="2185" spans="8:8" x14ac:dyDescent="0.35">
      <c r="H2185" s="17"/>
    </row>
    <row r="2186" spans="8:8" x14ac:dyDescent="0.35">
      <c r="H2186" s="17"/>
    </row>
    <row r="2187" spans="8:8" x14ac:dyDescent="0.35">
      <c r="H2187" s="17"/>
    </row>
    <row r="2188" spans="8:8" x14ac:dyDescent="0.35">
      <c r="H2188" s="17"/>
    </row>
    <row r="2189" spans="8:8" x14ac:dyDescent="0.35">
      <c r="H2189" s="17"/>
    </row>
    <row r="2190" spans="8:8" x14ac:dyDescent="0.35">
      <c r="H2190" s="17"/>
    </row>
    <row r="2191" spans="8:8" x14ac:dyDescent="0.35">
      <c r="H2191" s="17"/>
    </row>
    <row r="2192" spans="8:8" x14ac:dyDescent="0.35">
      <c r="H2192" s="17"/>
    </row>
    <row r="2193" spans="8:8" x14ac:dyDescent="0.35">
      <c r="H2193" s="17"/>
    </row>
    <row r="2194" spans="8:8" x14ac:dyDescent="0.35">
      <c r="H2194" s="17"/>
    </row>
    <row r="2195" spans="8:8" x14ac:dyDescent="0.35">
      <c r="H2195" s="17"/>
    </row>
    <row r="2196" spans="8:8" x14ac:dyDescent="0.35">
      <c r="H2196" s="17"/>
    </row>
    <row r="2197" spans="8:8" x14ac:dyDescent="0.35">
      <c r="H2197" s="17"/>
    </row>
    <row r="2198" spans="8:8" x14ac:dyDescent="0.35">
      <c r="H2198" s="17"/>
    </row>
    <row r="2199" spans="8:8" x14ac:dyDescent="0.35">
      <c r="H2199" s="17"/>
    </row>
    <row r="2200" spans="8:8" x14ac:dyDescent="0.35">
      <c r="H2200" s="17"/>
    </row>
    <row r="2201" spans="8:8" x14ac:dyDescent="0.35">
      <c r="H2201" s="17"/>
    </row>
    <row r="2202" spans="8:8" x14ac:dyDescent="0.35">
      <c r="H2202" s="17"/>
    </row>
    <row r="2203" spans="8:8" x14ac:dyDescent="0.35">
      <c r="H2203" s="17"/>
    </row>
    <row r="2204" spans="8:8" x14ac:dyDescent="0.35">
      <c r="H2204" s="17"/>
    </row>
    <row r="2205" spans="8:8" x14ac:dyDescent="0.35">
      <c r="H2205" s="17"/>
    </row>
    <row r="2206" spans="8:8" x14ac:dyDescent="0.35">
      <c r="H2206" s="17"/>
    </row>
    <row r="2207" spans="8:8" x14ac:dyDescent="0.35">
      <c r="H2207" s="17"/>
    </row>
    <row r="2208" spans="8:8" x14ac:dyDescent="0.35">
      <c r="H2208" s="17"/>
    </row>
    <row r="2209" spans="8:8" x14ac:dyDescent="0.35">
      <c r="H2209" s="17"/>
    </row>
    <row r="2210" spans="8:8" x14ac:dyDescent="0.35">
      <c r="H2210" s="17"/>
    </row>
    <row r="2211" spans="8:8" x14ac:dyDescent="0.35">
      <c r="H2211" s="17"/>
    </row>
    <row r="2212" spans="8:8" x14ac:dyDescent="0.35">
      <c r="H2212" s="17"/>
    </row>
    <row r="2213" spans="8:8" x14ac:dyDescent="0.35">
      <c r="H2213" s="17"/>
    </row>
    <row r="2214" spans="8:8" x14ac:dyDescent="0.35">
      <c r="H2214" s="17"/>
    </row>
    <row r="2215" spans="8:8" x14ac:dyDescent="0.35">
      <c r="H2215" s="17"/>
    </row>
    <row r="2216" spans="8:8" x14ac:dyDescent="0.35">
      <c r="H2216" s="17"/>
    </row>
    <row r="2217" spans="8:8" x14ac:dyDescent="0.35">
      <c r="H2217" s="17"/>
    </row>
    <row r="2218" spans="8:8" x14ac:dyDescent="0.35">
      <c r="H2218" s="17"/>
    </row>
    <row r="2219" spans="8:8" x14ac:dyDescent="0.35">
      <c r="H2219" s="17"/>
    </row>
    <row r="2220" spans="8:8" x14ac:dyDescent="0.35">
      <c r="H2220" s="17"/>
    </row>
    <row r="2221" spans="8:8" x14ac:dyDescent="0.35">
      <c r="H2221" s="17"/>
    </row>
    <row r="2222" spans="8:8" x14ac:dyDescent="0.35">
      <c r="H2222" s="17"/>
    </row>
    <row r="2223" spans="8:8" x14ac:dyDescent="0.35">
      <c r="H2223" s="17"/>
    </row>
    <row r="2224" spans="8:8" x14ac:dyDescent="0.35">
      <c r="H2224" s="17"/>
    </row>
    <row r="2225" spans="8:8" x14ac:dyDescent="0.35">
      <c r="H2225" s="17"/>
    </row>
    <row r="2226" spans="8:8" x14ac:dyDescent="0.35">
      <c r="H2226" s="17"/>
    </row>
    <row r="2227" spans="8:8" x14ac:dyDescent="0.35">
      <c r="H2227" s="17"/>
    </row>
    <row r="2228" spans="8:8" x14ac:dyDescent="0.35">
      <c r="H2228" s="17"/>
    </row>
    <row r="2229" spans="8:8" x14ac:dyDescent="0.35">
      <c r="H2229" s="17"/>
    </row>
    <row r="2230" spans="8:8" x14ac:dyDescent="0.35">
      <c r="H2230" s="17"/>
    </row>
    <row r="2231" spans="8:8" x14ac:dyDescent="0.35">
      <c r="H2231" s="17"/>
    </row>
    <row r="2232" spans="8:8" x14ac:dyDescent="0.35">
      <c r="H2232" s="17"/>
    </row>
    <row r="2233" spans="8:8" x14ac:dyDescent="0.35">
      <c r="H2233" s="17"/>
    </row>
    <row r="2234" spans="8:8" x14ac:dyDescent="0.35">
      <c r="H2234" s="17"/>
    </row>
    <row r="2235" spans="8:8" x14ac:dyDescent="0.35">
      <c r="H2235" s="17"/>
    </row>
    <row r="2236" spans="8:8" x14ac:dyDescent="0.35">
      <c r="H2236" s="17"/>
    </row>
    <row r="2237" spans="8:8" x14ac:dyDescent="0.35">
      <c r="H2237" s="17"/>
    </row>
    <row r="2238" spans="8:8" x14ac:dyDescent="0.35">
      <c r="H2238" s="17"/>
    </row>
    <row r="2239" spans="8:8" x14ac:dyDescent="0.35">
      <c r="H2239" s="17"/>
    </row>
    <row r="2240" spans="8:8" x14ac:dyDescent="0.35">
      <c r="H2240" s="17"/>
    </row>
    <row r="2241" spans="8:8" x14ac:dyDescent="0.35">
      <c r="H2241" s="17"/>
    </row>
    <row r="2242" spans="8:8" x14ac:dyDescent="0.35">
      <c r="H2242" s="17"/>
    </row>
    <row r="2243" spans="8:8" x14ac:dyDescent="0.35">
      <c r="H2243" s="17"/>
    </row>
    <row r="2244" spans="8:8" x14ac:dyDescent="0.35">
      <c r="H2244" s="17"/>
    </row>
    <row r="2245" spans="8:8" x14ac:dyDescent="0.35">
      <c r="H2245" s="17"/>
    </row>
    <row r="2246" spans="8:8" x14ac:dyDescent="0.35">
      <c r="H2246" s="17"/>
    </row>
    <row r="2247" spans="8:8" x14ac:dyDescent="0.35">
      <c r="H2247" s="17"/>
    </row>
    <row r="2248" spans="8:8" x14ac:dyDescent="0.35">
      <c r="H2248" s="17"/>
    </row>
    <row r="2249" spans="8:8" x14ac:dyDescent="0.35">
      <c r="H2249" s="17"/>
    </row>
    <row r="2250" spans="8:8" x14ac:dyDescent="0.35">
      <c r="H2250" s="17"/>
    </row>
    <row r="2251" spans="8:8" x14ac:dyDescent="0.35">
      <c r="H2251" s="17"/>
    </row>
    <row r="2252" spans="8:8" x14ac:dyDescent="0.35">
      <c r="H2252" s="17"/>
    </row>
    <row r="2253" spans="8:8" x14ac:dyDescent="0.35">
      <c r="H2253" s="17"/>
    </row>
    <row r="2254" spans="8:8" x14ac:dyDescent="0.35">
      <c r="H2254" s="17"/>
    </row>
    <row r="2255" spans="8:8" x14ac:dyDescent="0.35">
      <c r="H2255" s="17"/>
    </row>
    <row r="2256" spans="8:8" x14ac:dyDescent="0.35">
      <c r="H2256" s="17"/>
    </row>
    <row r="2257" spans="8:8" x14ac:dyDescent="0.35">
      <c r="H2257" s="17"/>
    </row>
    <row r="2258" spans="8:8" x14ac:dyDescent="0.35">
      <c r="H2258" s="17"/>
    </row>
    <row r="2259" spans="8:8" x14ac:dyDescent="0.35">
      <c r="H2259" s="17"/>
    </row>
    <row r="2260" spans="8:8" x14ac:dyDescent="0.35">
      <c r="H2260" s="17"/>
    </row>
    <row r="2261" spans="8:8" x14ac:dyDescent="0.35">
      <c r="H2261" s="17"/>
    </row>
    <row r="2262" spans="8:8" x14ac:dyDescent="0.35">
      <c r="H2262" s="17"/>
    </row>
    <row r="2263" spans="8:8" x14ac:dyDescent="0.35">
      <c r="H2263" s="17"/>
    </row>
    <row r="2264" spans="8:8" x14ac:dyDescent="0.35">
      <c r="H2264" s="17"/>
    </row>
    <row r="2265" spans="8:8" x14ac:dyDescent="0.35">
      <c r="H2265" s="17"/>
    </row>
    <row r="2266" spans="8:8" x14ac:dyDescent="0.35">
      <c r="H2266" s="17"/>
    </row>
    <row r="2267" spans="8:8" x14ac:dyDescent="0.35">
      <c r="H2267" s="17"/>
    </row>
    <row r="2268" spans="8:8" x14ac:dyDescent="0.35">
      <c r="H2268" s="17"/>
    </row>
    <row r="2269" spans="8:8" x14ac:dyDescent="0.35">
      <c r="H2269" s="17"/>
    </row>
    <row r="2270" spans="8:8" x14ac:dyDescent="0.35">
      <c r="H2270" s="17"/>
    </row>
    <row r="2271" spans="8:8" x14ac:dyDescent="0.35">
      <c r="H2271" s="17"/>
    </row>
    <row r="2272" spans="8:8" x14ac:dyDescent="0.35">
      <c r="H2272" s="17"/>
    </row>
    <row r="2273" spans="8:8" x14ac:dyDescent="0.35">
      <c r="H2273" s="17"/>
    </row>
    <row r="2274" spans="8:8" x14ac:dyDescent="0.35">
      <c r="H2274" s="17"/>
    </row>
    <row r="2275" spans="8:8" x14ac:dyDescent="0.35">
      <c r="H2275" s="17"/>
    </row>
    <row r="2276" spans="8:8" x14ac:dyDescent="0.35">
      <c r="H2276" s="17"/>
    </row>
    <row r="2277" spans="8:8" x14ac:dyDescent="0.35">
      <c r="H2277" s="17"/>
    </row>
    <row r="2278" spans="8:8" x14ac:dyDescent="0.35">
      <c r="H2278" s="17"/>
    </row>
    <row r="2279" spans="8:8" x14ac:dyDescent="0.35">
      <c r="H2279" s="17"/>
    </row>
    <row r="2280" spans="8:8" x14ac:dyDescent="0.35">
      <c r="H2280" s="17"/>
    </row>
    <row r="2281" spans="8:8" x14ac:dyDescent="0.35">
      <c r="H2281" s="17"/>
    </row>
    <row r="2282" spans="8:8" x14ac:dyDescent="0.35">
      <c r="H2282" s="17"/>
    </row>
    <row r="2283" spans="8:8" x14ac:dyDescent="0.35">
      <c r="H2283" s="17"/>
    </row>
    <row r="2284" spans="8:8" x14ac:dyDescent="0.35">
      <c r="H2284" s="17"/>
    </row>
    <row r="2285" spans="8:8" x14ac:dyDescent="0.35">
      <c r="H2285" s="17"/>
    </row>
    <row r="2286" spans="8:8" x14ac:dyDescent="0.35">
      <c r="H2286" s="17"/>
    </row>
    <row r="2287" spans="8:8" x14ac:dyDescent="0.35">
      <c r="H2287" s="17"/>
    </row>
    <row r="2288" spans="8:8" x14ac:dyDescent="0.35">
      <c r="H2288" s="17"/>
    </row>
    <row r="2289" spans="8:8" x14ac:dyDescent="0.35">
      <c r="H2289" s="17"/>
    </row>
    <row r="2290" spans="8:8" x14ac:dyDescent="0.35">
      <c r="H2290" s="17"/>
    </row>
    <row r="2291" spans="8:8" x14ac:dyDescent="0.35">
      <c r="H2291" s="17"/>
    </row>
    <row r="2292" spans="8:8" x14ac:dyDescent="0.35">
      <c r="H2292" s="17"/>
    </row>
    <row r="2293" spans="8:8" x14ac:dyDescent="0.35">
      <c r="H2293" s="17"/>
    </row>
    <row r="2294" spans="8:8" x14ac:dyDescent="0.35">
      <c r="H2294" s="17"/>
    </row>
    <row r="2295" spans="8:8" x14ac:dyDescent="0.35">
      <c r="H2295" s="17"/>
    </row>
    <row r="2296" spans="8:8" x14ac:dyDescent="0.35">
      <c r="H2296" s="17"/>
    </row>
    <row r="2297" spans="8:8" x14ac:dyDescent="0.35">
      <c r="H2297" s="17"/>
    </row>
    <row r="2298" spans="8:8" x14ac:dyDescent="0.35">
      <c r="H2298" s="17"/>
    </row>
    <row r="2299" spans="8:8" x14ac:dyDescent="0.35">
      <c r="H2299" s="17"/>
    </row>
    <row r="2300" spans="8:8" x14ac:dyDescent="0.35">
      <c r="H2300" s="17"/>
    </row>
    <row r="2301" spans="8:8" x14ac:dyDescent="0.35">
      <c r="H2301" s="17"/>
    </row>
    <row r="2302" spans="8:8" x14ac:dyDescent="0.35">
      <c r="H2302" s="17"/>
    </row>
    <row r="2303" spans="8:8" x14ac:dyDescent="0.35">
      <c r="H2303" s="17"/>
    </row>
    <row r="2304" spans="8:8" x14ac:dyDescent="0.35">
      <c r="H2304" s="17"/>
    </row>
    <row r="2305" spans="8:8" x14ac:dyDescent="0.35">
      <c r="H2305" s="17"/>
    </row>
    <row r="2306" spans="8:8" x14ac:dyDescent="0.35">
      <c r="H2306" s="17"/>
    </row>
    <row r="2307" spans="8:8" x14ac:dyDescent="0.35">
      <c r="H2307" s="17"/>
    </row>
    <row r="2308" spans="8:8" x14ac:dyDescent="0.35">
      <c r="H2308" s="17"/>
    </row>
    <row r="2309" spans="8:8" x14ac:dyDescent="0.35">
      <c r="H2309" s="17"/>
    </row>
    <row r="2310" spans="8:8" x14ac:dyDescent="0.35">
      <c r="H2310" s="17"/>
    </row>
    <row r="2311" spans="8:8" x14ac:dyDescent="0.35">
      <c r="H2311" s="17"/>
    </row>
    <row r="2312" spans="8:8" x14ac:dyDescent="0.35">
      <c r="H2312" s="17"/>
    </row>
    <row r="2313" spans="8:8" x14ac:dyDescent="0.35">
      <c r="H2313" s="17"/>
    </row>
    <row r="2314" spans="8:8" x14ac:dyDescent="0.35">
      <c r="H2314" s="17"/>
    </row>
    <row r="2315" spans="8:8" x14ac:dyDescent="0.35">
      <c r="H2315" s="17"/>
    </row>
    <row r="2316" spans="8:8" x14ac:dyDescent="0.35">
      <c r="H2316" s="17"/>
    </row>
    <row r="2317" spans="8:8" x14ac:dyDescent="0.35">
      <c r="H2317" s="17"/>
    </row>
    <row r="2318" spans="8:8" x14ac:dyDescent="0.35">
      <c r="H2318" s="17"/>
    </row>
    <row r="2319" spans="8:8" x14ac:dyDescent="0.35">
      <c r="H2319" s="17"/>
    </row>
    <row r="2320" spans="8:8" x14ac:dyDescent="0.35">
      <c r="H2320" s="17"/>
    </row>
    <row r="2321" spans="8:8" x14ac:dyDescent="0.35">
      <c r="H2321" s="17"/>
    </row>
    <row r="2322" spans="8:8" x14ac:dyDescent="0.35">
      <c r="H2322" s="17"/>
    </row>
    <row r="2323" spans="8:8" x14ac:dyDescent="0.35">
      <c r="H2323" s="17"/>
    </row>
    <row r="2324" spans="8:8" x14ac:dyDescent="0.35">
      <c r="H2324" s="17"/>
    </row>
    <row r="2325" spans="8:8" x14ac:dyDescent="0.35">
      <c r="H2325" s="17"/>
    </row>
    <row r="2326" spans="8:8" x14ac:dyDescent="0.35">
      <c r="H2326" s="17"/>
    </row>
    <row r="2327" spans="8:8" x14ac:dyDescent="0.35">
      <c r="H2327" s="17"/>
    </row>
    <row r="2328" spans="8:8" x14ac:dyDescent="0.35">
      <c r="H2328" s="17"/>
    </row>
    <row r="2329" spans="8:8" x14ac:dyDescent="0.35">
      <c r="H2329" s="17"/>
    </row>
    <row r="2330" spans="8:8" x14ac:dyDescent="0.35">
      <c r="H2330" s="17"/>
    </row>
    <row r="2331" spans="8:8" x14ac:dyDescent="0.35">
      <c r="H2331" s="17"/>
    </row>
    <row r="2332" spans="8:8" x14ac:dyDescent="0.35">
      <c r="H2332" s="17"/>
    </row>
    <row r="2333" spans="8:8" x14ac:dyDescent="0.35">
      <c r="H2333" s="17"/>
    </row>
    <row r="2334" spans="8:8" x14ac:dyDescent="0.35">
      <c r="H2334" s="17"/>
    </row>
    <row r="2335" spans="8:8" x14ac:dyDescent="0.35">
      <c r="H2335" s="17"/>
    </row>
    <row r="2336" spans="8:8" x14ac:dyDescent="0.35">
      <c r="H2336" s="17"/>
    </row>
    <row r="2337" spans="8:8" x14ac:dyDescent="0.35">
      <c r="H2337" s="17"/>
    </row>
    <row r="2338" spans="8:8" x14ac:dyDescent="0.35">
      <c r="H2338" s="17"/>
    </row>
    <row r="2339" spans="8:8" x14ac:dyDescent="0.35">
      <c r="H2339" s="17"/>
    </row>
    <row r="2340" spans="8:8" x14ac:dyDescent="0.35">
      <c r="H2340" s="17"/>
    </row>
    <row r="2341" spans="8:8" x14ac:dyDescent="0.35">
      <c r="H2341" s="17"/>
    </row>
    <row r="2342" spans="8:8" x14ac:dyDescent="0.35">
      <c r="H2342" s="17"/>
    </row>
    <row r="2343" spans="8:8" x14ac:dyDescent="0.35">
      <c r="H2343" s="17"/>
    </row>
    <row r="2344" spans="8:8" x14ac:dyDescent="0.35">
      <c r="H2344" s="17"/>
    </row>
    <row r="2345" spans="8:8" x14ac:dyDescent="0.35">
      <c r="H2345" s="17"/>
    </row>
    <row r="2346" spans="8:8" x14ac:dyDescent="0.35">
      <c r="H2346" s="17"/>
    </row>
    <row r="2347" spans="8:8" x14ac:dyDescent="0.35">
      <c r="H2347" s="17"/>
    </row>
    <row r="2348" spans="8:8" x14ac:dyDescent="0.35">
      <c r="H2348" s="17"/>
    </row>
    <row r="2349" spans="8:8" x14ac:dyDescent="0.35">
      <c r="H2349" s="17"/>
    </row>
    <row r="2350" spans="8:8" x14ac:dyDescent="0.35">
      <c r="H2350" s="17"/>
    </row>
    <row r="2351" spans="8:8" x14ac:dyDescent="0.35">
      <c r="H2351" s="17"/>
    </row>
    <row r="2352" spans="8:8" x14ac:dyDescent="0.35">
      <c r="H2352" s="17"/>
    </row>
    <row r="2353" spans="8:8" x14ac:dyDescent="0.35">
      <c r="H2353" s="17"/>
    </row>
    <row r="2354" spans="8:8" x14ac:dyDescent="0.35">
      <c r="H2354" s="17"/>
    </row>
    <row r="2355" spans="8:8" x14ac:dyDescent="0.35">
      <c r="H2355" s="17"/>
    </row>
    <row r="2356" spans="8:8" x14ac:dyDescent="0.35">
      <c r="H2356" s="17"/>
    </row>
    <row r="2357" spans="8:8" x14ac:dyDescent="0.35">
      <c r="H2357" s="17"/>
    </row>
    <row r="2358" spans="8:8" x14ac:dyDescent="0.35">
      <c r="H2358" s="17"/>
    </row>
    <row r="2359" spans="8:8" x14ac:dyDescent="0.35">
      <c r="H2359" s="17"/>
    </row>
    <row r="2360" spans="8:8" x14ac:dyDescent="0.35">
      <c r="H2360" s="17"/>
    </row>
    <row r="2361" spans="8:8" x14ac:dyDescent="0.35">
      <c r="H2361" s="17"/>
    </row>
    <row r="2362" spans="8:8" x14ac:dyDescent="0.35">
      <c r="H2362" s="17"/>
    </row>
    <row r="2363" spans="8:8" x14ac:dyDescent="0.35">
      <c r="H2363" s="17"/>
    </row>
    <row r="2364" spans="8:8" x14ac:dyDescent="0.35">
      <c r="H2364" s="17"/>
    </row>
    <row r="2365" spans="8:8" x14ac:dyDescent="0.35">
      <c r="H2365" s="17"/>
    </row>
    <row r="2366" spans="8:8" x14ac:dyDescent="0.35">
      <c r="H2366" s="17"/>
    </row>
    <row r="2367" spans="8:8" x14ac:dyDescent="0.35">
      <c r="H2367" s="17"/>
    </row>
    <row r="2368" spans="8:8" x14ac:dyDescent="0.35">
      <c r="H2368" s="17"/>
    </row>
    <row r="2369" spans="8:8" x14ac:dyDescent="0.35">
      <c r="H2369" s="17"/>
    </row>
    <row r="2370" spans="8:8" x14ac:dyDescent="0.35">
      <c r="H2370" s="17"/>
    </row>
    <row r="2371" spans="8:8" x14ac:dyDescent="0.35">
      <c r="H2371" s="17"/>
    </row>
    <row r="2372" spans="8:8" x14ac:dyDescent="0.35">
      <c r="H2372" s="17"/>
    </row>
    <row r="2373" spans="8:8" x14ac:dyDescent="0.35">
      <c r="H2373" s="17"/>
    </row>
    <row r="2374" spans="8:8" x14ac:dyDescent="0.35">
      <c r="H2374" s="17"/>
    </row>
    <row r="2375" spans="8:8" x14ac:dyDescent="0.35">
      <c r="H2375" s="17"/>
    </row>
    <row r="2376" spans="8:8" x14ac:dyDescent="0.35">
      <c r="H2376" s="17"/>
    </row>
    <row r="2377" spans="8:8" x14ac:dyDescent="0.35">
      <c r="H2377" s="17"/>
    </row>
    <row r="2378" spans="8:8" x14ac:dyDescent="0.35">
      <c r="H2378" s="17"/>
    </row>
    <row r="2379" spans="8:8" x14ac:dyDescent="0.35">
      <c r="H2379" s="17"/>
    </row>
    <row r="2380" spans="8:8" x14ac:dyDescent="0.35">
      <c r="H2380" s="17"/>
    </row>
    <row r="2381" spans="8:8" x14ac:dyDescent="0.35">
      <c r="H2381" s="17"/>
    </row>
    <row r="2382" spans="8:8" x14ac:dyDescent="0.35">
      <c r="H2382" s="17"/>
    </row>
    <row r="2383" spans="8:8" x14ac:dyDescent="0.35">
      <c r="H2383" s="17"/>
    </row>
    <row r="2384" spans="8:8" x14ac:dyDescent="0.35">
      <c r="H2384" s="17"/>
    </row>
    <row r="2385" spans="8:8" x14ac:dyDescent="0.35">
      <c r="H2385" s="17"/>
    </row>
    <row r="2386" spans="8:8" x14ac:dyDescent="0.35">
      <c r="H2386" s="17"/>
    </row>
    <row r="2387" spans="8:8" x14ac:dyDescent="0.35">
      <c r="H2387" s="17"/>
    </row>
    <row r="2388" spans="8:8" x14ac:dyDescent="0.35">
      <c r="H2388" s="17"/>
    </row>
    <row r="2389" spans="8:8" x14ac:dyDescent="0.35">
      <c r="H2389" s="17"/>
    </row>
    <row r="2390" spans="8:8" x14ac:dyDescent="0.35">
      <c r="H2390" s="17"/>
    </row>
    <row r="2391" spans="8:8" x14ac:dyDescent="0.35">
      <c r="H2391" s="17"/>
    </row>
    <row r="2392" spans="8:8" x14ac:dyDescent="0.35">
      <c r="H2392" s="17"/>
    </row>
    <row r="2393" spans="8:8" x14ac:dyDescent="0.35">
      <c r="H2393" s="17"/>
    </row>
    <row r="2394" spans="8:8" x14ac:dyDescent="0.35">
      <c r="H2394" s="17"/>
    </row>
    <row r="2395" spans="8:8" x14ac:dyDescent="0.35">
      <c r="H2395" s="17"/>
    </row>
    <row r="2396" spans="8:8" x14ac:dyDescent="0.35">
      <c r="H2396" s="17"/>
    </row>
    <row r="2397" spans="8:8" x14ac:dyDescent="0.35">
      <c r="H2397" s="17"/>
    </row>
    <row r="2398" spans="8:8" x14ac:dyDescent="0.35">
      <c r="H2398" s="17"/>
    </row>
    <row r="2399" spans="8:8" x14ac:dyDescent="0.35">
      <c r="H2399" s="17"/>
    </row>
    <row r="2400" spans="8:8" x14ac:dyDescent="0.35">
      <c r="H2400" s="17"/>
    </row>
    <row r="2401" spans="8:8" x14ac:dyDescent="0.35">
      <c r="H2401" s="17"/>
    </row>
    <row r="2402" spans="8:8" x14ac:dyDescent="0.35">
      <c r="H2402" s="17"/>
    </row>
    <row r="2403" spans="8:8" x14ac:dyDescent="0.35">
      <c r="H2403" s="17"/>
    </row>
    <row r="2404" spans="8:8" x14ac:dyDescent="0.35">
      <c r="H2404" s="17"/>
    </row>
    <row r="2405" spans="8:8" x14ac:dyDescent="0.35">
      <c r="H2405" s="17"/>
    </row>
    <row r="2406" spans="8:8" x14ac:dyDescent="0.35">
      <c r="H2406" s="17"/>
    </row>
    <row r="2407" spans="8:8" x14ac:dyDescent="0.35">
      <c r="H2407" s="17"/>
    </row>
    <row r="2408" spans="8:8" x14ac:dyDescent="0.35">
      <c r="H2408" s="17"/>
    </row>
    <row r="2409" spans="8:8" x14ac:dyDescent="0.35">
      <c r="H2409" s="17"/>
    </row>
    <row r="2410" spans="8:8" x14ac:dyDescent="0.35">
      <c r="H2410" s="17"/>
    </row>
    <row r="2411" spans="8:8" x14ac:dyDescent="0.35">
      <c r="H2411" s="17"/>
    </row>
    <row r="2412" spans="8:8" x14ac:dyDescent="0.35">
      <c r="H2412" s="17"/>
    </row>
    <row r="2413" spans="8:8" x14ac:dyDescent="0.35">
      <c r="H2413" s="17"/>
    </row>
    <row r="2414" spans="8:8" x14ac:dyDescent="0.35">
      <c r="H2414" s="17"/>
    </row>
    <row r="2415" spans="8:8" x14ac:dyDescent="0.35">
      <c r="H2415" s="17"/>
    </row>
    <row r="2416" spans="8:8" x14ac:dyDescent="0.35">
      <c r="H2416" s="17"/>
    </row>
    <row r="2417" spans="8:8" x14ac:dyDescent="0.35">
      <c r="H2417" s="17"/>
    </row>
    <row r="2418" spans="8:8" x14ac:dyDescent="0.35">
      <c r="H2418" s="17"/>
    </row>
    <row r="2419" spans="8:8" x14ac:dyDescent="0.35">
      <c r="H2419" s="17"/>
    </row>
    <row r="2420" spans="8:8" x14ac:dyDescent="0.35">
      <c r="H2420" s="17"/>
    </row>
    <row r="2421" spans="8:8" x14ac:dyDescent="0.35">
      <c r="H2421" s="17"/>
    </row>
    <row r="2422" spans="8:8" x14ac:dyDescent="0.35">
      <c r="H2422" s="17"/>
    </row>
    <row r="2423" spans="8:8" x14ac:dyDescent="0.35">
      <c r="H2423" s="17"/>
    </row>
    <row r="2424" spans="8:8" x14ac:dyDescent="0.35">
      <c r="H2424" s="17"/>
    </row>
    <row r="2425" spans="8:8" x14ac:dyDescent="0.35">
      <c r="H2425" s="17"/>
    </row>
    <row r="2426" spans="8:8" x14ac:dyDescent="0.35">
      <c r="H2426" s="17"/>
    </row>
    <row r="2427" spans="8:8" x14ac:dyDescent="0.35">
      <c r="H2427" s="17"/>
    </row>
    <row r="2428" spans="8:8" x14ac:dyDescent="0.35">
      <c r="H2428" s="17"/>
    </row>
    <row r="2429" spans="8:8" x14ac:dyDescent="0.35">
      <c r="H2429" s="17"/>
    </row>
    <row r="2430" spans="8:8" x14ac:dyDescent="0.35">
      <c r="H2430" s="17"/>
    </row>
    <row r="2431" spans="8:8" x14ac:dyDescent="0.35">
      <c r="H2431" s="17"/>
    </row>
    <row r="2432" spans="8:8" x14ac:dyDescent="0.35">
      <c r="H2432" s="17"/>
    </row>
    <row r="2433" spans="8:8" x14ac:dyDescent="0.35">
      <c r="H2433" s="17"/>
    </row>
    <row r="2434" spans="8:8" x14ac:dyDescent="0.35">
      <c r="H2434" s="17"/>
    </row>
    <row r="2435" spans="8:8" x14ac:dyDescent="0.35">
      <c r="H2435" s="17"/>
    </row>
    <row r="2436" spans="8:8" x14ac:dyDescent="0.35">
      <c r="H2436" s="17"/>
    </row>
    <row r="2437" spans="8:8" x14ac:dyDescent="0.35">
      <c r="H2437" s="17"/>
    </row>
    <row r="2438" spans="8:8" x14ac:dyDescent="0.35">
      <c r="H2438" s="17"/>
    </row>
    <row r="2439" spans="8:8" x14ac:dyDescent="0.35">
      <c r="H2439" s="17"/>
    </row>
    <row r="2440" spans="8:8" x14ac:dyDescent="0.35">
      <c r="H2440" s="17"/>
    </row>
    <row r="2441" spans="8:8" x14ac:dyDescent="0.35">
      <c r="H2441" s="17"/>
    </row>
    <row r="2442" spans="8:8" x14ac:dyDescent="0.35">
      <c r="H2442" s="17"/>
    </row>
    <row r="2443" spans="8:8" x14ac:dyDescent="0.35">
      <c r="H2443" s="17"/>
    </row>
    <row r="2444" spans="8:8" x14ac:dyDescent="0.35">
      <c r="H2444" s="17"/>
    </row>
    <row r="2445" spans="8:8" x14ac:dyDescent="0.35">
      <c r="H2445" s="17"/>
    </row>
    <row r="2446" spans="8:8" x14ac:dyDescent="0.35">
      <c r="H2446" s="17"/>
    </row>
    <row r="2447" spans="8:8" x14ac:dyDescent="0.35">
      <c r="H2447" s="17"/>
    </row>
    <row r="2448" spans="8:8" x14ac:dyDescent="0.35">
      <c r="H2448" s="17"/>
    </row>
    <row r="2449" spans="8:8" x14ac:dyDescent="0.35">
      <c r="H2449" s="17"/>
    </row>
    <row r="2450" spans="8:8" x14ac:dyDescent="0.35">
      <c r="H2450" s="17"/>
    </row>
    <row r="2451" spans="8:8" x14ac:dyDescent="0.35">
      <c r="H2451" s="17"/>
    </row>
    <row r="2452" spans="8:8" x14ac:dyDescent="0.35">
      <c r="H2452" s="17"/>
    </row>
    <row r="2453" spans="8:8" x14ac:dyDescent="0.35">
      <c r="H2453" s="17"/>
    </row>
    <row r="2454" spans="8:8" x14ac:dyDescent="0.35">
      <c r="H2454" s="17"/>
    </row>
    <row r="2455" spans="8:8" x14ac:dyDescent="0.35">
      <c r="H2455" s="17"/>
    </row>
    <row r="2456" spans="8:8" x14ac:dyDescent="0.35">
      <c r="H2456" s="17"/>
    </row>
    <row r="2457" spans="8:8" x14ac:dyDescent="0.35">
      <c r="H2457" s="17"/>
    </row>
    <row r="2458" spans="8:8" x14ac:dyDescent="0.35">
      <c r="H2458" s="17"/>
    </row>
    <row r="2459" spans="8:8" x14ac:dyDescent="0.35">
      <c r="H2459" s="17"/>
    </row>
    <row r="2460" spans="8:8" x14ac:dyDescent="0.35">
      <c r="H2460" s="17"/>
    </row>
    <row r="2461" spans="8:8" x14ac:dyDescent="0.35">
      <c r="H2461" s="17"/>
    </row>
    <row r="2462" spans="8:8" x14ac:dyDescent="0.35">
      <c r="H2462" s="17"/>
    </row>
    <row r="2463" spans="8:8" x14ac:dyDescent="0.35">
      <c r="H2463" s="17"/>
    </row>
    <row r="2464" spans="8:8" x14ac:dyDescent="0.35">
      <c r="H2464" s="17"/>
    </row>
    <row r="2465" spans="8:8" x14ac:dyDescent="0.35">
      <c r="H2465" s="17"/>
    </row>
    <row r="2466" spans="8:8" x14ac:dyDescent="0.35">
      <c r="H2466" s="17"/>
    </row>
    <row r="2467" spans="8:8" x14ac:dyDescent="0.35">
      <c r="H2467" s="17"/>
    </row>
    <row r="2468" spans="8:8" x14ac:dyDescent="0.35">
      <c r="H2468" s="17"/>
    </row>
    <row r="2469" spans="8:8" x14ac:dyDescent="0.35">
      <c r="H2469" s="17"/>
    </row>
    <row r="2470" spans="8:8" x14ac:dyDescent="0.35">
      <c r="H2470" s="17"/>
    </row>
    <row r="2471" spans="8:8" x14ac:dyDescent="0.35">
      <c r="H2471" s="17"/>
    </row>
    <row r="2472" spans="8:8" x14ac:dyDescent="0.35">
      <c r="H2472" s="17"/>
    </row>
    <row r="2473" spans="8:8" x14ac:dyDescent="0.35">
      <c r="H2473" s="17"/>
    </row>
    <row r="2474" spans="8:8" x14ac:dyDescent="0.35">
      <c r="H2474" s="17"/>
    </row>
    <row r="2475" spans="8:8" x14ac:dyDescent="0.35">
      <c r="H2475" s="17"/>
    </row>
    <row r="2476" spans="8:8" x14ac:dyDescent="0.35">
      <c r="H2476" s="17"/>
    </row>
    <row r="2477" spans="8:8" x14ac:dyDescent="0.35">
      <c r="H2477" s="17"/>
    </row>
    <row r="2478" spans="8:8" x14ac:dyDescent="0.35">
      <c r="H2478" s="17"/>
    </row>
    <row r="2479" spans="8:8" x14ac:dyDescent="0.35">
      <c r="H2479" s="17"/>
    </row>
    <row r="2480" spans="8:8" x14ac:dyDescent="0.35">
      <c r="H2480" s="17"/>
    </row>
    <row r="2481" spans="8:8" x14ac:dyDescent="0.35">
      <c r="H2481" s="17"/>
    </row>
    <row r="2482" spans="8:8" x14ac:dyDescent="0.35">
      <c r="H2482" s="17"/>
    </row>
    <row r="2483" spans="8:8" x14ac:dyDescent="0.35">
      <c r="H2483" s="17"/>
    </row>
    <row r="2484" spans="8:8" x14ac:dyDescent="0.35">
      <c r="H2484" s="17"/>
    </row>
    <row r="2485" spans="8:8" x14ac:dyDescent="0.35">
      <c r="H2485" s="17"/>
    </row>
    <row r="2486" spans="8:8" x14ac:dyDescent="0.35">
      <c r="H2486" s="17"/>
    </row>
    <row r="2487" spans="8:8" x14ac:dyDescent="0.35">
      <c r="H2487" s="17"/>
    </row>
    <row r="2488" spans="8:8" x14ac:dyDescent="0.35">
      <c r="H2488" s="17"/>
    </row>
    <row r="2489" spans="8:8" x14ac:dyDescent="0.35">
      <c r="H2489" s="17"/>
    </row>
    <row r="2490" spans="8:8" x14ac:dyDescent="0.35">
      <c r="H2490" s="17"/>
    </row>
    <row r="2491" spans="8:8" x14ac:dyDescent="0.35">
      <c r="H2491" s="17"/>
    </row>
    <row r="2492" spans="8:8" x14ac:dyDescent="0.35">
      <c r="H2492" s="17"/>
    </row>
    <row r="2493" spans="8:8" x14ac:dyDescent="0.35">
      <c r="H2493" s="17"/>
    </row>
    <row r="2494" spans="8:8" x14ac:dyDescent="0.35">
      <c r="H2494" s="17"/>
    </row>
    <row r="2495" spans="8:8" x14ac:dyDescent="0.35">
      <c r="H2495" s="17"/>
    </row>
    <row r="2496" spans="8:8" x14ac:dyDescent="0.35">
      <c r="H2496" s="17"/>
    </row>
    <row r="2497" spans="8:8" x14ac:dyDescent="0.35">
      <c r="H2497" s="17"/>
    </row>
    <row r="2498" spans="8:8" x14ac:dyDescent="0.35">
      <c r="H2498" s="17"/>
    </row>
    <row r="2499" spans="8:8" x14ac:dyDescent="0.35">
      <c r="H2499" s="17"/>
    </row>
    <row r="2500" spans="8:8" x14ac:dyDescent="0.35">
      <c r="H2500" s="17"/>
    </row>
    <row r="2501" spans="8:8" x14ac:dyDescent="0.35">
      <c r="H2501" s="17"/>
    </row>
    <row r="2502" spans="8:8" x14ac:dyDescent="0.35">
      <c r="H2502" s="17"/>
    </row>
    <row r="2503" spans="8:8" x14ac:dyDescent="0.35">
      <c r="H2503" s="17"/>
    </row>
    <row r="2504" spans="8:8" x14ac:dyDescent="0.35">
      <c r="H2504" s="17"/>
    </row>
    <row r="2505" spans="8:8" x14ac:dyDescent="0.35">
      <c r="H2505" s="17"/>
    </row>
    <row r="2506" spans="8:8" x14ac:dyDescent="0.35">
      <c r="H2506" s="17"/>
    </row>
    <row r="2507" spans="8:8" x14ac:dyDescent="0.35">
      <c r="H2507" s="17"/>
    </row>
    <row r="2508" spans="8:8" x14ac:dyDescent="0.35">
      <c r="H2508" s="17"/>
    </row>
    <row r="2509" spans="8:8" x14ac:dyDescent="0.35">
      <c r="H2509" s="17"/>
    </row>
    <row r="2510" spans="8:8" x14ac:dyDescent="0.35">
      <c r="H2510" s="17"/>
    </row>
    <row r="2511" spans="8:8" x14ac:dyDescent="0.35">
      <c r="H2511" s="17"/>
    </row>
    <row r="2512" spans="8:8" x14ac:dyDescent="0.35">
      <c r="H2512" s="17"/>
    </row>
    <row r="2513" spans="8:8" x14ac:dyDescent="0.35">
      <c r="H2513" s="17"/>
    </row>
    <row r="2514" spans="8:8" x14ac:dyDescent="0.35">
      <c r="H2514" s="17"/>
    </row>
    <row r="2515" spans="8:8" x14ac:dyDescent="0.35">
      <c r="H2515" s="17"/>
    </row>
    <row r="2516" spans="8:8" x14ac:dyDescent="0.35">
      <c r="H2516" s="17"/>
    </row>
    <row r="2517" spans="8:8" x14ac:dyDescent="0.35">
      <c r="H2517" s="17"/>
    </row>
    <row r="2518" spans="8:8" x14ac:dyDescent="0.35">
      <c r="H2518" s="17"/>
    </row>
    <row r="2519" spans="8:8" x14ac:dyDescent="0.35">
      <c r="H2519" s="17"/>
    </row>
    <row r="2520" spans="8:8" x14ac:dyDescent="0.35">
      <c r="H2520" s="17"/>
    </row>
    <row r="2521" spans="8:8" x14ac:dyDescent="0.35">
      <c r="H2521" s="17"/>
    </row>
    <row r="2522" spans="8:8" x14ac:dyDescent="0.35">
      <c r="H2522" s="17"/>
    </row>
    <row r="2523" spans="8:8" x14ac:dyDescent="0.35">
      <c r="H2523" s="17"/>
    </row>
    <row r="2524" spans="8:8" x14ac:dyDescent="0.35">
      <c r="H2524" s="17"/>
    </row>
    <row r="2525" spans="8:8" x14ac:dyDescent="0.35">
      <c r="H2525" s="17"/>
    </row>
    <row r="2526" spans="8:8" x14ac:dyDescent="0.35">
      <c r="H2526" s="17"/>
    </row>
    <row r="2527" spans="8:8" x14ac:dyDescent="0.35">
      <c r="H2527" s="17"/>
    </row>
    <row r="2528" spans="8:8" x14ac:dyDescent="0.35">
      <c r="H2528" s="17"/>
    </row>
    <row r="2529" spans="8:8" x14ac:dyDescent="0.35">
      <c r="H2529" s="17"/>
    </row>
    <row r="2530" spans="8:8" x14ac:dyDescent="0.35">
      <c r="H2530" s="17"/>
    </row>
    <row r="2531" spans="8:8" x14ac:dyDescent="0.35">
      <c r="H2531" s="17"/>
    </row>
    <row r="2532" spans="8:8" x14ac:dyDescent="0.35">
      <c r="H2532" s="17"/>
    </row>
    <row r="2533" spans="8:8" x14ac:dyDescent="0.35">
      <c r="H2533" s="17"/>
    </row>
    <row r="2534" spans="8:8" x14ac:dyDescent="0.35">
      <c r="H2534" s="17"/>
    </row>
    <row r="2535" spans="8:8" x14ac:dyDescent="0.35">
      <c r="H2535" s="17"/>
    </row>
    <row r="2536" spans="8:8" x14ac:dyDescent="0.35">
      <c r="H2536" s="17"/>
    </row>
    <row r="2537" spans="8:8" x14ac:dyDescent="0.35">
      <c r="H2537" s="17"/>
    </row>
    <row r="2538" spans="8:8" x14ac:dyDescent="0.35">
      <c r="H2538" s="17"/>
    </row>
    <row r="2539" spans="8:8" x14ac:dyDescent="0.35">
      <c r="H2539" s="17"/>
    </row>
    <row r="2540" spans="8:8" x14ac:dyDescent="0.35">
      <c r="H2540" s="17"/>
    </row>
    <row r="2541" spans="8:8" x14ac:dyDescent="0.35">
      <c r="H2541" s="17"/>
    </row>
    <row r="2542" spans="8:8" x14ac:dyDescent="0.35">
      <c r="H2542" s="17"/>
    </row>
    <row r="2543" spans="8:8" x14ac:dyDescent="0.35">
      <c r="H2543" s="17"/>
    </row>
    <row r="2544" spans="8:8" x14ac:dyDescent="0.35">
      <c r="H2544" s="17"/>
    </row>
    <row r="2545" spans="8:8" x14ac:dyDescent="0.35">
      <c r="H2545" s="17"/>
    </row>
    <row r="2546" spans="8:8" x14ac:dyDescent="0.35">
      <c r="H2546" s="17"/>
    </row>
    <row r="2547" spans="8:8" x14ac:dyDescent="0.35">
      <c r="H2547" s="17"/>
    </row>
    <row r="2548" spans="8:8" x14ac:dyDescent="0.35">
      <c r="H2548" s="17"/>
    </row>
    <row r="2549" spans="8:8" x14ac:dyDescent="0.35">
      <c r="H2549" s="17"/>
    </row>
    <row r="2550" spans="8:8" x14ac:dyDescent="0.35">
      <c r="H2550" s="17"/>
    </row>
    <row r="2551" spans="8:8" x14ac:dyDescent="0.35">
      <c r="H2551" s="17"/>
    </row>
    <row r="2552" spans="8:8" x14ac:dyDescent="0.35">
      <c r="H2552" s="17"/>
    </row>
    <row r="2553" spans="8:8" x14ac:dyDescent="0.35">
      <c r="H2553" s="17"/>
    </row>
    <row r="2554" spans="8:8" x14ac:dyDescent="0.35">
      <c r="H2554" s="17"/>
    </row>
    <row r="2555" spans="8:8" x14ac:dyDescent="0.35">
      <c r="H2555" s="17"/>
    </row>
    <row r="2556" spans="8:8" x14ac:dyDescent="0.35">
      <c r="H2556" s="17"/>
    </row>
    <row r="2557" spans="8:8" x14ac:dyDescent="0.35">
      <c r="H2557" s="17"/>
    </row>
    <row r="2558" spans="8:8" x14ac:dyDescent="0.35">
      <c r="H2558" s="17"/>
    </row>
    <row r="2559" spans="8:8" x14ac:dyDescent="0.35">
      <c r="H2559" s="17"/>
    </row>
    <row r="2560" spans="8:8" x14ac:dyDescent="0.35">
      <c r="H2560" s="17"/>
    </row>
    <row r="2561" spans="8:8" x14ac:dyDescent="0.35">
      <c r="H2561" s="17"/>
    </row>
    <row r="2562" spans="8:8" x14ac:dyDescent="0.35">
      <c r="H2562" s="17"/>
    </row>
    <row r="2563" spans="8:8" x14ac:dyDescent="0.35">
      <c r="H2563" s="17"/>
    </row>
    <row r="2564" spans="8:8" x14ac:dyDescent="0.35">
      <c r="H2564" s="17"/>
    </row>
    <row r="2565" spans="8:8" x14ac:dyDescent="0.35">
      <c r="H2565" s="17"/>
    </row>
    <row r="2566" spans="8:8" x14ac:dyDescent="0.35">
      <c r="H2566" s="17"/>
    </row>
    <row r="2567" spans="8:8" x14ac:dyDescent="0.35">
      <c r="H2567" s="17"/>
    </row>
    <row r="2568" spans="8:8" x14ac:dyDescent="0.35">
      <c r="H2568" s="17"/>
    </row>
    <row r="2569" spans="8:8" x14ac:dyDescent="0.35">
      <c r="H2569" s="17"/>
    </row>
    <row r="2570" spans="8:8" x14ac:dyDescent="0.35">
      <c r="H2570" s="17"/>
    </row>
    <row r="2571" spans="8:8" x14ac:dyDescent="0.35">
      <c r="H2571" s="17"/>
    </row>
    <row r="2572" spans="8:8" x14ac:dyDescent="0.35">
      <c r="H2572" s="17"/>
    </row>
    <row r="2573" spans="8:8" x14ac:dyDescent="0.35">
      <c r="H2573" s="17"/>
    </row>
    <row r="2574" spans="8:8" x14ac:dyDescent="0.35">
      <c r="H2574" s="17"/>
    </row>
    <row r="2575" spans="8:8" x14ac:dyDescent="0.35">
      <c r="H2575" s="17"/>
    </row>
    <row r="2576" spans="8:8" x14ac:dyDescent="0.35">
      <c r="H2576" s="17"/>
    </row>
    <row r="2577" spans="8:8" x14ac:dyDescent="0.35">
      <c r="H2577" s="17"/>
    </row>
    <row r="2578" spans="8:8" x14ac:dyDescent="0.35">
      <c r="H2578" s="17"/>
    </row>
    <row r="2579" spans="8:8" x14ac:dyDescent="0.35">
      <c r="H2579" s="17"/>
    </row>
    <row r="2580" spans="8:8" x14ac:dyDescent="0.35">
      <c r="H2580" s="17"/>
    </row>
    <row r="2581" spans="8:8" x14ac:dyDescent="0.35">
      <c r="H2581" s="17"/>
    </row>
    <row r="2582" spans="8:8" x14ac:dyDescent="0.35">
      <c r="H2582" s="17"/>
    </row>
    <row r="2583" spans="8:8" x14ac:dyDescent="0.35">
      <c r="H2583" s="17"/>
    </row>
    <row r="2584" spans="8:8" x14ac:dyDescent="0.35">
      <c r="H2584" s="17"/>
    </row>
    <row r="2585" spans="8:8" x14ac:dyDescent="0.35">
      <c r="H2585" s="17"/>
    </row>
    <row r="2586" spans="8:8" x14ac:dyDescent="0.35">
      <c r="H2586" s="17"/>
    </row>
    <row r="2587" spans="8:8" x14ac:dyDescent="0.35">
      <c r="H2587" s="17"/>
    </row>
    <row r="2588" spans="8:8" x14ac:dyDescent="0.35">
      <c r="H2588" s="17"/>
    </row>
    <row r="2589" spans="8:8" x14ac:dyDescent="0.35">
      <c r="H2589" s="17"/>
    </row>
    <row r="2590" spans="8:8" x14ac:dyDescent="0.35">
      <c r="H2590" s="17"/>
    </row>
    <row r="2591" spans="8:8" x14ac:dyDescent="0.35">
      <c r="H2591" s="17"/>
    </row>
    <row r="2592" spans="8:8" x14ac:dyDescent="0.35">
      <c r="H2592" s="17"/>
    </row>
    <row r="2593" spans="8:8" x14ac:dyDescent="0.35">
      <c r="H2593" s="17"/>
    </row>
    <row r="2594" spans="8:8" x14ac:dyDescent="0.35">
      <c r="H2594" s="17"/>
    </row>
    <row r="2595" spans="8:8" x14ac:dyDescent="0.35">
      <c r="H2595" s="17"/>
    </row>
    <row r="2596" spans="8:8" x14ac:dyDescent="0.35">
      <c r="H2596" s="17"/>
    </row>
    <row r="2597" spans="8:8" x14ac:dyDescent="0.35">
      <c r="H2597" s="17"/>
    </row>
    <row r="2598" spans="8:8" x14ac:dyDescent="0.35">
      <c r="H2598" s="17"/>
    </row>
    <row r="2599" spans="8:8" x14ac:dyDescent="0.35">
      <c r="H2599" s="17"/>
    </row>
    <row r="2600" spans="8:8" x14ac:dyDescent="0.35">
      <c r="H2600" s="17"/>
    </row>
    <row r="2601" spans="8:8" x14ac:dyDescent="0.35">
      <c r="H2601" s="17"/>
    </row>
    <row r="2602" spans="8:8" x14ac:dyDescent="0.35">
      <c r="H2602" s="17"/>
    </row>
    <row r="2603" spans="8:8" x14ac:dyDescent="0.35">
      <c r="H2603" s="17"/>
    </row>
    <row r="2604" spans="8:8" x14ac:dyDescent="0.35">
      <c r="H2604" s="17"/>
    </row>
    <row r="2605" spans="8:8" x14ac:dyDescent="0.35">
      <c r="H2605" s="17"/>
    </row>
    <row r="2606" spans="8:8" x14ac:dyDescent="0.35">
      <c r="H2606" s="17"/>
    </row>
    <row r="2607" spans="8:8" x14ac:dyDescent="0.35">
      <c r="H2607" s="17"/>
    </row>
    <row r="2608" spans="8:8" x14ac:dyDescent="0.35">
      <c r="H2608" s="17"/>
    </row>
    <row r="2609" spans="8:8" x14ac:dyDescent="0.35">
      <c r="H2609" s="17"/>
    </row>
    <row r="2610" spans="8:8" x14ac:dyDescent="0.35">
      <c r="H2610" s="17"/>
    </row>
    <row r="2611" spans="8:8" x14ac:dyDescent="0.35">
      <c r="H2611" s="17"/>
    </row>
    <row r="2612" spans="8:8" x14ac:dyDescent="0.35">
      <c r="H2612" s="17"/>
    </row>
    <row r="2613" spans="8:8" x14ac:dyDescent="0.35">
      <c r="H2613" s="17"/>
    </row>
    <row r="2614" spans="8:8" x14ac:dyDescent="0.35">
      <c r="H2614" s="17"/>
    </row>
    <row r="2615" spans="8:8" x14ac:dyDescent="0.35">
      <c r="H2615" s="17"/>
    </row>
    <row r="2616" spans="8:8" x14ac:dyDescent="0.35">
      <c r="H2616" s="17"/>
    </row>
    <row r="2617" spans="8:8" x14ac:dyDescent="0.35">
      <c r="H2617" s="17"/>
    </row>
    <row r="2618" spans="8:8" x14ac:dyDescent="0.35">
      <c r="H2618" s="17"/>
    </row>
    <row r="2619" spans="8:8" x14ac:dyDescent="0.35">
      <c r="H2619" s="17"/>
    </row>
    <row r="2620" spans="8:8" x14ac:dyDescent="0.35">
      <c r="H2620" s="17"/>
    </row>
    <row r="2621" spans="8:8" x14ac:dyDescent="0.35">
      <c r="H2621" s="17"/>
    </row>
    <row r="2622" spans="8:8" x14ac:dyDescent="0.35">
      <c r="H2622" s="17"/>
    </row>
    <row r="2623" spans="8:8" x14ac:dyDescent="0.35">
      <c r="H2623" s="17"/>
    </row>
    <row r="2624" spans="8:8" x14ac:dyDescent="0.35">
      <c r="H2624" s="17"/>
    </row>
    <row r="2625" spans="8:8" x14ac:dyDescent="0.35">
      <c r="H2625" s="17"/>
    </row>
    <row r="2626" spans="8:8" x14ac:dyDescent="0.35">
      <c r="H2626" s="17"/>
    </row>
    <row r="2627" spans="8:8" x14ac:dyDescent="0.35">
      <c r="H2627" s="17"/>
    </row>
    <row r="2628" spans="8:8" x14ac:dyDescent="0.35">
      <c r="H2628" s="17"/>
    </row>
    <row r="2629" spans="8:8" x14ac:dyDescent="0.35">
      <c r="H2629" s="17"/>
    </row>
    <row r="2630" spans="8:8" x14ac:dyDescent="0.35">
      <c r="H2630" s="17"/>
    </row>
    <row r="2631" spans="8:8" x14ac:dyDescent="0.35">
      <c r="H2631" s="17"/>
    </row>
    <row r="2632" spans="8:8" x14ac:dyDescent="0.35">
      <c r="H2632" s="17"/>
    </row>
    <row r="2633" spans="8:8" x14ac:dyDescent="0.35">
      <c r="H2633" s="17"/>
    </row>
    <row r="2634" spans="8:8" x14ac:dyDescent="0.35">
      <c r="H2634" s="17"/>
    </row>
    <row r="2635" spans="8:8" x14ac:dyDescent="0.35">
      <c r="H2635" s="17"/>
    </row>
    <row r="2636" spans="8:8" x14ac:dyDescent="0.35">
      <c r="H2636" s="17"/>
    </row>
    <row r="2637" spans="8:8" x14ac:dyDescent="0.35">
      <c r="H2637" s="17"/>
    </row>
    <row r="2638" spans="8:8" x14ac:dyDescent="0.35">
      <c r="H2638" s="17"/>
    </row>
    <row r="2639" spans="8:8" x14ac:dyDescent="0.35">
      <c r="H2639" s="17"/>
    </row>
    <row r="2640" spans="8:8" x14ac:dyDescent="0.35">
      <c r="H2640" s="17"/>
    </row>
    <row r="2641" spans="8:8" x14ac:dyDescent="0.35">
      <c r="H2641" s="17"/>
    </row>
    <row r="2642" spans="8:8" x14ac:dyDescent="0.35">
      <c r="H2642" s="17"/>
    </row>
    <row r="2643" spans="8:8" x14ac:dyDescent="0.35">
      <c r="H2643" s="17"/>
    </row>
    <row r="2644" spans="8:8" x14ac:dyDescent="0.35">
      <c r="H2644" s="17"/>
    </row>
    <row r="2645" spans="8:8" x14ac:dyDescent="0.35">
      <c r="H2645" s="17"/>
    </row>
    <row r="2646" spans="8:8" x14ac:dyDescent="0.35">
      <c r="H2646" s="17"/>
    </row>
    <row r="2647" spans="8:8" x14ac:dyDescent="0.35">
      <c r="H2647" s="17"/>
    </row>
    <row r="2648" spans="8:8" x14ac:dyDescent="0.35">
      <c r="H2648" s="17"/>
    </row>
    <row r="2649" spans="8:8" x14ac:dyDescent="0.35">
      <c r="H2649" s="17"/>
    </row>
    <row r="2650" spans="8:8" x14ac:dyDescent="0.35">
      <c r="H2650" s="17"/>
    </row>
    <row r="2651" spans="8:8" x14ac:dyDescent="0.35">
      <c r="H2651" s="17"/>
    </row>
    <row r="2652" spans="8:8" x14ac:dyDescent="0.35">
      <c r="H2652" s="17"/>
    </row>
    <row r="2653" spans="8:8" x14ac:dyDescent="0.35">
      <c r="H2653" s="17"/>
    </row>
    <row r="2654" spans="8:8" x14ac:dyDescent="0.35">
      <c r="H2654" s="17"/>
    </row>
    <row r="2655" spans="8:8" x14ac:dyDescent="0.35">
      <c r="H2655" s="17"/>
    </row>
    <row r="2656" spans="8:8" x14ac:dyDescent="0.35">
      <c r="H2656" s="17"/>
    </row>
    <row r="2657" spans="8:8" x14ac:dyDescent="0.35">
      <c r="H2657" s="17"/>
    </row>
    <row r="2658" spans="8:8" x14ac:dyDescent="0.35">
      <c r="H2658" s="17"/>
    </row>
    <row r="2659" spans="8:8" x14ac:dyDescent="0.35">
      <c r="H2659" s="17"/>
    </row>
    <row r="2660" spans="8:8" x14ac:dyDescent="0.35">
      <c r="H2660" s="17"/>
    </row>
    <row r="2661" spans="8:8" x14ac:dyDescent="0.35">
      <c r="H2661" s="17"/>
    </row>
    <row r="2662" spans="8:8" x14ac:dyDescent="0.35">
      <c r="H2662" s="17"/>
    </row>
    <row r="2663" spans="8:8" x14ac:dyDescent="0.35">
      <c r="H2663" s="17"/>
    </row>
    <row r="2664" spans="8:8" x14ac:dyDescent="0.35">
      <c r="H2664" s="17"/>
    </row>
    <row r="2665" spans="8:8" x14ac:dyDescent="0.35">
      <c r="H2665" s="17"/>
    </row>
    <row r="2666" spans="8:8" x14ac:dyDescent="0.35">
      <c r="H2666" s="17"/>
    </row>
    <row r="2667" spans="8:8" x14ac:dyDescent="0.35">
      <c r="H2667" s="17"/>
    </row>
    <row r="2668" spans="8:8" x14ac:dyDescent="0.35">
      <c r="H2668" s="17"/>
    </row>
    <row r="2669" spans="8:8" x14ac:dyDescent="0.35">
      <c r="H2669" s="17"/>
    </row>
    <row r="2670" spans="8:8" x14ac:dyDescent="0.35">
      <c r="H2670" s="17"/>
    </row>
    <row r="2671" spans="8:8" x14ac:dyDescent="0.35">
      <c r="H2671" s="17"/>
    </row>
    <row r="2672" spans="8:8" x14ac:dyDescent="0.35">
      <c r="H2672" s="17"/>
    </row>
    <row r="2673" spans="8:8" x14ac:dyDescent="0.35">
      <c r="H2673" s="17"/>
    </row>
    <row r="2674" spans="8:8" x14ac:dyDescent="0.35">
      <c r="H2674" s="17"/>
    </row>
    <row r="2675" spans="8:8" x14ac:dyDescent="0.35">
      <c r="H2675" s="17"/>
    </row>
    <row r="2676" spans="8:8" x14ac:dyDescent="0.35">
      <c r="H2676" s="17"/>
    </row>
    <row r="2677" spans="8:8" x14ac:dyDescent="0.35">
      <c r="H2677" s="17"/>
    </row>
    <row r="2678" spans="8:8" x14ac:dyDescent="0.35">
      <c r="H2678" s="17"/>
    </row>
    <row r="2679" spans="8:8" x14ac:dyDescent="0.35">
      <c r="H2679" s="17"/>
    </row>
    <row r="2680" spans="8:8" x14ac:dyDescent="0.35">
      <c r="H2680" s="17"/>
    </row>
    <row r="2681" spans="8:8" x14ac:dyDescent="0.35">
      <c r="H2681" s="17"/>
    </row>
    <row r="2682" spans="8:8" x14ac:dyDescent="0.35">
      <c r="H2682" s="17"/>
    </row>
    <row r="2683" spans="8:8" x14ac:dyDescent="0.35">
      <c r="H2683" s="17"/>
    </row>
    <row r="2684" spans="8:8" x14ac:dyDescent="0.35">
      <c r="H2684" s="17"/>
    </row>
    <row r="2685" spans="8:8" x14ac:dyDescent="0.35">
      <c r="H2685" s="17"/>
    </row>
    <row r="2686" spans="8:8" x14ac:dyDescent="0.35">
      <c r="H2686" s="17"/>
    </row>
    <row r="2687" spans="8:8" x14ac:dyDescent="0.35">
      <c r="H2687" s="17"/>
    </row>
    <row r="2688" spans="8:8" x14ac:dyDescent="0.35">
      <c r="H2688" s="17"/>
    </row>
    <row r="2689" spans="8:8" x14ac:dyDescent="0.35">
      <c r="H2689" s="17"/>
    </row>
    <row r="2690" spans="8:8" x14ac:dyDescent="0.35">
      <c r="H2690" s="17"/>
    </row>
    <row r="2691" spans="8:8" x14ac:dyDescent="0.35">
      <c r="H2691" s="17"/>
    </row>
    <row r="2692" spans="8:8" x14ac:dyDescent="0.35">
      <c r="H2692" s="17"/>
    </row>
    <row r="2693" spans="8:8" x14ac:dyDescent="0.35">
      <c r="H2693" s="17"/>
    </row>
    <row r="2694" spans="8:8" x14ac:dyDescent="0.35">
      <c r="H2694" s="17"/>
    </row>
    <row r="2695" spans="8:8" x14ac:dyDescent="0.35">
      <c r="H2695" s="17"/>
    </row>
    <row r="2696" spans="8:8" x14ac:dyDescent="0.35">
      <c r="H2696" s="17"/>
    </row>
    <row r="2697" spans="8:8" x14ac:dyDescent="0.35">
      <c r="H2697" s="17"/>
    </row>
    <row r="2698" spans="8:8" x14ac:dyDescent="0.35">
      <c r="H2698" s="17"/>
    </row>
    <row r="2699" spans="8:8" x14ac:dyDescent="0.35">
      <c r="H2699" s="17"/>
    </row>
    <row r="2700" spans="8:8" x14ac:dyDescent="0.35">
      <c r="H2700" s="17"/>
    </row>
    <row r="2701" spans="8:8" x14ac:dyDescent="0.35">
      <c r="H2701" s="17"/>
    </row>
    <row r="2702" spans="8:8" x14ac:dyDescent="0.35">
      <c r="H2702" s="17"/>
    </row>
    <row r="2703" spans="8:8" x14ac:dyDescent="0.35">
      <c r="H2703" s="17"/>
    </row>
    <row r="2704" spans="8:8" x14ac:dyDescent="0.35">
      <c r="H2704" s="17"/>
    </row>
    <row r="2705" spans="8:8" x14ac:dyDescent="0.35">
      <c r="H2705" s="17"/>
    </row>
    <row r="2706" spans="8:8" x14ac:dyDescent="0.35">
      <c r="H2706" s="17"/>
    </row>
    <row r="2707" spans="8:8" x14ac:dyDescent="0.35">
      <c r="H2707" s="17"/>
    </row>
    <row r="2708" spans="8:8" x14ac:dyDescent="0.35">
      <c r="H2708" s="17"/>
    </row>
    <row r="2709" spans="8:8" x14ac:dyDescent="0.35">
      <c r="H2709" s="17"/>
    </row>
    <row r="2710" spans="8:8" x14ac:dyDescent="0.35">
      <c r="H2710" s="17"/>
    </row>
    <row r="2711" spans="8:8" x14ac:dyDescent="0.35">
      <c r="H2711" s="17"/>
    </row>
    <row r="2712" spans="8:8" x14ac:dyDescent="0.35">
      <c r="H2712" s="17"/>
    </row>
    <row r="2713" spans="8:8" x14ac:dyDescent="0.35">
      <c r="H2713" s="17"/>
    </row>
    <row r="2714" spans="8:8" x14ac:dyDescent="0.35">
      <c r="H2714" s="17"/>
    </row>
    <row r="2715" spans="8:8" x14ac:dyDescent="0.35">
      <c r="H2715" s="17"/>
    </row>
    <row r="2716" spans="8:8" x14ac:dyDescent="0.35">
      <c r="H2716" s="17"/>
    </row>
    <row r="2717" spans="8:8" x14ac:dyDescent="0.35">
      <c r="H2717" s="17"/>
    </row>
    <row r="2718" spans="8:8" x14ac:dyDescent="0.35">
      <c r="H2718" s="17"/>
    </row>
    <row r="2719" spans="8:8" x14ac:dyDescent="0.35">
      <c r="H2719" s="17"/>
    </row>
    <row r="2720" spans="8:8" x14ac:dyDescent="0.35">
      <c r="H2720" s="17"/>
    </row>
    <row r="2721" spans="8:8" x14ac:dyDescent="0.35">
      <c r="H2721" s="17"/>
    </row>
    <row r="2722" spans="8:8" x14ac:dyDescent="0.35">
      <c r="H2722" s="17"/>
    </row>
    <row r="2723" spans="8:8" x14ac:dyDescent="0.35">
      <c r="H2723" s="17"/>
    </row>
    <row r="2724" spans="8:8" x14ac:dyDescent="0.35">
      <c r="H2724" s="17"/>
    </row>
    <row r="2725" spans="8:8" x14ac:dyDescent="0.35">
      <c r="H2725" s="17"/>
    </row>
    <row r="2726" spans="8:8" x14ac:dyDescent="0.35">
      <c r="H2726" s="17"/>
    </row>
    <row r="2727" spans="8:8" x14ac:dyDescent="0.35">
      <c r="H2727" s="17"/>
    </row>
    <row r="2728" spans="8:8" x14ac:dyDescent="0.35">
      <c r="H2728" s="17"/>
    </row>
    <row r="2729" spans="8:8" x14ac:dyDescent="0.35">
      <c r="H2729" s="17"/>
    </row>
    <row r="2730" spans="8:8" x14ac:dyDescent="0.35">
      <c r="H2730" s="17"/>
    </row>
    <row r="2731" spans="8:8" x14ac:dyDescent="0.35">
      <c r="H2731" s="17"/>
    </row>
    <row r="2732" spans="8:8" x14ac:dyDescent="0.35">
      <c r="H2732" s="17"/>
    </row>
    <row r="2733" spans="8:8" x14ac:dyDescent="0.35">
      <c r="H2733" s="17"/>
    </row>
    <row r="2734" spans="8:8" x14ac:dyDescent="0.35">
      <c r="H2734" s="17"/>
    </row>
    <row r="2735" spans="8:8" x14ac:dyDescent="0.35">
      <c r="H2735" s="17"/>
    </row>
    <row r="2736" spans="8:8" x14ac:dyDescent="0.35">
      <c r="H2736" s="17"/>
    </row>
    <row r="2737" spans="8:8" x14ac:dyDescent="0.35">
      <c r="H2737" s="17"/>
    </row>
    <row r="2738" spans="8:8" x14ac:dyDescent="0.35">
      <c r="H2738" s="17"/>
    </row>
    <row r="2739" spans="8:8" x14ac:dyDescent="0.35">
      <c r="H2739" s="17"/>
    </row>
    <row r="2740" spans="8:8" x14ac:dyDescent="0.35">
      <c r="H2740" s="17"/>
    </row>
    <row r="2741" spans="8:8" x14ac:dyDescent="0.35">
      <c r="H2741" s="17"/>
    </row>
    <row r="2742" spans="8:8" x14ac:dyDescent="0.35">
      <c r="H2742" s="17"/>
    </row>
    <row r="2743" spans="8:8" x14ac:dyDescent="0.35">
      <c r="H2743" s="17"/>
    </row>
    <row r="2744" spans="8:8" x14ac:dyDescent="0.35">
      <c r="H2744" s="17"/>
    </row>
    <row r="2745" spans="8:8" x14ac:dyDescent="0.35">
      <c r="H2745" s="17"/>
    </row>
    <row r="2746" spans="8:8" x14ac:dyDescent="0.35">
      <c r="H2746" s="17"/>
    </row>
    <row r="2747" spans="8:8" x14ac:dyDescent="0.35">
      <c r="H2747" s="17"/>
    </row>
    <row r="2748" spans="8:8" x14ac:dyDescent="0.35">
      <c r="H2748" s="17"/>
    </row>
    <row r="2749" spans="8:8" x14ac:dyDescent="0.35">
      <c r="H2749" s="17"/>
    </row>
    <row r="2750" spans="8:8" x14ac:dyDescent="0.35">
      <c r="H2750" s="17"/>
    </row>
    <row r="2751" spans="8:8" x14ac:dyDescent="0.35">
      <c r="H2751" s="17"/>
    </row>
    <row r="2752" spans="8:8" x14ac:dyDescent="0.35">
      <c r="H2752" s="17"/>
    </row>
    <row r="2753" spans="8:8" x14ac:dyDescent="0.35">
      <c r="H2753" s="17"/>
    </row>
    <row r="2754" spans="8:8" x14ac:dyDescent="0.35">
      <c r="H2754" s="17"/>
    </row>
    <row r="2755" spans="8:8" x14ac:dyDescent="0.35">
      <c r="H2755" s="17"/>
    </row>
    <row r="2756" spans="8:8" x14ac:dyDescent="0.35">
      <c r="H2756" s="17"/>
    </row>
    <row r="2757" spans="8:8" x14ac:dyDescent="0.35">
      <c r="H2757" s="17"/>
    </row>
    <row r="2758" spans="8:8" x14ac:dyDescent="0.35">
      <c r="H2758" s="17"/>
    </row>
    <row r="2759" spans="8:8" x14ac:dyDescent="0.35">
      <c r="H2759" s="17"/>
    </row>
    <row r="2760" spans="8:8" x14ac:dyDescent="0.35">
      <c r="H2760" s="17"/>
    </row>
    <row r="2761" spans="8:8" x14ac:dyDescent="0.35">
      <c r="H2761" s="17"/>
    </row>
    <row r="2762" spans="8:8" x14ac:dyDescent="0.35">
      <c r="H2762" s="17"/>
    </row>
    <row r="2763" spans="8:8" x14ac:dyDescent="0.35">
      <c r="H2763" s="17"/>
    </row>
    <row r="2764" spans="8:8" x14ac:dyDescent="0.35">
      <c r="H2764" s="17"/>
    </row>
    <row r="2765" spans="8:8" x14ac:dyDescent="0.35">
      <c r="H2765" s="17"/>
    </row>
    <row r="2766" spans="8:8" x14ac:dyDescent="0.35">
      <c r="H2766" s="17"/>
    </row>
    <row r="2767" spans="8:8" x14ac:dyDescent="0.35">
      <c r="H2767" s="17"/>
    </row>
    <row r="2768" spans="8:8" x14ac:dyDescent="0.35">
      <c r="H2768" s="17"/>
    </row>
    <row r="2769" spans="8:8" x14ac:dyDescent="0.35">
      <c r="H2769" s="17"/>
    </row>
    <row r="2770" spans="8:8" x14ac:dyDescent="0.35">
      <c r="H2770" s="17"/>
    </row>
    <row r="2771" spans="8:8" x14ac:dyDescent="0.35">
      <c r="H2771" s="17"/>
    </row>
    <row r="2772" spans="8:8" x14ac:dyDescent="0.35">
      <c r="H2772" s="17"/>
    </row>
    <row r="2773" spans="8:8" x14ac:dyDescent="0.35">
      <c r="H2773" s="17"/>
    </row>
    <row r="2774" spans="8:8" x14ac:dyDescent="0.35">
      <c r="H2774" s="17"/>
    </row>
    <row r="2775" spans="8:8" x14ac:dyDescent="0.35">
      <c r="H2775" s="17"/>
    </row>
    <row r="2776" spans="8:8" x14ac:dyDescent="0.35">
      <c r="H2776" s="17"/>
    </row>
    <row r="2777" spans="8:8" x14ac:dyDescent="0.35">
      <c r="H2777" s="17"/>
    </row>
    <row r="2778" spans="8:8" x14ac:dyDescent="0.35">
      <c r="H2778" s="17"/>
    </row>
    <row r="2779" spans="8:8" x14ac:dyDescent="0.35">
      <c r="H2779" s="17"/>
    </row>
    <row r="2780" spans="8:8" x14ac:dyDescent="0.35">
      <c r="H2780" s="17"/>
    </row>
    <row r="2781" spans="8:8" x14ac:dyDescent="0.35">
      <c r="H2781" s="17"/>
    </row>
    <row r="2782" spans="8:8" x14ac:dyDescent="0.35">
      <c r="H2782" s="17"/>
    </row>
    <row r="2783" spans="8:8" x14ac:dyDescent="0.35">
      <c r="H2783" s="17"/>
    </row>
    <row r="2784" spans="8:8" x14ac:dyDescent="0.35">
      <c r="H2784" s="17"/>
    </row>
    <row r="2785" spans="8:8" x14ac:dyDescent="0.35">
      <c r="H2785" s="17"/>
    </row>
    <row r="2786" spans="8:8" x14ac:dyDescent="0.35">
      <c r="H2786" s="17"/>
    </row>
    <row r="2787" spans="8:8" x14ac:dyDescent="0.35">
      <c r="H2787" s="17"/>
    </row>
    <row r="2788" spans="8:8" x14ac:dyDescent="0.35">
      <c r="H2788" s="17"/>
    </row>
    <row r="2789" spans="8:8" x14ac:dyDescent="0.35">
      <c r="H2789" s="17"/>
    </row>
    <row r="2790" spans="8:8" x14ac:dyDescent="0.35">
      <c r="H2790" s="17"/>
    </row>
    <row r="2791" spans="8:8" x14ac:dyDescent="0.35">
      <c r="H2791" s="17"/>
    </row>
    <row r="2792" spans="8:8" x14ac:dyDescent="0.35">
      <c r="H2792" s="17"/>
    </row>
    <row r="2793" spans="8:8" x14ac:dyDescent="0.35">
      <c r="H2793" s="17"/>
    </row>
    <row r="2794" spans="8:8" x14ac:dyDescent="0.35">
      <c r="H2794" s="17"/>
    </row>
    <row r="2795" spans="8:8" x14ac:dyDescent="0.35">
      <c r="H2795" s="17"/>
    </row>
    <row r="2796" spans="8:8" x14ac:dyDescent="0.35">
      <c r="H2796" s="17"/>
    </row>
    <row r="2797" spans="8:8" x14ac:dyDescent="0.35">
      <c r="H2797" s="17"/>
    </row>
    <row r="2798" spans="8:8" x14ac:dyDescent="0.35">
      <c r="H2798" s="17"/>
    </row>
    <row r="2799" spans="8:8" x14ac:dyDescent="0.35">
      <c r="H2799" s="17"/>
    </row>
    <row r="2800" spans="8:8" x14ac:dyDescent="0.35">
      <c r="H2800" s="17"/>
    </row>
    <row r="2801" spans="8:8" x14ac:dyDescent="0.35">
      <c r="H2801" s="17"/>
    </row>
    <row r="2802" spans="8:8" x14ac:dyDescent="0.35">
      <c r="H2802" s="17"/>
    </row>
    <row r="2803" spans="8:8" x14ac:dyDescent="0.35">
      <c r="H2803" s="17"/>
    </row>
    <row r="2804" spans="8:8" x14ac:dyDescent="0.35">
      <c r="H2804" s="17"/>
    </row>
    <row r="2805" spans="8:8" x14ac:dyDescent="0.35">
      <c r="H2805" s="17"/>
    </row>
    <row r="2806" spans="8:8" x14ac:dyDescent="0.35">
      <c r="H2806" s="17"/>
    </row>
    <row r="2807" spans="8:8" x14ac:dyDescent="0.35">
      <c r="H2807" s="17"/>
    </row>
    <row r="2808" spans="8:8" x14ac:dyDescent="0.35">
      <c r="H2808" s="17"/>
    </row>
    <row r="2809" spans="8:8" x14ac:dyDescent="0.35">
      <c r="H2809" s="17"/>
    </row>
    <row r="2810" spans="8:8" x14ac:dyDescent="0.35">
      <c r="H2810" s="17"/>
    </row>
    <row r="2811" spans="8:8" x14ac:dyDescent="0.35">
      <c r="H2811" s="17"/>
    </row>
    <row r="2812" spans="8:8" x14ac:dyDescent="0.35">
      <c r="H2812" s="17"/>
    </row>
    <row r="2813" spans="8:8" x14ac:dyDescent="0.35">
      <c r="H2813" s="17"/>
    </row>
    <row r="2814" spans="8:8" x14ac:dyDescent="0.35">
      <c r="H2814" s="17"/>
    </row>
    <row r="2815" spans="8:8" x14ac:dyDescent="0.35">
      <c r="H2815" s="17"/>
    </row>
    <row r="2816" spans="8:8" x14ac:dyDescent="0.35">
      <c r="H2816" s="17"/>
    </row>
    <row r="2817" spans="8:8" x14ac:dyDescent="0.35">
      <c r="H2817" s="17"/>
    </row>
    <row r="2818" spans="8:8" x14ac:dyDescent="0.35">
      <c r="H2818" s="17"/>
    </row>
    <row r="2819" spans="8:8" x14ac:dyDescent="0.35">
      <c r="H2819" s="17"/>
    </row>
    <row r="2820" spans="8:8" x14ac:dyDescent="0.35">
      <c r="H2820" s="17"/>
    </row>
    <row r="2821" spans="8:8" x14ac:dyDescent="0.35">
      <c r="H2821" s="17"/>
    </row>
    <row r="2822" spans="8:8" x14ac:dyDescent="0.35">
      <c r="H2822" s="17"/>
    </row>
    <row r="2823" spans="8:8" x14ac:dyDescent="0.35">
      <c r="H2823" s="17"/>
    </row>
    <row r="2824" spans="8:8" x14ac:dyDescent="0.35">
      <c r="H2824" s="17"/>
    </row>
    <row r="2825" spans="8:8" x14ac:dyDescent="0.35">
      <c r="H2825" s="17"/>
    </row>
    <row r="2826" spans="8:8" x14ac:dyDescent="0.35">
      <c r="H2826" s="17"/>
    </row>
    <row r="2827" spans="8:8" x14ac:dyDescent="0.35">
      <c r="H2827" s="17"/>
    </row>
    <row r="2828" spans="8:8" x14ac:dyDescent="0.35">
      <c r="H2828" s="17"/>
    </row>
    <row r="2829" spans="8:8" x14ac:dyDescent="0.35">
      <c r="H2829" s="17"/>
    </row>
    <row r="2830" spans="8:8" x14ac:dyDescent="0.35">
      <c r="H2830" s="17"/>
    </row>
    <row r="2831" spans="8:8" x14ac:dyDescent="0.35">
      <c r="H2831" s="17"/>
    </row>
    <row r="2832" spans="8:8" x14ac:dyDescent="0.35">
      <c r="H2832" s="17"/>
    </row>
    <row r="2833" spans="8:8" x14ac:dyDescent="0.35">
      <c r="H2833" s="17"/>
    </row>
    <row r="2834" spans="8:8" x14ac:dyDescent="0.35">
      <c r="H2834" s="17"/>
    </row>
    <row r="2835" spans="8:8" x14ac:dyDescent="0.35">
      <c r="H2835" s="17"/>
    </row>
    <row r="2836" spans="8:8" x14ac:dyDescent="0.35">
      <c r="H2836" s="17"/>
    </row>
    <row r="2837" spans="8:8" x14ac:dyDescent="0.35">
      <c r="H2837" s="17"/>
    </row>
    <row r="2838" spans="8:8" x14ac:dyDescent="0.35">
      <c r="H2838" s="17"/>
    </row>
    <row r="2839" spans="8:8" x14ac:dyDescent="0.35">
      <c r="H2839" s="17"/>
    </row>
    <row r="2840" spans="8:8" x14ac:dyDescent="0.35">
      <c r="H2840" s="17"/>
    </row>
    <row r="2841" spans="8:8" x14ac:dyDescent="0.35">
      <c r="H2841" s="17"/>
    </row>
    <row r="2842" spans="8:8" x14ac:dyDescent="0.35">
      <c r="H2842" s="17"/>
    </row>
    <row r="2843" spans="8:8" x14ac:dyDescent="0.35">
      <c r="H2843" s="17"/>
    </row>
    <row r="2844" spans="8:8" x14ac:dyDescent="0.35">
      <c r="H2844" s="17"/>
    </row>
    <row r="2845" spans="8:8" x14ac:dyDescent="0.35">
      <c r="H2845" s="17"/>
    </row>
    <row r="2846" spans="8:8" x14ac:dyDescent="0.35">
      <c r="H2846" s="17"/>
    </row>
    <row r="2847" spans="8:8" x14ac:dyDescent="0.35">
      <c r="H2847" s="17"/>
    </row>
    <row r="2848" spans="8:8" x14ac:dyDescent="0.35">
      <c r="H2848" s="17"/>
    </row>
    <row r="2849" spans="8:8" x14ac:dyDescent="0.35">
      <c r="H2849" s="17"/>
    </row>
    <row r="2850" spans="8:8" x14ac:dyDescent="0.35">
      <c r="H2850" s="17"/>
    </row>
    <row r="2851" spans="8:8" x14ac:dyDescent="0.35">
      <c r="H2851" s="17"/>
    </row>
    <row r="2852" spans="8:8" x14ac:dyDescent="0.35">
      <c r="H2852" s="17"/>
    </row>
    <row r="2853" spans="8:8" x14ac:dyDescent="0.35">
      <c r="H2853" s="17"/>
    </row>
    <row r="2854" spans="8:8" x14ac:dyDescent="0.35">
      <c r="H2854" s="17"/>
    </row>
    <row r="2855" spans="8:8" x14ac:dyDescent="0.35">
      <c r="H2855" s="17"/>
    </row>
    <row r="2856" spans="8:8" x14ac:dyDescent="0.35">
      <c r="H2856" s="17"/>
    </row>
    <row r="2857" spans="8:8" x14ac:dyDescent="0.35">
      <c r="H2857" s="17"/>
    </row>
    <row r="2858" spans="8:8" x14ac:dyDescent="0.35">
      <c r="H2858" s="17"/>
    </row>
    <row r="2859" spans="8:8" x14ac:dyDescent="0.35">
      <c r="H2859" s="17"/>
    </row>
    <row r="2860" spans="8:8" x14ac:dyDescent="0.35">
      <c r="H2860" s="17"/>
    </row>
    <row r="2861" spans="8:8" x14ac:dyDescent="0.35">
      <c r="H2861" s="17"/>
    </row>
    <row r="2862" spans="8:8" x14ac:dyDescent="0.35">
      <c r="H2862" s="17"/>
    </row>
    <row r="2863" spans="8:8" x14ac:dyDescent="0.35">
      <c r="H2863" s="17"/>
    </row>
    <row r="2864" spans="8:8" x14ac:dyDescent="0.35">
      <c r="H2864" s="17"/>
    </row>
    <row r="2865" spans="8:8" x14ac:dyDescent="0.35">
      <c r="H2865" s="17"/>
    </row>
    <row r="2866" spans="8:8" x14ac:dyDescent="0.35">
      <c r="H2866" s="17"/>
    </row>
    <row r="2867" spans="8:8" x14ac:dyDescent="0.35">
      <c r="H2867" s="17"/>
    </row>
    <row r="2868" spans="8:8" x14ac:dyDescent="0.35">
      <c r="H2868" s="17"/>
    </row>
    <row r="2869" spans="8:8" x14ac:dyDescent="0.35">
      <c r="H2869" s="17"/>
    </row>
    <row r="2870" spans="8:8" x14ac:dyDescent="0.35">
      <c r="H2870" s="17"/>
    </row>
    <row r="2871" spans="8:8" x14ac:dyDescent="0.35">
      <c r="H2871" s="17"/>
    </row>
    <row r="2872" spans="8:8" x14ac:dyDescent="0.35">
      <c r="H2872" s="17"/>
    </row>
    <row r="2873" spans="8:8" x14ac:dyDescent="0.35">
      <c r="H2873" s="17"/>
    </row>
    <row r="2874" spans="8:8" x14ac:dyDescent="0.35">
      <c r="H2874" s="17"/>
    </row>
    <row r="2875" spans="8:8" x14ac:dyDescent="0.35">
      <c r="H2875" s="17"/>
    </row>
    <row r="2876" spans="8:8" x14ac:dyDescent="0.35">
      <c r="H2876" s="17"/>
    </row>
    <row r="2877" spans="8:8" x14ac:dyDescent="0.35">
      <c r="H2877" s="17"/>
    </row>
    <row r="2878" spans="8:8" x14ac:dyDescent="0.35">
      <c r="H2878" s="17"/>
    </row>
    <row r="2879" spans="8:8" x14ac:dyDescent="0.35">
      <c r="H2879" s="17"/>
    </row>
    <row r="2880" spans="8:8" x14ac:dyDescent="0.35">
      <c r="H2880" s="17"/>
    </row>
    <row r="2881" spans="8:8" x14ac:dyDescent="0.35">
      <c r="H2881" s="17"/>
    </row>
    <row r="2882" spans="8:8" x14ac:dyDescent="0.35">
      <c r="H2882" s="17"/>
    </row>
    <row r="2883" spans="8:8" x14ac:dyDescent="0.35">
      <c r="H2883" s="17"/>
    </row>
    <row r="2884" spans="8:8" x14ac:dyDescent="0.35">
      <c r="H2884" s="17"/>
    </row>
    <row r="2885" spans="8:8" x14ac:dyDescent="0.35">
      <c r="H2885" s="17"/>
    </row>
    <row r="2886" spans="8:8" x14ac:dyDescent="0.35">
      <c r="H2886" s="17"/>
    </row>
    <row r="2887" spans="8:8" x14ac:dyDescent="0.35">
      <c r="H2887" s="17"/>
    </row>
    <row r="2888" spans="8:8" x14ac:dyDescent="0.35">
      <c r="H2888" s="17"/>
    </row>
    <row r="2889" spans="8:8" x14ac:dyDescent="0.35">
      <c r="H2889" s="17"/>
    </row>
    <row r="2890" spans="8:8" x14ac:dyDescent="0.35">
      <c r="H2890" s="17"/>
    </row>
    <row r="2891" spans="8:8" x14ac:dyDescent="0.35">
      <c r="H2891" s="17"/>
    </row>
    <row r="2892" spans="8:8" x14ac:dyDescent="0.35">
      <c r="H2892" s="17"/>
    </row>
    <row r="2893" spans="8:8" x14ac:dyDescent="0.35">
      <c r="H2893" s="17"/>
    </row>
    <row r="2894" spans="8:8" x14ac:dyDescent="0.35">
      <c r="H2894" s="17"/>
    </row>
    <row r="2895" spans="8:8" x14ac:dyDescent="0.35">
      <c r="H2895" s="17"/>
    </row>
    <row r="2896" spans="8:8" x14ac:dyDescent="0.35">
      <c r="H2896" s="17"/>
    </row>
    <row r="2897" spans="8:8" x14ac:dyDescent="0.35">
      <c r="H2897" s="17"/>
    </row>
    <row r="2898" spans="8:8" x14ac:dyDescent="0.35">
      <c r="H2898" s="17"/>
    </row>
    <row r="2899" spans="8:8" x14ac:dyDescent="0.35">
      <c r="H2899" s="17"/>
    </row>
    <row r="2900" spans="8:8" x14ac:dyDescent="0.35">
      <c r="H2900" s="17"/>
    </row>
    <row r="2901" spans="8:8" x14ac:dyDescent="0.35">
      <c r="H2901" s="17"/>
    </row>
    <row r="2902" spans="8:8" x14ac:dyDescent="0.35">
      <c r="H2902" s="17"/>
    </row>
    <row r="2903" spans="8:8" x14ac:dyDescent="0.35">
      <c r="H2903" s="17"/>
    </row>
    <row r="2904" spans="8:8" x14ac:dyDescent="0.35">
      <c r="H2904" s="17"/>
    </row>
    <row r="2905" spans="8:8" x14ac:dyDescent="0.35">
      <c r="H2905" s="17"/>
    </row>
    <row r="2906" spans="8:8" x14ac:dyDescent="0.35">
      <c r="H2906" s="17"/>
    </row>
    <row r="2907" spans="8:8" x14ac:dyDescent="0.35">
      <c r="H2907" s="17"/>
    </row>
    <row r="2908" spans="8:8" x14ac:dyDescent="0.35">
      <c r="H2908" s="17"/>
    </row>
    <row r="2909" spans="8:8" x14ac:dyDescent="0.35">
      <c r="H2909" s="17"/>
    </row>
    <row r="2910" spans="8:8" x14ac:dyDescent="0.35">
      <c r="H2910" s="17"/>
    </row>
    <row r="2911" spans="8:8" x14ac:dyDescent="0.35">
      <c r="H2911" s="17"/>
    </row>
    <row r="2912" spans="8:8" x14ac:dyDescent="0.35">
      <c r="H2912" s="17"/>
    </row>
    <row r="2913" spans="8:8" x14ac:dyDescent="0.35">
      <c r="H2913" s="17"/>
    </row>
    <row r="2914" spans="8:8" x14ac:dyDescent="0.35">
      <c r="H2914" s="17"/>
    </row>
    <row r="2915" spans="8:8" x14ac:dyDescent="0.35">
      <c r="H2915" s="17"/>
    </row>
    <row r="2916" spans="8:8" x14ac:dyDescent="0.35">
      <c r="H2916" s="17"/>
    </row>
    <row r="2917" spans="8:8" x14ac:dyDescent="0.35">
      <c r="H2917" s="17"/>
    </row>
    <row r="2918" spans="8:8" x14ac:dyDescent="0.35">
      <c r="H2918" s="17"/>
    </row>
    <row r="2919" spans="8:8" x14ac:dyDescent="0.35">
      <c r="H2919" s="17"/>
    </row>
    <row r="2920" spans="8:8" x14ac:dyDescent="0.35">
      <c r="H2920" s="17"/>
    </row>
    <row r="2921" spans="8:8" x14ac:dyDescent="0.35">
      <c r="H2921" s="17"/>
    </row>
    <row r="2922" spans="8:8" x14ac:dyDescent="0.35">
      <c r="H2922" s="17"/>
    </row>
    <row r="2923" spans="8:8" x14ac:dyDescent="0.35">
      <c r="H2923" s="17"/>
    </row>
    <row r="2924" spans="8:8" x14ac:dyDescent="0.35">
      <c r="H2924" s="17"/>
    </row>
    <row r="2925" spans="8:8" x14ac:dyDescent="0.35">
      <c r="H2925" s="17"/>
    </row>
    <row r="2926" spans="8:8" x14ac:dyDescent="0.35">
      <c r="H2926" s="17"/>
    </row>
    <row r="2927" spans="8:8" x14ac:dyDescent="0.35">
      <c r="H2927" s="17"/>
    </row>
    <row r="2928" spans="8:8" x14ac:dyDescent="0.35">
      <c r="H2928" s="17"/>
    </row>
    <row r="2929" spans="8:8" x14ac:dyDescent="0.35">
      <c r="H2929" s="17"/>
    </row>
    <row r="2930" spans="8:8" x14ac:dyDescent="0.35">
      <c r="H2930" s="17"/>
    </row>
    <row r="2931" spans="8:8" x14ac:dyDescent="0.35">
      <c r="H2931" s="17"/>
    </row>
    <row r="2932" spans="8:8" x14ac:dyDescent="0.35">
      <c r="H2932" s="17"/>
    </row>
    <row r="2933" spans="8:8" x14ac:dyDescent="0.35">
      <c r="H2933" s="17"/>
    </row>
    <row r="2934" spans="8:8" x14ac:dyDescent="0.35">
      <c r="H2934" s="17"/>
    </row>
    <row r="2935" spans="8:8" x14ac:dyDescent="0.35">
      <c r="H2935" s="17"/>
    </row>
    <row r="2936" spans="8:8" x14ac:dyDescent="0.35">
      <c r="H2936" s="17"/>
    </row>
    <row r="2937" spans="8:8" x14ac:dyDescent="0.35">
      <c r="H2937" s="17"/>
    </row>
    <row r="2938" spans="8:8" x14ac:dyDescent="0.35">
      <c r="H2938" s="17"/>
    </row>
    <row r="2939" spans="8:8" x14ac:dyDescent="0.35">
      <c r="H2939" s="17"/>
    </row>
    <row r="2940" spans="8:8" x14ac:dyDescent="0.35">
      <c r="H2940" s="17"/>
    </row>
    <row r="2941" spans="8:8" x14ac:dyDescent="0.35">
      <c r="H2941" s="17"/>
    </row>
    <row r="2942" spans="8:8" x14ac:dyDescent="0.35">
      <c r="H2942" s="17"/>
    </row>
    <row r="2943" spans="8:8" x14ac:dyDescent="0.35">
      <c r="H2943" s="17"/>
    </row>
    <row r="2944" spans="8:8" x14ac:dyDescent="0.35">
      <c r="H2944" s="17"/>
    </row>
    <row r="2945" spans="8:8" x14ac:dyDescent="0.35">
      <c r="H2945" s="17"/>
    </row>
    <row r="2946" spans="8:8" x14ac:dyDescent="0.35">
      <c r="H2946" s="17"/>
    </row>
    <row r="2947" spans="8:8" x14ac:dyDescent="0.35">
      <c r="H2947" s="17"/>
    </row>
    <row r="2948" spans="8:8" x14ac:dyDescent="0.35">
      <c r="H2948" s="17"/>
    </row>
    <row r="2949" spans="8:8" x14ac:dyDescent="0.35">
      <c r="H2949" s="17"/>
    </row>
    <row r="2950" spans="8:8" x14ac:dyDescent="0.35">
      <c r="H2950" s="17"/>
    </row>
    <row r="2951" spans="8:8" x14ac:dyDescent="0.35">
      <c r="H2951" s="17"/>
    </row>
    <row r="2952" spans="8:8" x14ac:dyDescent="0.35">
      <c r="H2952" s="17"/>
    </row>
    <row r="2953" spans="8:8" x14ac:dyDescent="0.35">
      <c r="H2953" s="17"/>
    </row>
    <row r="2954" spans="8:8" x14ac:dyDescent="0.35">
      <c r="H2954" s="17"/>
    </row>
    <row r="2955" spans="8:8" x14ac:dyDescent="0.35">
      <c r="H2955" s="17"/>
    </row>
    <row r="2956" spans="8:8" x14ac:dyDescent="0.35">
      <c r="H2956" s="17"/>
    </row>
    <row r="2957" spans="8:8" x14ac:dyDescent="0.35">
      <c r="H2957" s="17"/>
    </row>
    <row r="2958" spans="8:8" x14ac:dyDescent="0.35">
      <c r="H2958" s="17"/>
    </row>
    <row r="2959" spans="8:8" x14ac:dyDescent="0.35">
      <c r="H2959" s="17"/>
    </row>
    <row r="2960" spans="8:8" x14ac:dyDescent="0.35">
      <c r="H2960" s="17"/>
    </row>
    <row r="2961" spans="8:8" x14ac:dyDescent="0.35">
      <c r="H2961" s="17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Main</vt:lpstr>
      <vt:lpstr>Ois</vt:lpstr>
      <vt:lpstr>Forward Rates</vt:lpstr>
      <vt:lpstr>Forex</vt:lpstr>
      <vt:lpstr>Single Names</vt:lpstr>
      <vt:lpstr>Baskets</vt:lpstr>
      <vt:lpstr>Div Sheets</vt:lpstr>
      <vt:lpstr>Repos</vt:lpstr>
      <vt:lpstr>Book</vt:lpstr>
      <vt:lpstr>Markets</vt:lpstr>
      <vt:lpstr>Models</vt:lpstr>
      <vt:lpstr>Pricing</vt:lpstr>
      <vt:lpstr>Codings</vt:lpstr>
      <vt:lpstr>Objects</vt:lpstr>
      <vt:lpstr>BasketSet</vt:lpstr>
      <vt:lpstr>COB</vt:lpstr>
      <vt:lpstr>DividendEstimates</vt:lpstr>
      <vt:lpstr>DividendRough</vt:lpstr>
      <vt:lpstr>ForwardRatesSheets</vt:lpstr>
      <vt:lpstr>FxSheet</vt:lpstr>
      <vt:lpstr>MarketSet</vt:lpstr>
      <vt:lpstr>MCSettings</vt:lpstr>
      <vt:lpstr>ModelSet</vt:lpstr>
      <vt:lpstr>OisSheets</vt:lpstr>
      <vt:lpstr>PriceOutput</vt:lpstr>
      <vt:lpstr>RepoMarket</vt:lpstr>
      <vt:lpstr>RepoSheets</vt:lpstr>
      <vt:lpstr>SingleNameSheet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Tarek Bouz</dc:creator>
  <cp:lastModifiedBy>Tarek Bouz</cp:lastModifiedBy>
  <dcterms:created xsi:type="dcterms:W3CDTF">2020-06-23T08:56:25Z</dcterms:created>
  <dcterms:modified xsi:type="dcterms:W3CDTF">2020-08-14T13:58:14Z</dcterms:modified>
</cp:coreProperties>
</file>